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jdrh\OneDrive\Desktop\PVPlus\"/>
    </mc:Choice>
  </mc:AlternateContent>
  <xr:revisionPtr revIDLastSave="0" documentId="13_ncr:1_{22C1CACA-0447-41BE-A777-F8A8AEB74BA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uttons" sheetId="9" r:id="rId1"/>
    <sheet name="RiderA" sheetId="1" r:id="rId2"/>
    <sheet name="RiderB" sheetId="6" r:id="rId3"/>
    <sheet name="SInfoA" sheetId="3" r:id="rId4"/>
    <sheet name="SInfoB" sheetId="4" r:id="rId5"/>
    <sheet name="PTable" sheetId="13" r:id="rId6"/>
    <sheet name="VTable" sheetId="14" r:id="rId7"/>
  </sheets>
  <definedNames>
    <definedName name="_xlnm._FilterDatabase" localSheetId="6" hidden="1">VTable!$A$2:$AE$194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4" l="1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3" i="14"/>
  <c r="E4" i="13" l="1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3" i="13"/>
  <c r="H13" i="4" l="1"/>
  <c r="H12" i="4"/>
  <c r="H11" i="4"/>
  <c r="H10" i="4"/>
  <c r="H9" i="4"/>
  <c r="H8" i="4"/>
  <c r="H103" i="4"/>
  <c r="H102" i="4"/>
  <c r="H101" i="4"/>
  <c r="H100" i="4"/>
  <c r="H99" i="4"/>
  <c r="H98" i="4"/>
  <c r="H67" i="4"/>
  <c r="H66" i="4"/>
  <c r="H65" i="4"/>
  <c r="H64" i="4"/>
  <c r="H63" i="4"/>
  <c r="H62" i="4"/>
  <c r="H61" i="4"/>
  <c r="H60" i="4"/>
  <c r="H59" i="4"/>
  <c r="H58" i="4"/>
  <c r="H57" i="4"/>
  <c r="H56" i="4"/>
  <c r="H97" i="4"/>
  <c r="H96" i="4"/>
  <c r="H95" i="4"/>
  <c r="H94" i="4"/>
  <c r="H93" i="4"/>
  <c r="H92" i="4"/>
  <c r="H91" i="4"/>
  <c r="H90" i="4"/>
  <c r="H89" i="4"/>
  <c r="H88" i="4"/>
  <c r="H87" i="4"/>
  <c r="H8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85" i="4"/>
  <c r="H84" i="4"/>
  <c r="H83" i="4"/>
  <c r="H82" i="4"/>
  <c r="H81" i="4"/>
  <c r="H80" i="4"/>
  <c r="H79" i="4"/>
  <c r="H78" i="4"/>
  <c r="H77" i="4"/>
  <c r="H76" i="4"/>
  <c r="H75" i="4"/>
  <c r="H74" i="4"/>
  <c r="H25" i="4"/>
  <c r="H24" i="4"/>
  <c r="H23" i="4"/>
  <c r="H22" i="4"/>
  <c r="H21" i="4"/>
  <c r="H20" i="4"/>
  <c r="H31" i="4"/>
  <c r="H30" i="4"/>
  <c r="H29" i="4"/>
  <c r="H28" i="4"/>
  <c r="H27" i="4"/>
  <c r="H26" i="4"/>
  <c r="H19" i="4"/>
  <c r="H18" i="4"/>
  <c r="H17" i="4"/>
  <c r="H16" i="4"/>
  <c r="H15" i="4"/>
  <c r="H14" i="4"/>
  <c r="H109" i="4"/>
  <c r="H108" i="4"/>
  <c r="H107" i="4"/>
  <c r="H106" i="4"/>
  <c r="H105" i="4"/>
  <c r="H104" i="4"/>
  <c r="H7" i="4"/>
  <c r="H6" i="4"/>
  <c r="H5" i="4"/>
  <c r="H4" i="4"/>
  <c r="H3" i="4"/>
  <c r="H2" i="4"/>
  <c r="H73" i="4"/>
  <c r="H72" i="4"/>
  <c r="H71" i="4"/>
  <c r="H70" i="4"/>
  <c r="H69" i="4"/>
  <c r="H68" i="4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" i="3"/>
</calcChain>
</file>

<file path=xl/sharedStrings.xml><?xml version="1.0" encoding="utf-8"?>
<sst xmlns="http://schemas.openxmlformats.org/spreadsheetml/2006/main" count="34081" uniqueCount="4486">
  <si>
    <t>상품코드</t>
  </si>
  <si>
    <t>담보코드</t>
  </si>
  <si>
    <t>담보명</t>
  </si>
  <si>
    <t>PV_Type</t>
  </si>
  <si>
    <t xml:space="preserve"> 가입금액 </t>
  </si>
  <si>
    <t>납입자</t>
  </si>
  <si>
    <t>유지자</t>
  </si>
  <si>
    <t>급부1</t>
  </si>
  <si>
    <t>급부2</t>
  </si>
  <si>
    <t>급부3</t>
  </si>
  <si>
    <t>급부4</t>
  </si>
  <si>
    <t>급부5</t>
  </si>
  <si>
    <t>급부6</t>
  </si>
  <si>
    <t>급부7</t>
  </si>
  <si>
    <t>급부8</t>
  </si>
  <si>
    <t>급부9</t>
  </si>
  <si>
    <t>급부10</t>
  </si>
  <si>
    <t>급부11</t>
  </si>
  <si>
    <t>급부12</t>
  </si>
  <si>
    <t>급부13</t>
  </si>
  <si>
    <t>급부14</t>
  </si>
  <si>
    <t>급부15</t>
  </si>
  <si>
    <t>급부16</t>
  </si>
  <si>
    <t>급부17</t>
  </si>
  <si>
    <t>급부18</t>
  </si>
  <si>
    <t>급부19</t>
  </si>
  <si>
    <t>급부20</t>
  </si>
  <si>
    <t>탈퇴1</t>
  </si>
  <si>
    <t>탈퇴2</t>
  </si>
  <si>
    <t>탈퇴3</t>
  </si>
  <si>
    <t>탈퇴4</t>
  </si>
  <si>
    <t>탈퇴5</t>
  </si>
  <si>
    <t>탈퇴6</t>
  </si>
  <si>
    <t>탈퇴7</t>
  </si>
  <si>
    <t>탈퇴8</t>
  </si>
  <si>
    <t>탈퇴9</t>
  </si>
  <si>
    <t>탈퇴10</t>
  </si>
  <si>
    <t>탈퇴11</t>
  </si>
  <si>
    <t>탈퇴12</t>
  </si>
  <si>
    <t>탈퇴13</t>
  </si>
  <si>
    <t>탈퇴14</t>
  </si>
  <si>
    <t>탈퇴15</t>
  </si>
  <si>
    <t>탈퇴16</t>
  </si>
  <si>
    <t>탈퇴17</t>
  </si>
  <si>
    <t>탈퇴18</t>
  </si>
  <si>
    <t>탈퇴19</t>
  </si>
  <si>
    <t>탈퇴20</t>
  </si>
  <si>
    <t>납입자급부</t>
  </si>
  <si>
    <t>납입면제자급부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</si>
  <si>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</si>
  <si>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</si>
  <si>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</si>
  <si>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</si>
  <si>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</si>
  <si>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</si>
  <si>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</si>
  <si>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</si>
  <si>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</si>
  <si>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</si>
  <si>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</si>
  <si>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</si>
  <si>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</si>
  <si>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</si>
  <si>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</si>
  <si>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</si>
  <si>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</si>
  <si>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</si>
  <si>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</si>
  <si>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</si>
  <si>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</si>
  <si>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</si>
  <si>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</si>
  <si>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</si>
  <si>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</si>
  <si>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</si>
  <si>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</si>
  <si>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</si>
  <si>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</si>
  <si>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</si>
  <si>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w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</si>
  <si>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</si>
  <si>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</si>
  <si>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</si>
  <si>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</si>
  <si>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</si>
  <si>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</si>
  <si>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</si>
  <si>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</si>
  <si>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</si>
  <si>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</si>
  <si>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</si>
  <si>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</si>
  <si>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</si>
  <si>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</si>
  <si>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</si>
  <si>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</si>
  <si>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</si>
  <si>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</si>
  <si>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</si>
  <si>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</si>
  <si>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S_Type</t>
  </si>
  <si>
    <t>Min_S GroupKey</t>
  </si>
  <si>
    <t>Min_S GroupKey</t>
    <phoneticPr fontId="3" type="noConversion"/>
  </si>
  <si>
    <t>상품코드</t>
    <phoneticPr fontId="3" type="noConversion"/>
  </si>
  <si>
    <t>담보코드</t>
    <phoneticPr fontId="3" type="noConversion"/>
  </si>
  <si>
    <t>GroupKey1</t>
    <phoneticPr fontId="3" type="noConversion"/>
  </si>
  <si>
    <t>GroupKey2</t>
    <phoneticPr fontId="3" type="noConversion"/>
  </si>
  <si>
    <t>GroupKey3</t>
    <phoneticPr fontId="3" type="noConversion"/>
  </si>
  <si>
    <t>x</t>
    <phoneticPr fontId="3" type="noConversion"/>
  </si>
  <si>
    <t>n</t>
    <phoneticPr fontId="3" type="noConversion"/>
  </si>
  <si>
    <t>m</t>
    <phoneticPr fontId="3" type="noConversion"/>
  </si>
  <si>
    <t>성별(F1)</t>
    <phoneticPr fontId="3" type="noConversion"/>
  </si>
  <si>
    <t>급수(F2)</t>
    <phoneticPr fontId="3" type="noConversion"/>
  </si>
  <si>
    <t>운전(F3)</t>
    <phoneticPr fontId="3" type="noConversion"/>
  </si>
  <si>
    <t>금액(F4)</t>
    <phoneticPr fontId="3" type="noConversion"/>
  </si>
  <si>
    <t>가입/사고연령(F5)</t>
    <phoneticPr fontId="3" type="noConversion"/>
  </si>
  <si>
    <t>가변1(F6)</t>
    <phoneticPr fontId="3" type="noConversion"/>
  </si>
  <si>
    <t>가변2(F7)</t>
    <phoneticPr fontId="3" type="noConversion"/>
  </si>
  <si>
    <t>가변3(F8)</t>
    <phoneticPr fontId="3" type="noConversion"/>
  </si>
  <si>
    <t>가변4(F9)</t>
    <phoneticPr fontId="3" type="noConversion"/>
  </si>
  <si>
    <t>VarAdd</t>
    <phoneticPr fontId="3" type="noConversion"/>
  </si>
  <si>
    <t>위험보험료</t>
    <phoneticPr fontId="3" type="noConversion"/>
  </si>
  <si>
    <t>정기보험위험보험료</t>
    <phoneticPr fontId="3" type="noConversion"/>
  </si>
  <si>
    <t>S</t>
    <phoneticPr fontId="3" type="noConversion"/>
  </si>
  <si>
    <t>Min_S</t>
    <phoneticPr fontId="3" type="noConversion"/>
  </si>
  <si>
    <t>ErrorMessage</t>
    <phoneticPr fontId="3" type="noConversion"/>
  </si>
  <si>
    <t>XA02593</t>
  </si>
  <si>
    <t>CLA00551</t>
  </si>
  <si>
    <t/>
  </si>
  <si>
    <t>Ifs(t&lt;m-2,Choose(Min(t+1,m-2), 0.105, 0.13, 0.08, 0.065, 0.05, 0.055, 0.04, 0.03, 0.025, 0.02, 0.015, 0.0138, 0.0138, 0.0138, 0.0138, 0.0138, 0.0138, 0.0138, 0.0138, 0.0138, 0.0138, 0.0138, 0.0138, 0.0138, 0.0138, 0.0138, 0.0138, 0.0138),t=m-2,0,t=m-1,0,t=m,0.0396,t&gt;m,0.0125,0)</t>
  </si>
  <si>
    <t>"XA02593|CLA00551|" + S5 + "|"+(Jong +"0"+F6+"0")+"|"+(Age+n)</t>
  </si>
  <si>
    <t>CLA00553</t>
  </si>
  <si>
    <t>"XA02593|CLA00553|" + S5 + "|"+(Jong +"0"+F6+"0")+"|"+(Age+n)</t>
  </si>
  <si>
    <t>CLA04118</t>
  </si>
  <si>
    <t>"XA02593|CLA04118|" + S5 + "|"+(Jong +"0"+F6+"0")+"|"+(Age+n)</t>
  </si>
  <si>
    <t>CLA04120</t>
  </si>
  <si>
    <t>통합뇌관련질환진단비(갱신형)</t>
  </si>
  <si>
    <t>"XA02593|CLA04120|" + 0 + "|"+(Jong +"0"+F6+"0")+"|"+If(S1=0,n,0)</t>
  </si>
  <si>
    <t>CLA04122</t>
  </si>
  <si>
    <t>통합뇌관련질환진단비(갱신용)</t>
  </si>
  <si>
    <t>"XA02593|CLA04122|" + 0 + "|"+(Jong +"0"+F6+"0")+"|"+If(S1=0,n,0)</t>
  </si>
  <si>
    <t>CLA04124</t>
  </si>
  <si>
    <t>"XA02593|CLA04124|" + S5 + "|"+(Jong +"0"+F6+"0")+"|"+(Age+n)</t>
  </si>
  <si>
    <t>CLA04126</t>
  </si>
  <si>
    <t>통합심장질병진단비(갱신형)</t>
  </si>
  <si>
    <t>"XA02593|CLA04126|" + 0 + "|"+(Jong +"0"+F6+"0")+"|"+If(S1=0,n,0)</t>
  </si>
  <si>
    <t>CLA04128</t>
  </si>
  <si>
    <t>통합심장질병진단비(갱신용)</t>
  </si>
  <si>
    <t>"XA02593|CLA04128|" + 0 + "|"+(Jong +"0"+F6+"0")+"|"+If(S1=0,n,0)</t>
  </si>
  <si>
    <t>CLA04132</t>
  </si>
  <si>
    <t>"XA02593|CLA04132|" + S5 + "|"+(Jong +"0"+F6+"0")+"|"+(Age+n)</t>
  </si>
  <si>
    <t>CLA04136</t>
  </si>
  <si>
    <t>통합암(4대유사암제외)진단비Ⅱ(갱신형)</t>
  </si>
  <si>
    <t>"XA02593|CLA04136|" + 0 + "|"+(Jong +"0"+F6+"0")+"|"+If(S1=0,n,0)</t>
  </si>
  <si>
    <t>CLA04140</t>
  </si>
  <si>
    <t>통합암(4대유사암제외)진단비Ⅱ(갱신용)</t>
  </si>
  <si>
    <t>"XA02593|CLA04140|" + 0 + "|"+(Jong +"0"+F6+"0")+"|"+If(S1=0,n,0)</t>
  </si>
  <si>
    <t>CLA04176</t>
  </si>
  <si>
    <t>"XA02593|CLA04176|" + S5 + "|"+(Jong +"0"+F6+"0")+"|"+(Age+n)</t>
  </si>
  <si>
    <t>CLA04189</t>
  </si>
  <si>
    <t>"XA02593|CLA04189|" + S5 + "|"+(Jong +"0"+F6+"0")+"|"+(Age+n)</t>
  </si>
  <si>
    <t>CLA04190</t>
  </si>
  <si>
    <t>(감액및면책없음)통합암(4대유사암제외)진단비Ⅱ(갱신형)</t>
  </si>
  <si>
    <t>"XA02593|CLA04190|" + 0 + "|"+(Jong +"0"+F6+"0")+"|"+If(S1=0,n,0)</t>
  </si>
  <si>
    <t>CLA04191</t>
  </si>
  <si>
    <t>"XA02593|CLA04191|" + S5 + "|"+(Jong +"0"+F6+"0")+"|"+(Age+n)</t>
  </si>
  <si>
    <t>CLA04192</t>
  </si>
  <si>
    <t>(감액및면책없음)통합전이암진단비(갱신형)</t>
  </si>
  <si>
    <t>"XA02593|CLA04192|" + 0 + "|"+(Jong +"0"+F6+"0")+"|"+If(S1=0,n,0)</t>
  </si>
  <si>
    <t>CLA04197</t>
  </si>
  <si>
    <t>"XA02593|CLA04197|" + S5 + "|"+(Jong +"0"+F6+"0")+"|"+(Age+n)</t>
  </si>
  <si>
    <t>CLA04199</t>
  </si>
  <si>
    <t>통합전이암진단비(갱신형)</t>
  </si>
  <si>
    <t>"XA02593|CLA04199|" + 0 + "|"+(Jong +"0"+F6+"0")+"|"+If(S1=0,n,0)</t>
  </si>
  <si>
    <t>CLA04201</t>
  </si>
  <si>
    <t>통합전이암진단비(갱신용)</t>
  </si>
  <si>
    <t>"XA02593|CLA04201|" + 0 + "|"+(Jong +"0"+F6+"0")+"|"+If(S1=0,n,0)</t>
  </si>
  <si>
    <t>CLA12642</t>
  </si>
  <si>
    <t>If(Jong=1 or Jong=3, k2, 1) * (1-q1*q21) * (1-r1*w)</t>
  </si>
  <si>
    <t>(1-q1*q21)*(1-r1*w)</t>
  </si>
  <si>
    <t>q1*q21*(1-w/2)</t>
  </si>
  <si>
    <t>If(t&lt;m,0, 0.5*(W(t)+W(t+1))/2*w)</t>
  </si>
  <si>
    <t>If(t&lt;m,0, 0.5*(V(t)+V(t+1))/2*w)</t>
  </si>
  <si>
    <t>일반상해사망률|110000000|1|202401</t>
  </si>
  <si>
    <t>상해80%이상후유장해(1804)|110000000|1|202401</t>
  </si>
  <si>
    <t>질병80%이상후유장해(1804)|100000000|1|202401</t>
  </si>
  <si>
    <t>뇌졸중 발생률|100000000|1|202401</t>
  </si>
  <si>
    <t>급성심근경색증 발생률|100000000|1|202401</t>
  </si>
  <si>
    <t>말기간경화 발생률|100000000|1|202401</t>
  </si>
  <si>
    <t>말기폐질환 발생률|100000000|1|202401</t>
  </si>
  <si>
    <t>말기신부전증 발생률|100000000|1|202401</t>
  </si>
  <si>
    <t>기타피부암및갑상선암이외의암발생률|100000000|1|202401</t>
  </si>
  <si>
    <t>고지건강체(상해질병사망후유조정계수)|100001000|1|202401</t>
  </si>
  <si>
    <t>고지건강체(암진단조정계수)|100001000|1|202401</t>
  </si>
  <si>
    <t>고지건강체(뇌진단조정계수)|100001000|1|202401</t>
  </si>
  <si>
    <t>고지건강체(심진단조정계수)|100001000|1|202401</t>
  </si>
  <si>
    <t>고지건강체(질병진단조정계수)|100001000|1|202401</t>
  </si>
  <si>
    <t>(1-q1*S(3)*q21/2)/(1-q1*S(3)*q21)</t>
  </si>
  <si>
    <t>(1-D(0.75)*q18*S(3)*q22*r1) * ( (1-q11*q21*r1) * (1-q12*S(3)*q21*r1) * (1-q13*S(3)*q23*r1) * (1-q14*S(3)*q24*r1) * (1-q15*S(3)*q25*r1) * (1-q16*S(3)*q25*r1) * (1-q17*S(3)*q25*r1) )</t>
  </si>
  <si>
    <t>"XA02593|CLA12642|" + S5 + "|"+(Jong +"0"+F6+"0")+"|"+(Age+n)</t>
  </si>
  <si>
    <t>CLA12685</t>
  </si>
  <si>
    <t>If(Jong=1 or Jong=3, k2, 1) * (1-w) * (1-q1*q21)</t>
  </si>
  <si>
    <t>(1-w)*(1-q1*q21)</t>
  </si>
  <si>
    <t>If(t&lt;m,0, 0.5*(W(t)+W(t+1))/2*(1-q1*q21/2)*w)</t>
  </si>
  <si>
    <t>If(t&lt;m,0, 0.5*(V(t)+V(t+1))/2*(1-q1*q21/2)*w)</t>
  </si>
  <si>
    <t>고지건강체(상해입원조정계수)|100001000|1|202401</t>
  </si>
  <si>
    <t>(1-D(0.75)*q18*S(3)*q22*r1) * ( (1-q12*S(3)*q21*r1) * (1-q13*S(3)*q23*r1) * (1-q14*S(3)*q24*r1) * (1-q15*S(3)*q25*r1) * (1-q16*S(3)*q25*r1) * (1-q17*S(3)*q25*r1) )</t>
  </si>
  <si>
    <t>"XA02593|CLA12685|" + S5 + "|"+(Jong +"0"+F6+"0")+"|"+(Age+n)</t>
  </si>
  <si>
    <t>CLA12686</t>
  </si>
  <si>
    <t>If(Jong=1 or Jong=3, k2, 1 ) * (1-w) * (1-q1*q26*S(3))</t>
  </si>
  <si>
    <t>(1-w)*(1-q1*q26*S(3))</t>
  </si>
  <si>
    <t>q1*q26*(1-w/2)*S(3)*D(0.5)</t>
  </si>
  <si>
    <t>If(t&lt;m,0, 0.5*(W(t)+W(t+1))/2*(1-q1*q26*S(3)/2)*w)</t>
  </si>
  <si>
    <t>If(t&lt;m,0, 0.5*(V(t)+V(t+1))/2*(1-q1*q26*S(3)/2)*w)</t>
  </si>
  <si>
    <t>뇌혈관질환 발생률|100000000|1|202401</t>
  </si>
  <si>
    <t>(1-D(0.75)*q18*S(3)*q22*r1) * ( (1-q11*q21*r1) * (1-q12*S(3)*q21*r1)* (1-q14*S(3)*q24*r1) * (1-q15*S(3)*q25*r1) * (1-q16*S(3)*q25*r1) * (1-q17*S(3)*q25*r1) )</t>
  </si>
  <si>
    <t>"XA02593|CLA12686|" + S5 + "|"+(Jong +"0"+F6+"0")+"|"+(Age+n)</t>
  </si>
  <si>
    <t>CLA12687</t>
  </si>
  <si>
    <t>뇌혈관질환진단비(갱신형)</t>
  </si>
  <si>
    <t>"XA02593|CLA12687|" + 0 + "|"+(Jong +"0"+F6+"0")+"|"+If(S1=0,n,0)</t>
  </si>
  <si>
    <t>CLA12688</t>
  </si>
  <si>
    <t>뇌혈관질환진단비(갱신용)</t>
  </si>
  <si>
    <t>"XA02593|CLA12688|" + 0 + "|"+(Jong +"0"+F6+"0")+"|"+If(S1=0,n,0)</t>
  </si>
  <si>
    <t>CLA12689</t>
  </si>
  <si>
    <t>허혈성심장질환 발생률|100000000|1|202401</t>
  </si>
  <si>
    <t>(1-D(0.75)*q18*S(3)*q22*r1) * ( (1-q11*q21*r1) * (1-q12*S(3)*q21*r1) * (1-q13*S(3)*q23*r1) * (1-q15*S(3)*q25*r1) * (1-q16*S(3)*q25*r1) * (1-q17*S(3)*q25*r1) )</t>
  </si>
  <si>
    <t>"XA02593|CLA12689|" + S5 + "|"+(Jong +"0"+F6+"0")+"|"+(Age+n)</t>
  </si>
  <si>
    <t>CLA12690</t>
  </si>
  <si>
    <t>허혈성심장질환진단비(갱신형)</t>
  </si>
  <si>
    <t>"XA02593|CLA12690|" + 0 + "|"+(Jong +"0"+F6+"0")+"|"+If(S1=0,n,0)</t>
  </si>
  <si>
    <t>CLA12691</t>
  </si>
  <si>
    <t>허혈성심장질환진단비(갱신용)</t>
  </si>
  <si>
    <t>"XA02593|CLA12691|" + 0 + "|"+(Jong +"0"+F6+"0")+"|"+If(S1=0,n,0)</t>
  </si>
  <si>
    <t>CLA12692</t>
  </si>
  <si>
    <t>(1-D(0.75)*q18*S(3)*q22*r1) * ( (1-q11*q21*r1) * (1-q12*q21*S(3)*r1)* (1-q14*S(3)*q24*r1) * (1-q15*S(3)*q25*r1) * (1-q16*S(3)*q25*r1) * (1-q17*S(3)*q25*r1) )</t>
  </si>
  <si>
    <t>"XA02593|CLA12692|" + S5 + "|"+(Jong +"0"+F6+"0")+"|"+(Age+n)</t>
  </si>
  <si>
    <t>CLA12693</t>
  </si>
  <si>
    <t>뇌졸중진단비(갱신형)</t>
  </si>
  <si>
    <t>"XA02593|CLA12693|" + 0 + "|"+(Jong +"0"+F6+"0")+"|"+If(S1=0,n,0)</t>
  </si>
  <si>
    <t>CLA12694</t>
  </si>
  <si>
    <t>뇌졸중진단비(갱신용)</t>
  </si>
  <si>
    <t>"XA02593|CLA12694|" + 0 + "|"+(Jong +"0"+F6+"0")+"|"+If(S1=0,n,0)</t>
  </si>
  <si>
    <t>CLA12695</t>
  </si>
  <si>
    <t>If(Jong=1 or Jong=3, k2, 1 ) * (1-w)</t>
  </si>
  <si>
    <t>1-w</t>
  </si>
  <si>
    <t>(q1+q2+q3+q4+q5)*q26*(1-w/2)*S(3)</t>
  </si>
  <si>
    <t>질병수술률Ⅳ(1-5종)1종|100000000|1|202401</t>
  </si>
  <si>
    <t>급여특정요실금수술률(연간1회한)|100000000|1|202401</t>
  </si>
  <si>
    <t>제왕절개수술률(수술1회당)|100000000|1|202401</t>
  </si>
  <si>
    <t>직장 및 항문관련질환 수술률(수술1회당)|100000000|1|202401</t>
  </si>
  <si>
    <t>치핵수술률|100000000|1|202401</t>
  </si>
  <si>
    <t>고지건강체(질병치료조정계수)|100001000|1|202401</t>
  </si>
  <si>
    <t>"XA02593|CLA12695|" + S5 + "|"+(Jong +"0"+F6+"0")+"|"+(Age+n)</t>
  </si>
  <si>
    <t>CLA12697</t>
  </si>
  <si>
    <t>q1*q26*(1-w/2)*S(3)</t>
  </si>
  <si>
    <t>질병수술률Ⅳ(1-5종)2종|100000000|1|202401</t>
  </si>
  <si>
    <t>"XA02593|CLA12697|" + S5 + "|"+(Jong +"0"+F6+"0")+"|"+(Age+n)</t>
  </si>
  <si>
    <t>CLA12699</t>
  </si>
  <si>
    <t>질병수술률Ⅳ(1-5종)3종|100000000|1|202401</t>
  </si>
  <si>
    <t>"XA02593|CLA12699|" + S5 + "|"+(Jong +"0"+F6+"0")+"|"+(Age+n)</t>
  </si>
  <si>
    <t>CLA12701</t>
  </si>
  <si>
    <t>질병수술률Ⅳ(1-5종)4종|100000000|1|202401</t>
  </si>
  <si>
    <t>"XA02593|CLA12701|" + S5 + "|"+(Jong +"0"+F6+"0")+"|"+(Age+n)</t>
  </si>
  <si>
    <t>CLA12703</t>
  </si>
  <si>
    <t>질병수술률Ⅳ(1-5종)5종|100000000|1|202401</t>
  </si>
  <si>
    <t>"XA02593|CLA12703|" + S5 + "|"+(Jong +"0"+F6+"0")+"|"+(Age+n)</t>
  </si>
  <si>
    <t>CLA12705</t>
  </si>
  <si>
    <t>"XA02593|CLA12705|" + S5 + "|"+(Jong +"0"+F6+"0")+"|"+(Age+n)</t>
  </si>
  <si>
    <t>CLA12708</t>
  </si>
  <si>
    <t>If(Jong=1 or Jong=3, k2, 1-q1*q26*S(3) ) * (1-w)</t>
  </si>
  <si>
    <t>q1*q26*(1-w/2)*S(3)*D(0.75)</t>
  </si>
  <si>
    <t>항암방사선치료비(기타피부암및갑상선암이외의암)|100000000|1|202401</t>
  </si>
  <si>
    <t>고지건강체(암치료조정계수)|100001000|1|202401</t>
  </si>
  <si>
    <t>(1-q18*S(3)*q22*r1) * ( (1-q11*q21*r1) * (1-q12*S(3)*q21*r1) * (1-q13*S(3)*q23*r1) * (1-q14*S(3)*q24*r1) * (1-q15*S(3)*q25*r1) * (1-q16*S(3)*q25*r1) * (1-q17*S(3)*q25*r1) )</t>
  </si>
  <si>
    <t>"XA02593|CLA12708|" + S5 + "|"+(Jong +"0"+F6+"0")+"|"+(Age+n)</t>
  </si>
  <si>
    <t>CLA12709</t>
  </si>
  <si>
    <t>항암약물치료비(기타피부암및갑상선암이외의암)|100000000|1|202401</t>
  </si>
  <si>
    <t>"XA02593|CLA12709|" + S5 + "|"+(Jong +"0"+F6+"0")+"|"+(Age+n)</t>
  </si>
  <si>
    <t>CLA12710</t>
  </si>
  <si>
    <t>심혈관특정질환Ⅰ발생률(최초1회한)|100000000|1|202401</t>
  </si>
  <si>
    <t>"XA02593|CLA12710|" + S5 + "|"+(Jong +"0"+F6+"0")+"|"+(Age+n)</t>
  </si>
  <si>
    <t>CLA12711</t>
  </si>
  <si>
    <t>심혈관특정질환Ⅰ진단비(갱신형)</t>
  </si>
  <si>
    <t>"XA02593|CLA12711|" + 0 + "|"+(Jong +"0"+F6+"0")+"|"+If(S1=0,n,0)</t>
  </si>
  <si>
    <t>CLA12712</t>
  </si>
  <si>
    <t>심혈관특정질환Ⅰ진단비(갱신용)</t>
  </si>
  <si>
    <t>"XA02593|CLA12712|" + 0 + "|"+(Jong +"0"+F6+"0")+"|"+If(S1=0,n,0)</t>
  </si>
  <si>
    <t>CLA12713</t>
  </si>
  <si>
    <t>급성심근경색증혈전용해치료발생률|100000000|1|202401</t>
  </si>
  <si>
    <t>고지건강체(심치료조정계수)|100001000|1|202401</t>
  </si>
  <si>
    <t>"XA02593|CLA12713|" + S5 + "|"+(Jong +"0"+F6+"0")+"|"+(Age+n)</t>
  </si>
  <si>
    <t>CLA12714</t>
  </si>
  <si>
    <t>뇌경색증혈전용해치료발생률|100000000|1|202401</t>
  </si>
  <si>
    <t>고지건강체(뇌치료조정계수)|100001000|1|202401</t>
  </si>
  <si>
    <t>"XA02593|CLA12714|" + S5 + "|"+(Jong +"0"+F6+"0")+"|"+(Age+n)</t>
  </si>
  <si>
    <t>CLA12715</t>
  </si>
  <si>
    <t>q2*q26*(1-w/2)*S(3)</t>
  </si>
  <si>
    <t>(1-w)*(1-q2*q26*S(3))</t>
  </si>
  <si>
    <t>항암방사선치료비(갑상산암)|100000000|1|202401</t>
  </si>
  <si>
    <t>항암방사선치료비(기타피부암)|100000000|1|202401</t>
  </si>
  <si>
    <t>"XA02593|CLA12715|" + S5 + "|"+(Jong +"0"+F6+"0")+"|"+(Age+n)</t>
  </si>
  <si>
    <t>CLA12716</t>
  </si>
  <si>
    <t>항암약물치료비(갑상선암)|100000000|1|202401</t>
  </si>
  <si>
    <t>항암약물치료비(기타피부암)|100000000|1|202401</t>
  </si>
  <si>
    <t>"XA02593|CLA12716|" + S5 + "|"+(Jong +"0"+F6+"0")+"|"+(Age+n)</t>
  </si>
  <si>
    <t>CLA12717</t>
  </si>
  <si>
    <t>질병수술률|100000000|1|202401</t>
  </si>
  <si>
    <t>"XA02593|CLA12717|" + S5 + "|"+(Jong +"0"+F6+"0")+"|"+(Age+n)</t>
  </si>
  <si>
    <t>CLA12718</t>
  </si>
  <si>
    <t>질병수술비(갱신형)</t>
  </si>
  <si>
    <t>"XA02593|CLA12718|" + 0 + "|"+(Jong +"0"+F6+"0")+"|"+If(S1=0,n,0)</t>
  </si>
  <si>
    <t>CLA12733</t>
  </si>
  <si>
    <t>q1*q26*(1-w/2)*S(3)*D(0.375)</t>
  </si>
  <si>
    <t>( (1-q11*q21*r1) * (1-q12*S(3)*q21*r1) * (1-q13*S(3)*q23*r1) * (1-q14*S(3)*q24*r1) * (1-q15*S(3)*q25*r1) * (1-q16*S(3)*q25*r1) * (1-q17*S(3)*q25*r1) )</t>
  </si>
  <si>
    <t>"XA02593|CLA12733|" + S5 + "|"+(Jong +"0"+F6+"0")+"|"+(Age+n)</t>
  </si>
  <si>
    <t>CLA12734</t>
  </si>
  <si>
    <t>암(4대유사암제외)진단비(갱신형)</t>
  </si>
  <si>
    <t>"XA02593|CLA12734|" + 0 + "|"+(Jong +"0"+F6+"0")+"|"+If(S1=0,n,0)</t>
  </si>
  <si>
    <t>CLA12735</t>
  </si>
  <si>
    <t>암(4대유사암제외)진단비(갱신용)</t>
  </si>
  <si>
    <t>"XA02593|CLA12735|" + 0 + "|"+(Jong +"0"+F6+"0")+"|"+If(S1=0,n,0)</t>
  </si>
  <si>
    <t>CLA12736</t>
  </si>
  <si>
    <t>질병중환자실입원율(1일이상30일한도)|100000000|1|202401</t>
  </si>
  <si>
    <t>고지건강체(질병입원조정계수)|100001000|1|202401</t>
  </si>
  <si>
    <t>"XA02593|CLA12736|" + S5 + "|"+(Jong +"0"+F6+"0")+"|"+(Age+n)</t>
  </si>
  <si>
    <t>CLA12737</t>
  </si>
  <si>
    <t>(q1+q2)*q26*(1-w/2)*S(3)*D(0.5)</t>
  </si>
  <si>
    <t>특정10대질병수술률A(뇌전증 등 6대질병수술률)|100000000|1|202401</t>
  </si>
  <si>
    <t>특정10대질병수술률B(심장질환 등 4대질병수술률)|100000000|1|202401</t>
  </si>
  <si>
    <t>"XA02593|CLA12737|" + S5 + "|"+(Jong +"0"+F6+"0")+"|"+(Age+n)</t>
  </si>
  <si>
    <t>CLA12738</t>
  </si>
  <si>
    <t>124대질병(특정10대질병)수술비(갱신형)</t>
  </si>
  <si>
    <t>"XA02593|CLA12738|" + 0 + "|"+(Jong +"0"+F6+"0")+"|"+If(S1=0,n,0)</t>
  </si>
  <si>
    <t>CLA12739</t>
  </si>
  <si>
    <t>124대질병(특정10대질병)수술비(갱신용)</t>
  </si>
  <si>
    <t>"XA02593|CLA12739|" + 0 + "|"+(Jong +"0"+F6+"0")+"|"+If(S1=0,n,0)</t>
  </si>
  <si>
    <t>CLA12740</t>
  </si>
  <si>
    <t>특정13대질병수술률A(수막염 등 7대질병수술률)|100000000|1|202401</t>
  </si>
  <si>
    <t>특정13대질병수술률B(간질환 등 6대질병수술률)|100000000|1|202401</t>
  </si>
  <si>
    <t>"XA02593|CLA12740|" + S5 + "|"+(Jong +"0"+F6+"0")+"|"+(Age+n)</t>
  </si>
  <si>
    <t>CLA12741</t>
  </si>
  <si>
    <t>124대질병(특정13대질병A)수술비(갱신형)</t>
  </si>
  <si>
    <t>"XA02593|CLA12741|" + 0 + "|"+(Jong +"0"+F6+"0")+"|"+If(S1=0,n,0)</t>
  </si>
  <si>
    <t>CLA12742</t>
  </si>
  <si>
    <t>124대질병(특정13대질병A)수술비(갱신용)</t>
  </si>
  <si>
    <t>"XA02593|CLA12742|" + 0 + "|"+(Jong +"0"+F6+"0")+"|"+If(S1=0,n,0)</t>
  </si>
  <si>
    <t>CLA12743</t>
  </si>
  <si>
    <t>121대질병(특정13대) 폐질환등 수술률B|100000000|1|202401</t>
  </si>
  <si>
    <t>"XA02593|CLA12743|" + S5 + "|"+(Jong +"0"+F6+"0")+"|"+(Age+n)</t>
  </si>
  <si>
    <t>CLA12744</t>
  </si>
  <si>
    <t>124대질병(특정13대질병B)수술비(갱신형)</t>
  </si>
  <si>
    <t>"XA02593|CLA12744|" + 0 + "|"+(Jong +"0"+F6+"0")+"|"+If(S1=0,n,0)</t>
  </si>
  <si>
    <t>CLA12745</t>
  </si>
  <si>
    <t>124대질병(특정13대질병B)수술비(갱신용)</t>
  </si>
  <si>
    <t>"XA02593|CLA12745|" + 0 + "|"+(Jong +"0"+F6+"0")+"|"+If(S1=0,n,0)</t>
  </si>
  <si>
    <t>CLA12746</t>
  </si>
  <si>
    <t>30대경증질병수술률A(28대경증질병수술률)|100000000|1|202401</t>
  </si>
  <si>
    <t>30대경증질병수술률B(갑상선 질환 및 동맥경화증 수술률)|100000000|1|202401</t>
  </si>
  <si>
    <t>"XA02593|CLA12746|" + S5 + "|"+(Jong +"0"+F6+"0")+"|"+(Age+n)</t>
  </si>
  <si>
    <t>CLA12747</t>
  </si>
  <si>
    <t>124대질병(30대경증질병)수술비(갱신형)</t>
  </si>
  <si>
    <t>"XA02593|CLA12747|" + 0 + "|"+(Jong +"0"+F6+"0")+"|"+If(S1=0,n,0)</t>
  </si>
  <si>
    <t>CLA12748</t>
  </si>
  <si>
    <t>124대질병(30대경증질병)수술비(갱신용)</t>
  </si>
  <si>
    <t>"XA02593|CLA12748|" + 0 + "|"+(Jong +"0"+F6+"0")+"|"+If(S1=0,n,0)</t>
  </si>
  <si>
    <t>CLA12749</t>
  </si>
  <si>
    <t>121대질병(50대경증)수술률|100000000|1|202401</t>
  </si>
  <si>
    <t>"XA02593|CLA12749|" + S5 + "|"+(Jong +"0"+F6+"0")+"|"+(Age+n)</t>
  </si>
  <si>
    <t>CLA12750</t>
  </si>
  <si>
    <t>124대질병(50대경증질병)수술비(갱신형)</t>
  </si>
  <si>
    <t>"XA02593|CLA12750|" + 0 + "|"+(Jong +"0"+F6+"0")+"|"+If(S1=0,n,0)</t>
  </si>
  <si>
    <t>CLA12751</t>
  </si>
  <si>
    <t>124대질병(50대경증질병)수술비(갱신용)</t>
  </si>
  <si>
    <t>"XA02593|CLA12751|" + 0 + "|"+(Jong +"0"+F6+"0")+"|"+If(S1=0,n,0)</t>
  </si>
  <si>
    <t>CLA12752</t>
  </si>
  <si>
    <t>121대질병(4대생활)수술률|100000000|1|202401</t>
  </si>
  <si>
    <t>수면무호흡증 등 3대질병수술률(수술1회당) (124대질수)|100000000|1|202401</t>
  </si>
  <si>
    <t>"XA02593|CLA12752|" + S5 + "|"+(Jong +"0"+F6+"0")+"|"+(Age+n)</t>
  </si>
  <si>
    <t>CLA12753</t>
  </si>
  <si>
    <t>124대질병(7대생활질병)수술비(갱신형)</t>
  </si>
  <si>
    <t>"XA02593|CLA12753|" + 0 + "|"+(Jong +"0"+F6+"0")+"|"+If(S1=0,n,0)</t>
  </si>
  <si>
    <t>CLA12754</t>
  </si>
  <si>
    <t>124대질병(7대생활질병)수술비(갱신용)</t>
  </si>
  <si>
    <t>"XA02593|CLA12754|" + 0 + "|"+(Jong +"0"+F6+"0")+"|"+If(S1=0,n,0)</t>
  </si>
  <si>
    <t>CLA12755</t>
  </si>
  <si>
    <t>"XA02593|CLA12755|" + S5 + "|"+(Jong +"0"+F6+"0")+"|"+(Age+n)</t>
  </si>
  <si>
    <t>CLA12756</t>
  </si>
  <si>
    <t>124대질병(치핵)수술비(갱신형)</t>
  </si>
  <si>
    <t>"XA02593|CLA12756|" + 0 + "|"+(Jong +"0"+F6+"0")+"|"+If(S1=0,n,0)</t>
  </si>
  <si>
    <t>CLA12757</t>
  </si>
  <si>
    <t>124대질병(치핵)수술비(갱신용)</t>
  </si>
  <si>
    <t>"XA02593|CLA12757|" + 0 + "|"+(Jong +"0"+F6+"0")+"|"+If(S1=0,n,0)</t>
  </si>
  <si>
    <t>CLA12758</t>
  </si>
  <si>
    <t>8대기관 양성신생물(폴립포함)수술률(연1회)|100000000|1|202401</t>
  </si>
  <si>
    <t>"XA02593|CLA12758|" + S5 + "|"+(Jong +"0"+F6+"0")+"|"+(Age+n)</t>
  </si>
  <si>
    <t>CLA12759</t>
  </si>
  <si>
    <t>뇌혈관질환수술률|100000000|1|202401</t>
  </si>
  <si>
    <t>"XA02593|CLA12759|" + S5 + "|"+(Jong +"0"+F6+"0")+"|"+(Age+n)</t>
  </si>
  <si>
    <t>CLA12762</t>
  </si>
  <si>
    <t>허혈성심장질환수술률|100000000|1|202401</t>
  </si>
  <si>
    <t>"XA02593|CLA12762|" + S5 + "|"+(Jong +"0"+F6+"0")+"|"+(Age+n)</t>
  </si>
  <si>
    <t>CLA12765</t>
  </si>
  <si>
    <t>q1*q26*(1-w/2)</t>
  </si>
  <si>
    <t>상해수술률|100000000|1|202401</t>
  </si>
  <si>
    <t>고지건강체(상해치료조정계수)|100001000|1|202401</t>
  </si>
  <si>
    <t>"XA02593|CLA12765|" + S5 + "|"+(Jong +"0"+F6+"0")+"|"+(Age+n)</t>
  </si>
  <si>
    <t>CLA12766</t>
  </si>
  <si>
    <t>상해수술비(갱신형)</t>
  </si>
  <si>
    <t>"XA02593|CLA12766|" + 0 + "|"+(Jong +"0"+F6+"0")+"|"+If(S1=0,n,0)</t>
  </si>
  <si>
    <t>CLA12767</t>
  </si>
  <si>
    <t>심장판막협착증(대동맥판막)발생률(최초1회한)|100000000|1|202401</t>
  </si>
  <si>
    <t>"XA02593|CLA12767|" + S5 + "|"+(Jong +"0"+F6+"0")+"|"+(Age+n)</t>
  </si>
  <si>
    <t>CLA12768</t>
  </si>
  <si>
    <t>심근병증발생률(최초1회한)|100000000|1|202401</t>
  </si>
  <si>
    <t>"XA02593|CLA12768|" + S5 + "|"+(Jong +"0"+F6+"0")+"|"+(Age+n)</t>
  </si>
  <si>
    <t>CLA12769</t>
  </si>
  <si>
    <t>특정양성뇌종양 발생률|100000000|1|202401</t>
  </si>
  <si>
    <t>"XA02593|CLA12769|" + S5 + "|"+(Jong +"0"+F6+"0")+"|"+(Age+n)</t>
  </si>
  <si>
    <t>CLA12770</t>
  </si>
  <si>
    <t>심장부정맥 고주파냉각절제술 발생률(급여,연간1회한)|100000000|1|202404</t>
  </si>
  <si>
    <t>"XA02593|CLA12770|" + S5 + "|"+(Jong +"0"+F6+"0")+"|"+(Age+n)</t>
  </si>
  <si>
    <t>CLA12771</t>
  </si>
  <si>
    <t>질병중환자실입원(1일이상10일한도)|100000000|1|202401</t>
  </si>
  <si>
    <t>"XA02593|CLA12771|" + S5 + "|"+(Jong +"0"+F6+"0")+"|"+(Age+n)</t>
  </si>
  <si>
    <t>CLA12772</t>
  </si>
  <si>
    <t>심혈관특정질환Ⅰ발생률(I49제외,최초1회한)|100000000|1|202401</t>
  </si>
  <si>
    <t>"XA02593|CLA12772|" + S5 + "|"+(Jong +"0"+F6+"0")+"|"+(Age+n)</t>
  </si>
  <si>
    <t>CLA12773</t>
  </si>
  <si>
    <t>심혈관특정질환Ⅰ(기타심장부정맥제외)진단비(갱신형)</t>
  </si>
  <si>
    <t>"XA02593|CLA12773|" + 0 + "|"+(Jong +"0"+F6+"0")+"|"+If(S1=0,n,0)</t>
  </si>
  <si>
    <t>CLA12774</t>
  </si>
  <si>
    <t>심혈관특정질환Ⅰ(기타심장부정맥제외)진단비(갱신용)</t>
  </si>
  <si>
    <t>"XA02593|CLA12774|" + 0 + "|"+(Jong +"0"+F6+"0")+"|"+If(S1=0,n,0)</t>
  </si>
  <si>
    <t>CLA12775</t>
  </si>
  <si>
    <t>관상동맥성형술 발생률(급여)|100000000|1|202401</t>
  </si>
  <si>
    <t>"XA02593|CLA12775|" + S5 + "|"+(Jong +"0"+F6+"0")+"|"+(Age+n)</t>
  </si>
  <si>
    <t>CLA12776</t>
  </si>
  <si>
    <t>상해수술률(1-5종)1종|100000000|1|202401</t>
  </si>
  <si>
    <t>"XA02593|CLA12776|" + S5 + "|"+(Jong +"0"+F6+"0")+"|"+(Age+n)</t>
  </si>
  <si>
    <t>CLA12778</t>
  </si>
  <si>
    <t>상해수술률(1-5종)2종|100000000|1|202401</t>
  </si>
  <si>
    <t>"XA02593|CLA12778|" + S5 + "|"+(Jong +"0"+F6+"0")+"|"+(Age+n)</t>
  </si>
  <si>
    <t>CLA12780</t>
  </si>
  <si>
    <t>상해수술률(1-5종)3종|100000000|1|202401</t>
  </si>
  <si>
    <t>"XA02593|CLA12780|" + S5 + "|"+(Jong +"0"+F6+"0")+"|"+(Age+n)</t>
  </si>
  <si>
    <t>CLA12782</t>
  </si>
  <si>
    <t>상해수술률(1-5종)4종|100000000|1|202401</t>
  </si>
  <si>
    <t>"XA02593|CLA12782|" + S5 + "|"+(Jong +"0"+F6+"0")+"|"+(Age+n)</t>
  </si>
  <si>
    <t>CLA12784</t>
  </si>
  <si>
    <t>상해수술률(1-5종)5종|100000000|1|202401</t>
  </si>
  <si>
    <t>"XA02593|CLA12784|" + S5 + "|"+(Jong +"0"+F6+"0")+"|"+(Age+n)</t>
  </si>
  <si>
    <t>CLA12786</t>
  </si>
  <si>
    <t>특정뇌동맥혈관색전술|100000000|1|202401</t>
  </si>
  <si>
    <t>"XA02593|CLA12786|" + S5 + "|"+(Jong +"0"+F6+"0")+"|"+(Age+n)</t>
  </si>
  <si>
    <t>CLA12787</t>
  </si>
  <si>
    <t>깁스치료발생률|100000000|1|202401</t>
  </si>
  <si>
    <t>고지건강체(상해질병치료조정계수)|100001000|1|202401</t>
  </si>
  <si>
    <t>"XA02593|CLA12787|" + S5 + "|"+(Jong +"0"+F6+"0")+"|"+(Age+n)</t>
  </si>
  <si>
    <t>CLA12788</t>
  </si>
  <si>
    <t>골절(치아파절제외)발생률|100000000|1|202401</t>
  </si>
  <si>
    <t>고지건강체(상해진단조정계수)|100001000|1|202401</t>
  </si>
  <si>
    <t>"XA02593|CLA12788|" + S5 + "|"+(Jong +"0"+F6+"0")+"|"+(Age+n)</t>
  </si>
  <si>
    <t>CLA12789</t>
  </si>
  <si>
    <t>암(특정유사암포함)표적항암약물허가치료비(1회한)(갱신형)</t>
  </si>
  <si>
    <t>표적항암약물허가치료발생률(최초1회한)|100000000|1|202401</t>
  </si>
  <si>
    <t>갑상선암표적항암약물허가치료발생률(최초1회한)|100000000|1|202401</t>
  </si>
  <si>
    <t>기타피부암표적항암약물허가치료발생률(최초1회한)|100000000|1|202401</t>
  </si>
  <si>
    <t>갑상선암 발생률|100000000|1|202401</t>
  </si>
  <si>
    <t>기타피부암 발생률|100000000|1|202401</t>
  </si>
  <si>
    <t>(1-q18*S(3)*q22-D(0.75)*(q9+q10)*q26-If(t=0,0.25,0)*(q19+q20)*q22) * ( (1-q11*q21*r1) * (1-q12*S(3)*q21*r1) * (1-q13*S(3)*q23*r1) * (1-q14*S(3)*q24*r1) * (1-q15*S(3)*q25*r1) * (1-q16*S(3)*q25*r1) * (1-q17*S(3)*q25*r1) )</t>
  </si>
  <si>
    <t>"XA02593|CLA12789|" + 0 + "|"+(Jong +"0"+F6+"0")+"|"+If(S1=0,n,0)</t>
  </si>
  <si>
    <t>CLA12790</t>
  </si>
  <si>
    <t>암(특정유사암포함)표적항암약물허가치료비(1회한)(갱신용)</t>
  </si>
  <si>
    <t>"XA02593|CLA12790|" + 0 + "|"+(Jong +"0"+F6+"0")+"|"+If(S1=0,n,0)</t>
  </si>
  <si>
    <t>CLA12791</t>
  </si>
  <si>
    <t>기타피부암및갑상선암이외의암수술률|100000000|1|202401</t>
  </si>
  <si>
    <t>"XA02593|CLA12791|" + S5 + "|"+(Jong +"0"+F6+"0")+"|"+(Age+n)</t>
  </si>
  <si>
    <t>CLA12792</t>
  </si>
  <si>
    <t>암(4대유사암제외)수술비Ⅱ(수술1회당)(갱신형)</t>
  </si>
  <si>
    <t>"XA02593|CLA12792|" + 0 + "|"+(Jong +"0"+F6+"0")+"|"+If(S1=0,n,0)</t>
  </si>
  <si>
    <t>CLA12793</t>
  </si>
  <si>
    <t>암(4대유사암제외)수술비Ⅱ(수술1회당)(갱신용)</t>
  </si>
  <si>
    <t>"XA02593|CLA12793|" + 0 + "|"+(Jong +"0"+F6+"0")+"|"+If(S1=0,n,0)</t>
  </si>
  <si>
    <t>CLA12794</t>
  </si>
  <si>
    <t>심혈관특정질환Ⅱ 발생률(최초1회한)|100000000|1|202401</t>
  </si>
  <si>
    <t>"XA02593|CLA12794|" + S5 + "|"+(Jong +"0"+F6+"0")+"|"+(Age+n)</t>
  </si>
  <si>
    <t>CLA12795</t>
  </si>
  <si>
    <t>심혈관특정질환Ⅱ진단비(갱신형)</t>
  </si>
  <si>
    <t>"XA02593|CLA12795|" + 0 + "|"+(Jong +"0"+F6+"0")+"|"+If(S1=0,n,0)</t>
  </si>
  <si>
    <t>CLA12796</t>
  </si>
  <si>
    <t>심혈관특정질환Ⅱ진단비(갱신용)</t>
  </si>
  <si>
    <t>"XA02593|CLA12796|" + 0 + "|"+(Jong +"0"+F6+"0")+"|"+If(S1=0,n,0)</t>
  </si>
  <si>
    <t>CLA12797</t>
  </si>
  <si>
    <t>q3*q26*(1-w/2)*S(3)</t>
  </si>
  <si>
    <t>q4*q26*(1-w/2)*S(3)</t>
  </si>
  <si>
    <t>기타피부암 수술률|100000000|1|202401</t>
  </si>
  <si>
    <t>갑상선암 수술률|100000000|1|202401</t>
  </si>
  <si>
    <t>제자리암 수술률|100000000|1|202401</t>
  </si>
  <si>
    <t>경계성종양 수술률|100000000|1|202401</t>
  </si>
  <si>
    <t>"XA02593|CLA12797|" + S5 + "|"+(Jong +"0"+F6+"0")+"|"+(Age+n)</t>
  </si>
  <si>
    <t>CLA12799</t>
  </si>
  <si>
    <t>카티(CAR-T)항암약물허가치료비(1회한)(갱신형)</t>
  </si>
  <si>
    <t>카티(CAR-T)항암약물허가치료 발생률(최초1회한)_(세만기X, 연만기만)|100000000|1|202401</t>
  </si>
  <si>
    <t>(1-D(0.75)*q18*S(3)*q22*r1-If(t=0,0.25,0)*q1*q26*r1) * ( (1-q11*q21*r1) * (1-q12*S(3)*q21*r1) * (1-q13*S(3)*q23*r1) * (1-q14*S(3)*q24*r1) * (1-q15*S(3)*q25*r1) * (1-q16*S(3)*q25*r1) * (1-q17*S(3)*q25*r1) )</t>
  </si>
  <si>
    <t>"XA02593|CLA12799|" + 0 + "|"+(Jong +"0"+F6+"0")+"|"+If(S1=0,n,0)</t>
  </si>
  <si>
    <t>CLA12800</t>
  </si>
  <si>
    <t>카티(CAR-T)항암약물허가치료비(1회한)(갱신용)</t>
  </si>
  <si>
    <t>"XA02593|CLA12800|" + 0 + "|"+(Jong +"0"+F6+"0")+"|"+If(S1=0,n,0)</t>
  </si>
  <si>
    <t>CLA12801</t>
  </si>
  <si>
    <t>일반상해후유장해(3-100%)(1804)|110000000|1|202401</t>
  </si>
  <si>
    <t>"XA02593|CLA12801|" + S5 + "|"+(Jong +"0"+F6+"0")+"|"+(Age+n)</t>
  </si>
  <si>
    <t>CLA12803</t>
  </si>
  <si>
    <t>5대골절발생률|100000000|1|202401</t>
  </si>
  <si>
    <t>"XA02593|CLA12803|" + S5 + "|"+(Jong +"0"+F6+"0")+"|"+(Age+n)</t>
  </si>
  <si>
    <t>CLA12804</t>
  </si>
  <si>
    <t>중증질환자(뇌혈관질환) 산정특례 등록위험률(연간1회한)|100000000|1|202401</t>
  </si>
  <si>
    <t>고지건강체(상해질병진단조정계수)|100001000|1|202401</t>
  </si>
  <si>
    <t>"XA02593|CLA12804|" + S5 + "|"+(Jong +"0"+F6+"0")+"|"+(Age+n)</t>
  </si>
  <si>
    <t>CLA12805</t>
  </si>
  <si>
    <t>중증질환자(뇌혈관질환)산정특례대상진단비(연간1회한)(갱신형)</t>
  </si>
  <si>
    <t>"XA02593|CLA12805|" + 0 + "|"+(Jong +"0"+F6+"0")+"|"+If(S1=0,n,0)</t>
  </si>
  <si>
    <t>CLA12806</t>
  </si>
  <si>
    <t>중증질환자(뇌혈관질환)산정특례대상진단비(연간1회한)(갱신용)</t>
  </si>
  <si>
    <t>"XA02593|CLA12806|" + 0 + "|"+(Jong +"0"+F6+"0")+"|"+If(S1=0,n,0)</t>
  </si>
  <si>
    <t>CLA12807</t>
  </si>
  <si>
    <t>디스크질환(추간판탈출증)수술률|100000000|1|202401</t>
  </si>
  <si>
    <t>"XA02593|CLA12807|" + S5 + "|"+(Jong +"0"+F6+"0")+"|"+(Age+n)</t>
  </si>
  <si>
    <t>CLA12808</t>
  </si>
  <si>
    <t>중증질환자(심장질환) 산정특례 등록위험률(연간1회한)|100000000|1|202401</t>
  </si>
  <si>
    <t>"XA02593|CLA12808|" + S5 + "|"+(Jong +"0"+F6+"0")+"|"+(Age+n)</t>
  </si>
  <si>
    <t>CLA12809</t>
  </si>
  <si>
    <t>중증질환자(심장질환)산정특례대상진단비(연간1회한)(갱신형)</t>
  </si>
  <si>
    <t>"XA02593|CLA12809|" + 0 + "|"+(Jong +"0"+F6+"0")+"|"+If(S1=0,n,0)</t>
  </si>
  <si>
    <t>CLA12810</t>
  </si>
  <si>
    <t>중증질환자(심장질환)산정특례대상진단비(연간1회한)(갱신용)</t>
  </si>
  <si>
    <t>"XA02593|CLA12810|" + 0 + "|"+(Jong +"0"+F6+"0")+"|"+If(S1=0,n,0)</t>
  </si>
  <si>
    <t>CLA12811</t>
  </si>
  <si>
    <t>일반상해중환자실일당(1일이상30일한도)|110000000|0|202401</t>
  </si>
  <si>
    <t>"XA02593|CLA12811|" + S5 + "|"+(Jong +"0"+F6+"0")+"|"+(Age+n)</t>
  </si>
  <si>
    <t>CLA12812</t>
  </si>
  <si>
    <t>암(특정유사암포함)항암세기조절방사선치료비(1회한)(갱신형)</t>
  </si>
  <si>
    <t>(1-w)*(1-(q1+q2+q3)*q26*S(3))</t>
  </si>
  <si>
    <t>(q1+q2+q3)*q26*(1-w/2)*S(3)*D(0.375)</t>
  </si>
  <si>
    <t>항암세기조절방사선치료발생률(기타피부암및갑상선암이외의암)(최초1회한)|100000000|1|202401</t>
  </si>
  <si>
    <t>항암세기조절방사선치료발생률(기타피부암)(최초1회한)|100000000|1|202401</t>
  </si>
  <si>
    <t>항암세기조절방사선치료발생률(갑상선암)(최초1회한)|100000000|1|202401</t>
  </si>
  <si>
    <t>"XA02593|CLA12812|" + 0 + "|"+(Jong +"0"+F6+"0")+"|"+If(S1=0,n,0)</t>
  </si>
  <si>
    <t>CLA12813</t>
  </si>
  <si>
    <t>암(특정유사암포함)항암세기조절방사선치료비(1회한)(갱신용)</t>
  </si>
  <si>
    <t>"XA02593|CLA12813|" + 0 + "|"+(Jong +"0"+F6+"0")+"|"+If(S1=0,n,0)</t>
  </si>
  <si>
    <t>CLA12814</t>
  </si>
  <si>
    <t>암(특정유사암포함)항암양성자방사선치료비(1회한)(갱신형)</t>
  </si>
  <si>
    <t>항암양성자방사선치료발생률(기타피부암및갑상선암이외의암)(최초1회한)|100000000|1|202401</t>
  </si>
  <si>
    <t>항암양성자방사선치료발생률(기타피부암)(최초1회한)|100000000|1|202401</t>
  </si>
  <si>
    <t>항암양성자방사선치료발생률(갑상선암)(최초1회한)|100000000|1|202401</t>
  </si>
  <si>
    <t>"XA02593|CLA12814|" + 0 + "|"+(Jong +"0"+F6+"0")+"|"+If(S1=0,n,0)</t>
  </si>
  <si>
    <t>CLA12815</t>
  </si>
  <si>
    <t>암(특정유사암포함)항암양성자방사선치료비(1회한)(갱신용)</t>
  </si>
  <si>
    <t>"XA02593|CLA12815|" + 0 + "|"+(Jong +"0"+F6+"0")+"|"+If(S1=0,n,0)</t>
  </si>
  <si>
    <t>CLA12816</t>
  </si>
  <si>
    <t>골절(치아파절포함)발생률|100000000|1|202401</t>
  </si>
  <si>
    <t>"XA02593|CLA12816|" + S5 + "|"+(Jong +"0"+F6+"0")+"|"+(Age+n)</t>
  </si>
  <si>
    <t>CLA12817</t>
  </si>
  <si>
    <t>화상진단비(표재성포함2도이상,연간1회한)|100000000|1|202401</t>
  </si>
  <si>
    <t>"XA02593|CLA12817|" + S5 + "|"+(Jong +"0"+F6+"0")+"|"+(Age+n)</t>
  </si>
  <si>
    <t>CLA12818</t>
  </si>
  <si>
    <t>관절증(엉덩, 무릎) 수술률(이차성 및 상세불명 제외)|100000000|1|202401</t>
  </si>
  <si>
    <t>"XA02593|CLA12818|" + S5 + "|"+(Jong +"0"+F6+"0")+"|"+(Age+n)</t>
  </si>
  <si>
    <t>CLA12819</t>
  </si>
  <si>
    <t>화상발생률|100000000|1|202401</t>
  </si>
  <si>
    <t>"XA02593|CLA12819|" + S5 + "|"+(Jong +"0"+F6+"0")+"|"+(Age+n)</t>
  </si>
  <si>
    <t>CLA12820</t>
  </si>
  <si>
    <t>중환자실일당(1일이상10일한도)|110000000|0|202401</t>
  </si>
  <si>
    <t>"XA02593|CLA12820|" + S5 + "|"+(Jong +"0"+F6+"0")+"|"+(Age+n)</t>
  </si>
  <si>
    <t>CLA12821</t>
  </si>
  <si>
    <t>질병3-100%후유장해지급률|100000000|1|202401</t>
  </si>
  <si>
    <t>"XA02593|CLA12821|" + S5 + "|"+(Jong +"0"+F6+"0")+"|"+(Age+n)</t>
  </si>
  <si>
    <t>CLA12822</t>
  </si>
  <si>
    <t>질병후유장해(3-100%)(갱신형)</t>
  </si>
  <si>
    <t>"XA02593|CLA12822|" + 0 + "|"+(Jong +"0"+F6+"0")+"|"+If(S1=0,n,0)</t>
  </si>
  <si>
    <t>CLA12823</t>
  </si>
  <si>
    <t>조혈모세포이식수술발생률|100000000|1|202401</t>
  </si>
  <si>
    <t>"XA02593|CLA12823|" + S5 + "|"+(Jong +"0"+F6+"0")+"|"+(Age+n)</t>
  </si>
  <si>
    <t>CLA12824</t>
  </si>
  <si>
    <t>각막이식수술발생률|100000000|1|202401</t>
  </si>
  <si>
    <t>"XA02593|CLA12824|" + S5 + "|"+(Jong +"0"+F6+"0")+"|"+(Age+n)</t>
  </si>
  <si>
    <t>CLA12825</t>
  </si>
  <si>
    <t>응급실 내원율(응급)|100000000|1|202401</t>
  </si>
  <si>
    <t>"XA02593|CLA12825|" + S5 + "|"+(Jong +"0"+F6+"0")+"|"+(Age+n)</t>
  </si>
  <si>
    <t>CLA12828</t>
  </si>
  <si>
    <t>5대장기이식수술발생률|100000000|1|202401</t>
  </si>
  <si>
    <t>"XA02593|CLA12828|" + S5 + "|"+(Jong +"0"+F6+"0")+"|"+(Age+n)</t>
  </si>
  <si>
    <t>CLA12829</t>
  </si>
  <si>
    <t>갑상선바늘생검조직병리진단발생률(급여,연간1회한)|100000000|1|202401</t>
  </si>
  <si>
    <t>"XA02593|CLA12829|" + S5 + "|"+(Jong +"0"+F6+"0")+"|"+(Age+n)</t>
  </si>
  <si>
    <t>CLA12831</t>
  </si>
  <si>
    <t>(q1+0.5*q2)*D(0.5)*q26*(1-w/2)*S(3)</t>
  </si>
  <si>
    <t>간관련질병수술률(관혈)(연간1회한)|100000000|1|202401</t>
  </si>
  <si>
    <t>간관련질병수술률(비관혈)(연간1회한)|100000000|1|202401</t>
  </si>
  <si>
    <t>"XA02593|CLA12831|" + S5 + "|"+(Jong +"0"+F6+"0")+"|"+(Age+n)</t>
  </si>
  <si>
    <t>CLA12832</t>
  </si>
  <si>
    <t>심장관련질병수술률(관혈)(연간1회한)|100000000|1|202401</t>
  </si>
  <si>
    <t>심장관련질병수술률(비관혈)(연간1회한)|100000000|1|202401</t>
  </si>
  <si>
    <t>"XA02593|CLA12832|" + S5 + "|"+(Jong +"0"+F6+"0")+"|"+(Age+n)</t>
  </si>
  <si>
    <t>CLA12833</t>
  </si>
  <si>
    <t>신부전수술률(관혈)(연간1회한)|100000000|1|202401</t>
  </si>
  <si>
    <t>신부전수술률(비관혈)(연간1회한)|100000000|1|202401</t>
  </si>
  <si>
    <t>"XA02593|CLA12833|" + S5 + "|"+(Jong +"0"+F6+"0")+"|"+(Age+n)</t>
  </si>
  <si>
    <t>CLA12834</t>
  </si>
  <si>
    <t>특정장질환수술률(관혈)(연간1회한)|100000000|1|202401</t>
  </si>
  <si>
    <t>특정장질환수술률(비관혈)(연간1회한)|100000000|1|202401</t>
  </si>
  <si>
    <t>"XA02593|CLA12834|" + S5 + "|"+(Jong +"0"+F6+"0")+"|"+(Age+n)</t>
  </si>
  <si>
    <t>CLA12835</t>
  </si>
  <si>
    <t>뇌혈관질환수술률(관혈)(연간1회한)|100000000|1|202401</t>
  </si>
  <si>
    <t>뇌혈관질환수술률(비관혈)(연간1회한)|100000000|1|202401</t>
  </si>
  <si>
    <t>"XA02593|CLA12835|" + S5 + "|"+(Jong +"0"+F6+"0")+"|"+(Age+n)</t>
  </si>
  <si>
    <t>CLA12836</t>
  </si>
  <si>
    <t>폐질환수술률(관혈)(연간1회한)|100000000|1|202401</t>
  </si>
  <si>
    <t>폐질환수술률(비관혈)(연간1회한)|100000000|1|202401</t>
  </si>
  <si>
    <t>"XA02593|CLA12836|" + S5 + "|"+(Jong +"0"+F6+"0")+"|"+(Age+n)</t>
  </si>
  <si>
    <t>CLA12837</t>
  </si>
  <si>
    <t>담낭,담도 및 췌장질환수술률(관혈)(연간1회한)|100000000|1|202401</t>
  </si>
  <si>
    <t>담낭,담도 및 췌장질환수술률(비관혈)(연간1회한)|100000000|1|202401</t>
  </si>
  <si>
    <t>"XA02593|CLA12837|" + S5 + "|"+(Jong +"0"+F6+"0")+"|"+(Age+n)</t>
  </si>
  <si>
    <t>CLA12838</t>
  </si>
  <si>
    <t>대상포진발생률|100000000|1|202401</t>
  </si>
  <si>
    <t>"XA02593|CLA12838|" + S5 + "|"+(Jong +"0"+F6+"0")+"|"+(Age+n)</t>
  </si>
  <si>
    <t>CLA12839</t>
  </si>
  <si>
    <t>특정상해성뇌출혈 발생률|100000000|1|202401</t>
  </si>
  <si>
    <t>"XA02593|CLA12839|" + S5 + "|"+(Jong +"0"+F6+"0")+"|"+(Age+n)</t>
  </si>
  <si>
    <t>CLA12841</t>
  </si>
  <si>
    <t>일반상해입원비(1일이상180일한도)|110000000|1|202401</t>
  </si>
  <si>
    <t>"XA02593|CLA12841|" + S5 + "|"+(Jong +"0"+F6+"0")+"|"+(Age+n)</t>
  </si>
  <si>
    <t>CLA12845</t>
  </si>
  <si>
    <t>허혈성심장질환수술률(1회한)|100000000|1|202401</t>
  </si>
  <si>
    <t>급성심근경색증수술률|100000000|1|202401</t>
  </si>
  <si>
    <t>급성심근경색증수술률 최초 수술비율|100000000|0|202401</t>
  </si>
  <si>
    <t>(1-(q1-q2*q3)*q26*S(3)) * (1-D(0.75)*q18*S(3)*q22*r1) * ( (1-q11*q21*r1) * (1-q12*S(3)*q21*r1) * (1-q13*S(3)*q23*r1) * (1-q14*S(3)*q24*r1) * (1-q15*S(3)*q25*r1) * (1-q16*S(3)*q25*r1) * (1-q17*S(3)*q25*r1) )</t>
  </si>
  <si>
    <t>"XA02593|CLA12845|" + S5 + "|"+(Jong +"0"+F6+"0")+"|"+(Age+n)</t>
  </si>
  <si>
    <t>CLA12848</t>
  </si>
  <si>
    <t>If(Jong=1 or Jong=3, k2, 1-q1*q2*q26*S(3) ) * (1-w)</t>
  </si>
  <si>
    <t>(1-w)*(1-q1*q2*q26*S(3))</t>
  </si>
  <si>
    <t>q1*q2*q26*(1-w/2)*S(3)*D(0.375)</t>
  </si>
  <si>
    <t>If(t&lt;m,0, 0.5*(W(t)+W(t+1))/2*(1-q1*q2*q26*S(3)/2)*w)</t>
  </si>
  <si>
    <t>If(t&lt;m,0, 0.5*(V(t)+V(t+1))/2*(1-q1*q2*q26*S(3)/2)*w)</t>
  </si>
  <si>
    <t>기타피부암 및 갑상선암 이외의 암최초 수술비율|100000000|0|202401</t>
  </si>
  <si>
    <t>"XA02593|CLA12848|" + S5 + "|"+(Jong +"0"+F6+"0")+"|"+(Age+n)</t>
  </si>
  <si>
    <t>CLA12851</t>
  </si>
  <si>
    <t>질병 중환자실 입원율(1-180일)|100000000|1|202401</t>
  </si>
  <si>
    <t>"XA02593|CLA12851|" + S5 + "|"+(Jong +"0"+F6+"0")+"|"+(Age+n)</t>
  </si>
  <si>
    <t>CLA12852</t>
  </si>
  <si>
    <t>질병1-8종수술비Ⅲ(급여,시술포함,연간3회한)(1종)|100000000|1|202401</t>
  </si>
  <si>
    <t>"XA02593|CLA12852|" + S5 + "|"+(Jong +"0"+F6+"0")+"|"+(Age+n)</t>
  </si>
  <si>
    <t>CLA12853</t>
  </si>
  <si>
    <t>질병1-8종수술비Ⅲ(급여,시술포함,연간3회한)(2종)|100000000|1|202401</t>
  </si>
  <si>
    <t>"XA02593|CLA12853|" + S5 + "|"+(Jong +"0"+F6+"0")+"|"+(Age+n)</t>
  </si>
  <si>
    <t>CLA12854</t>
  </si>
  <si>
    <t>질병1-8종수술비Ⅲ(급여,시술포함,연간3회한)(3종)|100000000|1|202401</t>
  </si>
  <si>
    <t>"XA02593|CLA12854|" + S5 + "|"+(Jong +"0"+F6+"0")+"|"+(Age+n)</t>
  </si>
  <si>
    <t>CLA12855</t>
  </si>
  <si>
    <t>질병1-8종수술비Ⅲ(급여,시술포함,연간3회한)(4종)|100000000|1|202401</t>
  </si>
  <si>
    <t>"XA02593|CLA12855|" + S5 + "|"+(Jong +"0"+F6+"0")+"|"+(Age+n)</t>
  </si>
  <si>
    <t>CLA12856</t>
  </si>
  <si>
    <t>질병1-8종수술비Ⅲ(급여,시술포함,연간3회한)(5종)|100000000|1|202401</t>
  </si>
  <si>
    <t>"XA02593|CLA12856|" + S5 + "|"+(Jong +"0"+F6+"0")+"|"+(Age+n)</t>
  </si>
  <si>
    <t>CLA12857</t>
  </si>
  <si>
    <t>질병1-8종수술비Ⅲ(급여,시술포함,연간3회한)(6종)|100000000|1|202401</t>
  </si>
  <si>
    <t>"XA02593|CLA12857|" + S5 + "|"+(Jong +"0"+F6+"0")+"|"+(Age+n)</t>
  </si>
  <si>
    <t>CLA12858</t>
  </si>
  <si>
    <t>질병1-8종수술비Ⅲ(급여,시술포함,연간3회한)(7종)|100000000|1|202401</t>
  </si>
  <si>
    <t>"XA02593|CLA12858|" + S5 + "|"+(Jong +"0"+F6+"0")+"|"+(Age+n)</t>
  </si>
  <si>
    <t>CLA12859</t>
  </si>
  <si>
    <t>질병1-8종수술비Ⅲ(급여,시술포함,연간3회한)(8종)|100000000|1|202401</t>
  </si>
  <si>
    <t>"XA02593|CLA12859|" + S5 + "|"+(Jong +"0"+F6+"0")+"|"+(Age+n)</t>
  </si>
  <si>
    <t>CLA12860</t>
  </si>
  <si>
    <t>창상봉합술(안면부제외,1일1회,5cm이상,연간3회한)|100000000|1|202401</t>
  </si>
  <si>
    <t>"XA02593|CLA12860|" + S5 + "|"+(Jong +"0"+F6+"0")+"|"+(Age+n)</t>
  </si>
  <si>
    <t>CLA12863</t>
  </si>
  <si>
    <t>유방바늘생검조직병리진단발생률(급여,연간1회한)|100000000|1|202401</t>
  </si>
  <si>
    <t>"XA02593|CLA12863|" + S5 + "|"+(Jong +"0"+F6+"0")+"|"+(Age+n)</t>
  </si>
  <si>
    <t>CLA12864</t>
  </si>
  <si>
    <t>통풍발생률|100000000|1|202401</t>
  </si>
  <si>
    <t>"XA02593|CLA12864|" + S5 + "|"+(Jong +"0"+F6+"0")+"|"+(Age+n)</t>
  </si>
  <si>
    <t>CLA12866</t>
  </si>
  <si>
    <t>뇌전증발생률(최초1회한)|100000000|1|202401</t>
  </si>
  <si>
    <t>"XA02593|CLA12866|" + S5 + "|"+(Jong +"0"+F6+"0")+"|"+(Age+n)</t>
  </si>
  <si>
    <t>CLA12869</t>
  </si>
  <si>
    <t>(q1*D(0.75)+q2+q3+q4+q5)*q26*(1-w/2)*S(3)</t>
  </si>
  <si>
    <t>기타피부암 및 갑상선암 이외의 암 통원율(연간30일한)|100000000|1|202401</t>
  </si>
  <si>
    <t>기타피부암통원율(연간30일한)|100000000|1|202401</t>
  </si>
  <si>
    <t>갑상선암통원율(연간30일한)|100000000|1|202401</t>
  </si>
  <si>
    <t>제자리암통원율(연간30일한)|100000000|1|202401</t>
  </si>
  <si>
    <t>경계성종양통원율(연간30일한)|100000000|1|202401</t>
  </si>
  <si>
    <t>"XA02593|CLA12869|" + S5 + "|"+(Jong +"0"+F6+"0")+"|"+(Age+n)</t>
  </si>
  <si>
    <t>CLA12870</t>
  </si>
  <si>
    <t>질병입원률(1일이상180일)|100000000|1|202401</t>
  </si>
  <si>
    <t>"XA02593|CLA12870|" + S5 + "|"+(Jong +"0"+F6+"0")+"|"+(Age+n)</t>
  </si>
  <si>
    <t>CLA12871</t>
  </si>
  <si>
    <t>질병입원비(1일이상180일한도)(갱신형)</t>
  </si>
  <si>
    <t>"XA02593|CLA12871|" + 0 + "|"+(Jong +"0"+F6+"0")+"|"+If(S1=0,n,0)</t>
  </si>
  <si>
    <t>CLA12872</t>
  </si>
  <si>
    <t>특정전염병발생률|100000000|1|202401</t>
  </si>
  <si>
    <t>"XA02593|CLA12872|" + S5 + "|"+(Jong +"0"+F6+"0")+"|"+(Age+n)</t>
  </si>
  <si>
    <t>CLA12876</t>
  </si>
  <si>
    <t>대상포진눈병 발생률|100000000|1|202401</t>
  </si>
  <si>
    <t>"XA02593|CLA12876|" + S5 + "|"+(Jong +"0"+F6+"0")+"|"+(Age+n)</t>
  </si>
  <si>
    <t>CLA12877</t>
  </si>
  <si>
    <t>일반상해중환자실일당(1일이상180일한도)|110000000|0|202401</t>
  </si>
  <si>
    <t>"XA02593|CLA12877|" + S5 + "|"+(Jong +"0"+F6+"0")+"|"+(Age+n)</t>
  </si>
  <si>
    <t>CLA12878</t>
  </si>
  <si>
    <t>특정유방병변 진공흡인 절제치료 발생률(최초1회한)|100000000|1|202401</t>
  </si>
  <si>
    <t>"XA02593|CLA12878|" + S5 + "|"+(Jong +"0"+F6+"0")+"|"+(Age+n)</t>
  </si>
  <si>
    <t>CLA12880</t>
  </si>
  <si>
    <t>상급종합병원 기타피부암 및 갑상선암 이외의 암 통원율|100000000|1|202401</t>
  </si>
  <si>
    <t>상급종합병원 기타피부암 통원율|100000000|1|202401</t>
  </si>
  <si>
    <t>상급종합병원 갑상선암 통원율|100000000|1|202401</t>
  </si>
  <si>
    <t>상급종합병원 제자리암 통원율|100000000|1|202401</t>
  </si>
  <si>
    <t>상급종합병원 경계성종양 통원율|100000000|1|202401</t>
  </si>
  <si>
    <t>"XA02593|CLA12880|" + S5 + "|"+(Jong +"0"+F6+"0")+"|"+(Age+n)</t>
  </si>
  <si>
    <t>CLA12883</t>
  </si>
  <si>
    <t>(1-D(0.75)*q18*S(3)*q22*r1) * ( (1-q11*q21*r1) * (1-q13*S(3)*q23*r1) * (1-q14*S(3)*q24*r1) * (1-q15*S(3)*q25*r1) * (1-q16*S(3)*q25*r1) * (1-q17*S(3)*q25*r1) )</t>
  </si>
  <si>
    <t>"XA02593|CLA12883|" + S5 + "|"+(Jong +"0"+F6+"0")+"|"+(Age+n)</t>
  </si>
  <si>
    <t>CLA12887</t>
  </si>
  <si>
    <t>If(Jong=1 or Jong=3, k2, 1 )*(1-q1*q21*S(3))*(1-r1*w)</t>
  </si>
  <si>
    <t>(1-q1*q21*S(3))*(1-r1*w)</t>
  </si>
  <si>
    <t>q1*q21*(1-w/2)*S(3)</t>
  </si>
  <si>
    <t>질병사망률|100000000|1|202401</t>
  </si>
  <si>
    <t>"XA02593|CLA12887|" + S5 + "|"+(Jong +"0"+F6+"0")+"|"+(Age+n)</t>
  </si>
  <si>
    <t>CLA12888</t>
  </si>
  <si>
    <t>상해1-8종수술비Ⅲ(급여,시술포함,연간3회한)(1종)|100000000|1|202401</t>
  </si>
  <si>
    <t>"XA02593|CLA12888|" + S5 + "|"+(Jong +"0"+F6+"0")+"|"+(Age+n)</t>
  </si>
  <si>
    <t>CLA12889</t>
  </si>
  <si>
    <t>상해1-8종수술비Ⅲ(급여,시술포함,연간3회한)(2종)|100000000|1|202401</t>
  </si>
  <si>
    <t>"XA02593|CLA12889|" + S5 + "|"+(Jong +"0"+F6+"0")+"|"+(Age+n)</t>
  </si>
  <si>
    <t>CLA12890</t>
  </si>
  <si>
    <t>상해1-8종수술비Ⅲ(급여,시술포함,연간3회한)(3종)|100000000|1|202401</t>
  </si>
  <si>
    <t>"XA02593|CLA12890|" + S5 + "|"+(Jong +"0"+F6+"0")+"|"+(Age+n)</t>
  </si>
  <si>
    <t>CLA12891</t>
  </si>
  <si>
    <t>상해1-8종수술비Ⅲ(급여,시술포함,연간3회한)(4종)|100000000|1|202401</t>
  </si>
  <si>
    <t>"XA02593|CLA12891|" + S5 + "|"+(Jong +"0"+F6+"0")+"|"+(Age+n)</t>
  </si>
  <si>
    <t>CLA12892</t>
  </si>
  <si>
    <t>상해1-8종수술비Ⅲ(급여,시술포함,연간3회한)(5종)|100000000|1|202401</t>
  </si>
  <si>
    <t>"XA02593|CLA12892|" + S5 + "|"+(Jong +"0"+F6+"0")+"|"+(Age+n)</t>
  </si>
  <si>
    <t>CLA12893</t>
  </si>
  <si>
    <t>상해1-8종수술비Ⅲ(급여,시술포함,연간3회한)(6종)|100000000|1|202401</t>
  </si>
  <si>
    <t>"XA02593|CLA12893|" + S5 + "|"+(Jong +"0"+F6+"0")+"|"+(Age+n)</t>
  </si>
  <si>
    <t>CLA12894</t>
  </si>
  <si>
    <t>상해1-8종수술비Ⅲ(급여,시술포함,연간3회한)(7종)|100000000|1|202401</t>
  </si>
  <si>
    <t>"XA02593|CLA12894|" + S5 + "|"+(Jong +"0"+F6+"0")+"|"+(Age+n)</t>
  </si>
  <si>
    <t>CLA12895</t>
  </si>
  <si>
    <t>상해1-8종수술비Ⅲ(급여,시술포함,연간3회한)(8종)|100000000|1|202401</t>
  </si>
  <si>
    <t>"XA02593|CLA12895|" + S5 + "|"+(Jong +"0"+F6+"0")+"|"+(Age+n)</t>
  </si>
  <si>
    <t>CLA12897</t>
  </si>
  <si>
    <t>(1-D(0.75)*q18*S(3)*q22*r1) * ( (1-q11*q21*r1) * (1-q12*S(3)*q21*r1) * (1-q13*S(3)*q23*r1) * (1-q14*S(3)*q24*r1) * (1-q15*S(3)*q25*r1) * (1-q17*S(3)*q25*r1) )</t>
  </si>
  <si>
    <t>"XA02593|CLA12897|" + S5 + "|"+(Jong +"0"+F6+"0")+"|"+(Age+n)</t>
  </si>
  <si>
    <t>CLA12900</t>
  </si>
  <si>
    <t>뇌혈관질환통원율(연간30일한)|100000000|1|202401</t>
  </si>
  <si>
    <t>"XA02593|CLA12900|" + S5 + "|"+(Jong +"0"+F6+"0")+"|"+(Age+n)</t>
  </si>
  <si>
    <t>CLA12901</t>
  </si>
  <si>
    <t>허혈성심장질환통원율(연간30일한)|100000000|1|202401</t>
  </si>
  <si>
    <t>"XA02593|CLA12901|" + S5 + "|"+(Jong +"0"+F6+"0")+"|"+(Age+n)</t>
  </si>
  <si>
    <t>CLA12902</t>
  </si>
  <si>
    <t>급여항암방사선약물치료비위험률(기타피부암및갑상선암이외의암)(연간1회한)|100000000|1|202401</t>
  </si>
  <si>
    <t>"XA02593|CLA12902|" + S5 + "|"+(Jong +"0"+F6+"0")+"|"+(Age+n)</t>
  </si>
  <si>
    <t>CLA12908</t>
  </si>
  <si>
    <t>질병수술률(특정5대질병제외)|100000000|1|202401</t>
  </si>
  <si>
    <t>"XA02593|CLA12908|" + S5 + "|"+(Jong +"0"+F6+"0")+"|"+(Age+n)</t>
  </si>
  <si>
    <t>CLA12914</t>
  </si>
  <si>
    <t>질병입원 간병인지원발생률(1일이상 180일한도)(간호간병)|100000000|1|202401</t>
  </si>
  <si>
    <t>"XA02593|CLA12914|" + S5 + "|"+(Jong +"0"+F6+"0")+"|"+(Age+n)</t>
  </si>
  <si>
    <t>CLA12915</t>
  </si>
  <si>
    <t>독감(인플루엔자)입원율(1일이상30일한도)|100000000|1|202401</t>
  </si>
  <si>
    <t>"XA02593|CLA12915|" + S5 + "|"+(Jong +"0"+F6+"0")+"|"+(Age+n)</t>
  </si>
  <si>
    <t>CLA12916</t>
  </si>
  <si>
    <t>일반상해입원 간병인지원발생률(1일이상 180일한도)(간호간병)|110000000|1|202401</t>
  </si>
  <si>
    <t>"XA02593|CLA12916|" + S5 + "|"+(Jong +"0"+F6+"0")+"|"+(Age+n)</t>
  </si>
  <si>
    <t>CLA12918</t>
  </si>
  <si>
    <t>상급종합병원 질병 입원율(1일이상 180일한도)|100000000|1|202401</t>
  </si>
  <si>
    <t>"XA02593|CLA12918|" + S5 + "|"+(Jong +"0"+F6+"0")+"|"+(Age+n)</t>
  </si>
  <si>
    <t>CLA12919</t>
  </si>
  <si>
    <t>종합병원허혈성심장질환통원율(연간30일한)|100000000|1|202401</t>
  </si>
  <si>
    <t>"XA02593|CLA12919|" + S5 + "|"+(Jong +"0"+F6+"0")+"|"+(Age+n)</t>
  </si>
  <si>
    <t>CLA12920</t>
  </si>
  <si>
    <t>종합병원뇌혈관질환통원율(연간30일한)|100000000|1|202401</t>
  </si>
  <si>
    <t>"XA02593|CLA12920|" + S5 + "|"+(Jong +"0"+F6+"0")+"|"+(Age+n)</t>
  </si>
  <si>
    <t>CLA12928</t>
  </si>
  <si>
    <t>"XA02593|CLA12928|" + S5 + "|"+(Jong +"0"+F6+"0")+"|"+(Age+n)</t>
  </si>
  <si>
    <t>CLA12929</t>
  </si>
  <si>
    <t>뇌졸중수술률|100000000|1|202401</t>
  </si>
  <si>
    <t>"XA02593|CLA12929|" + S5 + "|"+(Jong +"0"+F6+"0")+"|"+(Age+n)</t>
  </si>
  <si>
    <t>CLA12972</t>
  </si>
  <si>
    <t>급여 암 양전자방출단층촬영(PET)검사 이용률(연간1회한)|100000000|1|202401</t>
  </si>
  <si>
    <t>"XA02593|CLA12972|" + S5 + "|"+(Jong +"0"+F6+"0")+"|"+(Age+n)</t>
  </si>
  <si>
    <t>CLA12975</t>
  </si>
  <si>
    <t>중증질환자(암(4대유사암제외)) 산정특례 등록위험률(최초1회한)|100000000|1|202401</t>
  </si>
  <si>
    <t>"XA02593|CLA12975|" + S5 + "|"+(Jong +"0"+F6+"0")+"|"+(Age+n)</t>
  </si>
  <si>
    <t>CLA12976</t>
  </si>
  <si>
    <t>중증질환자(암(4대유사암제외))산정특례대상진단비(갱신형)</t>
  </si>
  <si>
    <t>"XA02593|CLA12976|" + 0 + "|"+(Jong +"0"+F6+"0")+"|"+If(S1=0,n,0)</t>
  </si>
  <si>
    <t>CLA12977</t>
  </si>
  <si>
    <t>중증질환자(암(4대유사암제외))산정특례대상진단비(갱신용)</t>
  </si>
  <si>
    <t>"XA02593|CLA12977|" + 0 + "|"+(Jong +"0"+F6+"0")+"|"+If(S1=0,n,0)</t>
  </si>
  <si>
    <t>CLA12984</t>
  </si>
  <si>
    <t>투석치료 발생률(급여,최초1회한)|100000000|1|202401</t>
  </si>
  <si>
    <t>"XA02593|CLA12984|" + S5 + "|"+(Jong +"0"+F6+"0")+"|"+(Age+n)</t>
  </si>
  <si>
    <t>CLA12985</t>
  </si>
  <si>
    <t>투석치료 발생률(급여,연간1회한)|100000000|1|202401</t>
  </si>
  <si>
    <t>"XA02593|CLA12985|" + S5 + "|"+(Jong +"0"+F6+"0")+"|"+(Age+n)</t>
  </si>
  <si>
    <t>CLA12988</t>
  </si>
  <si>
    <t>k2*(1-w)</t>
  </si>
  <si>
    <t>k1*k3*(1-w/2)</t>
  </si>
  <si>
    <t>If(t&lt;m,0, 0.5*(W(t)+W(t+1))/2*(1-k2/2)*w)</t>
  </si>
  <si>
    <t>If(t&lt;m,0, 0.5*(V(t)+V(t+1))/2*(1-k2/2)*w)</t>
  </si>
  <si>
    <t>제자리암 발생률|100000000|1|202401</t>
  </si>
  <si>
    <t>경계성종양 발생률|100000000|1|202401</t>
  </si>
  <si>
    <t>12*( (1-(1.0/(1+i))^(n-t-1)) / (1-(1.0/(1+i))) + 0.5* (1.0/(1+i))^(n-t-1)   )</t>
  </si>
  <si>
    <t>(1-D(0.75)*q18*S(3)*q22*r1-q1*q22-q2*q22) * (1-q3*q22) * (1-q4*q22) * ( (1-q11*q21*r1) * (1-q12*S(3)*q21*r1) * (1-q13*S(3)*q23*r1) * (1-q14*S(3)*q24*r1) * (1-q15*S(3)*q25*r1) * (1-q16*S(3)*q25*r1) * (1-q17*S(3)*q25*r1) )</t>
  </si>
  <si>
    <t>(1 - (1-q1*q22-q2*q22) * (1-q3*q22) * (1-q4*q22))</t>
  </si>
  <si>
    <t>"XA02593|CLA12988|" + S5 + "|"+(Jong +"0"+F6+"0")+"|"+n</t>
  </si>
  <si>
    <t>CLA12990</t>
  </si>
  <si>
    <t>4대유사암수술비Ⅱ(수술1회당)(갱신형)</t>
  </si>
  <si>
    <t>"XA02593|CLA12990|" + 0 + "|"+(Jong +"0"+F6+"0")+"|"+If(S1=0,n,0)</t>
  </si>
  <si>
    <t>CLA13024</t>
  </si>
  <si>
    <t>If(Jong=1 or Jong=3, k2, 1 )*(1-q1*q21)*(1-r1*w)</t>
  </si>
  <si>
    <t>"XA02593|CLA13024|" + S5 + "|"+(Jong +"0"+F6+"0")+"|"+(Age+n)</t>
  </si>
  <si>
    <t>CLA13037</t>
  </si>
  <si>
    <t>질병수술률(특정9대질병제외)|100000000|1|202401</t>
  </si>
  <si>
    <t>"XA02593|CLA13037|" + S5 + "|"+(Jong +"0"+F6+"0")+"|"+(Age+n)</t>
  </si>
  <si>
    <t>CLA13056</t>
  </si>
  <si>
    <t>자궁근종 고강도초음파집속술(HIFU)발생률(최초1회한)|100000000|1|202401</t>
  </si>
  <si>
    <t>"XA02593|CLA13056|" + S5 + "|"+(Jong +"0"+F6+"0")+"|"+(Age+n)</t>
  </si>
  <si>
    <t>CLA13060</t>
  </si>
  <si>
    <t>럼프절전이암 발생률|100000000|1|202401</t>
  </si>
  <si>
    <t>(1-D(0.75)*q18*S(3)*q22*r1-If(t=0,0.25,0)*q1*S(3)*q22*r1) * ( (1-q11*q21*r1) * (1-q12*S(3)*q21*r1) * (1-q13*S(3)*q23*r1) * (1-q14*S(3)*q24*r1) * (1-q15*S(3)*q25*r1) * (1-q16*S(3)*q25*r1) * (1-q17*S(3)*q25*r1) )</t>
  </si>
  <si>
    <t>"XA02593|CLA13060|" + S5 + "|"+(Jong +"0"+F6+"0")+"|"+(Age+n)</t>
  </si>
  <si>
    <t>CLA13061</t>
  </si>
  <si>
    <t>특정전이암 발생률|100000000|1|202401</t>
  </si>
  <si>
    <t>"XA02593|CLA13061|" + S5 + "|"+(Jong +"0"+F6+"0")+"|"+(Age+n)</t>
  </si>
  <si>
    <t>CLA15398</t>
  </si>
  <si>
    <t>급여 암 MRI촬영검사 이용률(연간1회한)|100000000|1|202401</t>
  </si>
  <si>
    <t>"XA02593|CLA15398|" + S5 + "|"+(Jong +"0"+F6+"0")+"|"+(Age+n)</t>
  </si>
  <si>
    <t>CLA15399</t>
  </si>
  <si>
    <t>급여 암 내시경검사 이용률(연간1회한)|100000000|1|202401</t>
  </si>
  <si>
    <t>"XA02593|CLA15399|" + S5 + "|"+(Jong +"0"+F6+"0")+"|"+(Age+n)</t>
  </si>
  <si>
    <t>CLA15400</t>
  </si>
  <si>
    <t>급여 특정NGS유전자패널검사 이용률(연간1회한)|100000000|1|202401</t>
  </si>
  <si>
    <t>"XA02593|CLA15400|" + S5 + "|"+(Jong +"0"+F6+"0")+"|"+(Age+n)</t>
  </si>
  <si>
    <t>CLA15405</t>
  </si>
  <si>
    <t>질병수술률Ⅱ|100000000|1|202401</t>
  </si>
  <si>
    <t>"XA02593|CLA15405|" + S5 + "|"+(Jong +"0"+F6+"0")+"|"+(Age+n)</t>
  </si>
  <si>
    <t>CLA15407</t>
  </si>
  <si>
    <t>(1-q18*S(3)*q22-D(0.75)*(q9+q10)*S(3)*q26-If(t=0,0.25,0)*(q19+q20)*S(3)*q22) * ( (1-q11*q21*r1) * (1-q12*S(3)*q21*r1) * (1-q13*S(3)*q23*r1) * (1-q14*S(3)*q24*r1) * (1-q15*S(3)*q25*r1) * (1-q16*S(3)*q25*r1) * (1-q17*S(3)*q25*r1) )</t>
  </si>
  <si>
    <t>"XA02593|CLA15407|" + S5 + "|"+(Jong +"0"+F6+"0")+"|"+(Age+n)</t>
  </si>
  <si>
    <t>CLA15410</t>
  </si>
  <si>
    <t>(1-D(0.75)*q18*S(3)*q22*r1-If(t=0,0.25,0)*q1*S(3)*q26*r1) * ( (1-q11*q21*r1) * (1-q12*S(3)*q21*r1) * (1-q13*S(3)*q23*r1) * (1-q14*S(3)*q24*r1) * (1-q15*S(3)*q25*r1) * (1-q16*S(3)*q25*r1) * (1-q17*S(3)*q25*r1) )</t>
  </si>
  <si>
    <t>"XA02593|CLA15410|" + S5 + "|"+(Jong +"0"+F6+"0")+"|"+(Age+n)</t>
  </si>
  <si>
    <t>CLA15411</t>
  </si>
  <si>
    <t>If(Jong=1 or Jong=3, k2, 1-(q1+q2+q3)*q26*S(3) ) * (1-w)</t>
  </si>
  <si>
    <t>If(t&lt;m,0, 0.5*(W(t)+W(t+1))/2*(1-(q1+q2+q3)*q26*S(3)/2)*w)</t>
  </si>
  <si>
    <t>If(t&lt;m,0, 0.5*(V(t)+V(t+1))/2*(1-(q1+q2+q3)*q26*S(3)/2)*w)</t>
  </si>
  <si>
    <t>"XA02593|CLA15411|" + S5 + "|"+(Jong +"0"+F6+"0")+"|"+(Age+n)</t>
  </si>
  <si>
    <t>CLA15412</t>
  </si>
  <si>
    <t>"XA02593|CLA15412|" + S5 + "|"+(Jong +"0"+F6+"0")+"|"+(Age+n)</t>
  </si>
  <si>
    <t>CLA15463</t>
  </si>
  <si>
    <t>일반상해입원 간병인지원발생률(1일이상 30일한도)(간호간병)|110000000|1|202401</t>
  </si>
  <si>
    <t>"XA02593|CLA15463|" + S5 + "|"+(Jong +"0"+F6+"0")+"|"+(Age+n)</t>
  </si>
  <si>
    <t>CLA15464</t>
  </si>
  <si>
    <t>질병입원 간병인지원발생률(1일이상 30일한도)(간호간병)|100000000|1|202401</t>
  </si>
  <si>
    <t>"XA02593|CLA15464|" + S5 + "|"+(Jong +"0"+F6+"0")+"|"+(Age+n)</t>
  </si>
  <si>
    <t>CLA15465</t>
  </si>
  <si>
    <t>종합병원 일반상해입원 간병인지원발생률(1일이상 30일한도)(간호간병)|110000000|1|202401</t>
  </si>
  <si>
    <t>"XA02593|CLA15465|" + S5 + "|"+(Jong +"0"+F6+"0")+"|"+(Age+n)</t>
  </si>
  <si>
    <t>CLA15466</t>
  </si>
  <si>
    <t>종합병원 질병입원 간병인지원발생률(1일이상 30일한도)(간호간병)|100000000|1|202401</t>
  </si>
  <si>
    <t>"XA02593|CLA15466|" + S5 + "|"+(Jong +"0"+F6+"0")+"|"+(Age+n)</t>
  </si>
  <si>
    <t>CLA15467</t>
  </si>
  <si>
    <t>종합병원 일반상해입원 간병인지원발생률(1일이상 180일한도)(간호간병)|110000000|1|202401</t>
  </si>
  <si>
    <t>"XA02593|CLA15467|" + S5 + "|"+(Jong +"0"+F6+"0")+"|"+(Age+n)</t>
  </si>
  <si>
    <t>CLA15468</t>
  </si>
  <si>
    <t>종합병원 질병입원 간병인지원발생률(1일이상 180일한도)(간호간병)|100000000|1|202401</t>
  </si>
  <si>
    <t>"XA02593|CLA15468|" + S5 + "|"+(Jong +"0"+F6+"0")+"|"+(Age+n)</t>
  </si>
  <si>
    <t>CLA15469</t>
  </si>
  <si>
    <t>상급종합병원 일반상해입원 간병인지원발생률(1일이상 30일한도)(간호간병)|110000000|1|202401</t>
  </si>
  <si>
    <t>"XA02593|CLA15469|" + S5 + "|"+(Jong +"0"+F6+"0")+"|"+(Age+n)</t>
  </si>
  <si>
    <t>CLA15470</t>
  </si>
  <si>
    <t>상급종합병원 질병입원 간병인지원발생률(1일이상 30일한도)(간호간병)|100000000|1|202401</t>
  </si>
  <si>
    <t>"XA02593|CLA15470|" + S5 + "|"+(Jong +"0"+F6+"0")+"|"+(Age+n)</t>
  </si>
  <si>
    <t>CLA15471</t>
  </si>
  <si>
    <t>상급종합병원 일반상해입원 간병인지원발생률(1일이상 180일한도)(간호간병)|110000000|1|202401</t>
  </si>
  <si>
    <t>"XA02593|CLA15471|" + S5 + "|"+(Jong +"0"+F6+"0")+"|"+(Age+n)</t>
  </si>
  <si>
    <t>CLA15472</t>
  </si>
  <si>
    <t>상급종합병원 질병입원 간병인지원발생률(1일이상 180일한도)(간호간병)|100000000|1|202401</t>
  </si>
  <si>
    <t>"XA02593|CLA15472|" + S5 + "|"+(Jong +"0"+F6+"0")+"|"+(Age+n)</t>
  </si>
  <si>
    <t>CLA15495</t>
  </si>
  <si>
    <t>(q1+0.5*q2)*q26*(1-w/2)*S(3)</t>
  </si>
  <si>
    <t>질병입원 간병인지원발생률Ⅱ(요양병원제외, 7만원이상, 1일이상 180일한도)(간병인)|100000000|1|202401</t>
  </si>
  <si>
    <t>질병입원 간병인지원발생률Ⅱ(요양병원제외, 7만원미만, 1일이상 180일한도)(간병인)|100000000|1|202401</t>
  </si>
  <si>
    <t>"XA02593|CLA15495|" + S5 + "|"+(Jong +"0"+F6+"0")+"|"+(Age+n)</t>
  </si>
  <si>
    <t>CLA15496</t>
  </si>
  <si>
    <t>질병입원 간병인지원발생률Ⅱ(요양병원, 1일이상 180일한도)(간병인)|100000000|1|202401</t>
  </si>
  <si>
    <t>"XA02593|CLA15496|" + S5 + "|"+(Jong +"0"+F6+"0")+"|"+(Age+n)</t>
  </si>
  <si>
    <t>CLA15497</t>
  </si>
  <si>
    <t>"XA02593|CLA15497|" + S5 + "|"+(Jong +"0"+F6+"0")+"|"+(Age+n)</t>
  </si>
  <si>
    <t>CLA15498</t>
  </si>
  <si>
    <t>일반상해입원 간병인지원발생률Ⅱ(요양병원제외, 7만원이상, 1일이상 180일한도)(간병인)|110000000|1|202401</t>
  </si>
  <si>
    <t>일반상해입원 간병인지원발생률Ⅱ(요양병원제외, 7만원미만, 1일이상 180일한도)(간병인)|110000000|1|202401</t>
  </si>
  <si>
    <t>"XA02593|CLA15498|" + S5 + "|"+(Jong +"0"+F6+"0")+"|"+(Age+n)</t>
  </si>
  <si>
    <t>CLA15499</t>
  </si>
  <si>
    <t>일반상해입원 간병인지원발생률Ⅱ(요양병원, 1일이상 180일한도)(간병인)1급/2급/3급|110000000|1|202401</t>
  </si>
  <si>
    <t>"XA02593|CLA15499|" + S5 + "|"+(Jong +"0"+F6+"0")+"|"+(Age+n)</t>
  </si>
  <si>
    <t>CLA15500</t>
  </si>
  <si>
    <t>일반상해입원 간병인지원발생률(1일이상 180일한도)(간호간병)1급/2급/3급|110000000|1|202401</t>
  </si>
  <si>
    <t>"XA02593|CLA15500|" + S5 + "|"+(Jong +"0"+F6+"0")+"|"+(Age+n)</t>
  </si>
  <si>
    <t>CLA15749</t>
  </si>
  <si>
    <t>"XA02593|CLA15749|" + S5 + "|"+(Jong +"0"+F6+"0")+"|"+n</t>
  </si>
  <si>
    <t>CLA15750</t>
  </si>
  <si>
    <t>중증화상및부식발생률|100000000|1|202401</t>
  </si>
  <si>
    <t>"XA02593|CLA15750|" + S5 + "|"+(Jong +"0"+F6+"0")+"|"+(Age+n)</t>
  </si>
  <si>
    <t>CLA15754</t>
  </si>
  <si>
    <t>상해흉터복원수술률Ⅱ(1000만원한도)|000000000|0|202401</t>
  </si>
  <si>
    <t>"XA02593|CLA15754|" + S5 + "|"+(Jong +"0"+F6+"0")+"|"+(Age+n)</t>
  </si>
  <si>
    <t>CLA15757</t>
  </si>
  <si>
    <t>If(t&lt;m,0, 0.5*(W(t)+W(t+1))/2*(1-q1*q21*S(3)/2)*w)</t>
  </si>
  <si>
    <t>If(t&lt;m,0, 0.5*(V(t)+V(t+1))/2*(1-q1*q21*S(3)/2)*w)</t>
  </si>
  <si>
    <t>"XA02593|CLA15757|" + S5 + "|"+(Jong +"0"+F6+"0")+"|"+n</t>
  </si>
  <si>
    <t>CLA15758</t>
  </si>
  <si>
    <t>질병사망(갱신형)</t>
  </si>
  <si>
    <t>"XA02593|CLA15758|" + 0 + "|"+(Jong +"0"+F6+"0")+"|"+If(S1=0,n,0)</t>
  </si>
  <si>
    <t>CLA15759</t>
  </si>
  <si>
    <t>(1-D(0.75)*q18*S(3)*q22*r1) * ( (1-q11*q21*r1) * (1-q12*S(3)*q21*r1) * (1-q13*S(3)*q23*r1) * (1-q14*S(3)*q24*r1) * (1-q15*S(3)*q25*r1) * (1-q16*S(3)*q25*r1))</t>
  </si>
  <si>
    <t>"XA02593|CLA15759|" + S5 + "|"+(Jong +"0"+F6+"0")+"|"+(Age+n)</t>
  </si>
  <si>
    <t>CLA15760</t>
  </si>
  <si>
    <t>(1-D(0.75)*q18*S(3)*q22*r1) * ( (1-q11*q21*r1) * (1-q12*S(3)*q21*r1) * (1-q13*S(3)*q23*r1) * (1-q14*S(3)*q24*r1) * (1-q16*S(3)*q25*r1) * (1-q17*S(3)*q25*r1) )</t>
  </si>
  <si>
    <t>"XA02593|CLA15760|" + S5 + "|"+(Jong +"0"+F6+"0")+"|"+(Age+n)</t>
  </si>
  <si>
    <t>CLA15761</t>
  </si>
  <si>
    <t>중대한재생불량성빈혈발생률|100000000|1|202401</t>
  </si>
  <si>
    <t>"XA02593|CLA15761|" + S5 + "|"+(Jong +"0"+F6+"0")+"|"+(Age+n)</t>
  </si>
  <si>
    <t>CLA15763</t>
  </si>
  <si>
    <t>남성특정비뇨기계질환수술률|100000000|1|202401</t>
  </si>
  <si>
    <t>"XA02593|CLA15763|" + S5 + "|"+(Jong +"0"+F6+"0")+"|"+(Age+n)</t>
  </si>
  <si>
    <t>CLA15764</t>
  </si>
  <si>
    <t>호흡기관련질병수술률|100000000|1|202401</t>
  </si>
  <si>
    <t>"XA02593|CLA15764|" + S5 + "|"+(Jong +"0"+F6+"0")+"|"+(Age+n)</t>
  </si>
  <si>
    <t>CLA15767</t>
  </si>
  <si>
    <t>인공관절(견,고,슬) 치환 수술률(연간1회한도)|100000000|1|202401</t>
  </si>
  <si>
    <t>"XA02593|CLA15767|" + S5 + "|"+(Jong +"0"+F6+"0")+"|"+(Age+n)</t>
  </si>
  <si>
    <t>CLA15774</t>
  </si>
  <si>
    <t>크론병 발생률|100000000|1|202401</t>
  </si>
  <si>
    <t>"XA02593|CLA15774|" + S5 + "|"+(Jong +"0"+F6+"0")+"|"+(Age+n)</t>
  </si>
  <si>
    <t>CLA15775</t>
  </si>
  <si>
    <t>암(4대유사암제외)항암방사선치료비(1회한)(갱신형)</t>
  </si>
  <si>
    <t>"XA02593|CLA15775|" + 0 + "|"+(Jong +"0"+F6+"0")+"|"+If(S1=0,n,0)</t>
  </si>
  <si>
    <t>CLA15776</t>
  </si>
  <si>
    <t>암(4대유사암제외)항암약물치료비(1회한)(갱신형)</t>
  </si>
  <si>
    <t>"XA02593|CLA15776|" + 0 + "|"+(Jong +"0"+F6+"0")+"|"+If(S1=0,n,0)</t>
  </si>
  <si>
    <t>CLA15777</t>
  </si>
  <si>
    <t>당뇨병(당화혈색소6.5%이상)진단비(갱신형)</t>
  </si>
  <si>
    <t>q1*q26*(1-w/2)*S(3)*D(0)</t>
  </si>
  <si>
    <t>당뇨병(당화혈색소 6.5%이상)발생률|100000000|1|202401</t>
  </si>
  <si>
    <t>"XA02593|CLA15777|" + 0 + "|"+(Jong +"0"+F6+"0")+"|"+If(S1=0,n,0)</t>
  </si>
  <si>
    <t>CLA15778</t>
  </si>
  <si>
    <t>인슐린치료비(1회한)(갱신형)</t>
  </si>
  <si>
    <t>인슐린치료발생률(최초1회한)|100000000|1|202401</t>
  </si>
  <si>
    <t>(1-D(0.75)*q18*S(3)*q22*r1-If(t=0,0.25,0)*q1*q22*r1) * ( (1-q11*q21*r1) * (1-q12*S(3)*q21*r1) * (1-q13*S(3)*q23*r1) * (1-q14*S(3)*q24*r1) * (1-q15*S(3)*q25*r1) * (1-q16*S(3)*q25*r1) * (1-q17*S(3)*q25*r1) )</t>
  </si>
  <si>
    <t>"XA02593|CLA15778|" + 0 + "|"+(Jong +"0"+F6+"0")+"|"+If(S1=0,n,0)</t>
  </si>
  <si>
    <t>CLA15786</t>
  </si>
  <si>
    <t>특정부인과질병 수술률|100000000|1|202401</t>
  </si>
  <si>
    <t>"XA02593|CLA15786|" + S5 + "|"+(Jong +"0"+F6+"0")+"|"+(Age+n)</t>
  </si>
  <si>
    <t>CLA15797</t>
  </si>
  <si>
    <t>신깁스치료발생률|100000000|1|202401</t>
  </si>
  <si>
    <t>"XA02593|CLA15797|" + S5 + "|"+(Jong +"0"+F6+"0")+"|"+(Age+n)</t>
  </si>
  <si>
    <t>CLA15798</t>
  </si>
  <si>
    <t>이비인후과질환수술률(수술1회당)|100000000|1|202401</t>
  </si>
  <si>
    <t>"XA02593|CLA15798|" + S5 + "|"+(Jong +"0"+F6+"0")+"|"+(Age+n)</t>
  </si>
  <si>
    <t>CLA15809</t>
  </si>
  <si>
    <t>암(4대유사암제외)항암방사선약물치료비(연간1회한,급여)(갱신형)</t>
  </si>
  <si>
    <t>"XA02593|CLA15809|" + 0 + "|"+(Jong +"0"+F6+"0")+"|"+If(S1=0,n,0)</t>
  </si>
  <si>
    <t>CLA15810</t>
  </si>
  <si>
    <t>특정8대기관양성종양및폴립수술비(연간1회한,급여)(갱신형)</t>
  </si>
  <si>
    <t>"XA02593|CLA15810|" + 0 + "|"+(Jong +"0"+F6+"0")+"|"+If(S1=0,n,0)</t>
  </si>
  <si>
    <t>CLA15811</t>
  </si>
  <si>
    <t>갑상선기능항진증 발생률|100000000|1|202401</t>
  </si>
  <si>
    <t>"XA02593|CLA15811|" + S5 + "|"+(Jong +"0"+F6+"0")+"|"+(Age+n)</t>
  </si>
  <si>
    <t>CLA15812</t>
  </si>
  <si>
    <t>급여 암재활치료 발생률(1일1회, 연간10회한)|100000000|1|202401</t>
  </si>
  <si>
    <t>(1-(q18+(1-U(0.75))*(q9+q10))*S(3)*q22) * ( (1-q11*q21*r1) * (1-q12*S(3)*q21*r1) * (1-q13*S(3)*q23*r1) * (1-q14*S(3)*q24*r1) * (1-q15*S(3)*q25*r1) * (1-q16*S(3)*q25*r1) * (1-q17*S(3)*q25*r1) )</t>
  </si>
  <si>
    <t>"XA02593|CLA15812|" + S5 + "|"+(Jong +"0"+F6+"0")+"|"+(Age+n)</t>
  </si>
  <si>
    <t>CLA15813</t>
  </si>
  <si>
    <t>급여 암 특정통증완화치료 발생률(연간1회한)|100000000|1|202401</t>
  </si>
  <si>
    <t>"XA02593|CLA15813|" + S5 + "|"+(Jong +"0"+F6+"0")+"|"+(Age+n)</t>
  </si>
  <si>
    <t>CLA15814</t>
  </si>
  <si>
    <t>질병수술비(특정5대질병제외)(갱신형)</t>
  </si>
  <si>
    <t>"XA02593|CLA15814|" + 0 + "|"+(Jong +"0"+F6+"0")+"|"+If(S1=0,n,0)</t>
  </si>
  <si>
    <t>CLA15819</t>
  </si>
  <si>
    <t>주요심장염증질환 발생률(최초1회한)|100000000|1|202401</t>
  </si>
  <si>
    <t>"XA02593|CLA15819|" + S5 + "|"+(Jong +"0"+F6+"0")+"|"+(Age+n)</t>
  </si>
  <si>
    <t>CLA15821</t>
  </si>
  <si>
    <t>특정상해성뇌손상 발생률|100000000|1|202401</t>
  </si>
  <si>
    <t>"XA02593|CLA15821|" + S5 + "|"+(Jong +"0"+F6+"0")+"|"+(Age+n)</t>
  </si>
  <si>
    <t>CLA15822</t>
  </si>
  <si>
    <t>특정상해성장기손상 발생률|100000000|1|202401</t>
  </si>
  <si>
    <t>"XA02593|CLA15822|" + S5 + "|"+(Jong +"0"+F6+"0")+"|"+(Age+n)</t>
  </si>
  <si>
    <t>CLA15825</t>
  </si>
  <si>
    <t>급성신우신염 발생률(최초1회한)|100000000|1|202401</t>
  </si>
  <si>
    <t>"XA02593|CLA15825|" + S5 + "|"+(Jong +"0"+F6+"0")+"|"+(Age+n)</t>
  </si>
  <si>
    <t>CLA15834</t>
  </si>
  <si>
    <t>혈전용해치료발생률(급여,연간1회한)|100000000|1|202401</t>
  </si>
  <si>
    <t>"XA02593|CLA15834|" + S5 + "|"+(Jong +"0"+F6+"0")+"|"+(Age+n)</t>
  </si>
  <si>
    <t>CLA15835</t>
  </si>
  <si>
    <t>안면부창상봉합술(3cm이상) 발생률|100000000|1|202401</t>
  </si>
  <si>
    <t>"XA02593|CLA15835|" + S5 + "|"+(Jong +"0"+F6+"0")+"|"+(Age+n)</t>
  </si>
  <si>
    <t>CLA15838</t>
  </si>
  <si>
    <t>팔,다리(손,발제외) 절골 및 체내금속고정수술률(연간1회한)|100000000|1|202401</t>
  </si>
  <si>
    <t>"XA02593|CLA15838|" + S5 + "|"+(Jong +"0"+F6+"0")+"|"+(Age+n)</t>
  </si>
  <si>
    <t>CLA15840</t>
  </si>
  <si>
    <t>k2 * (1-w)</t>
  </si>
  <si>
    <t>(1-k2)*(1-w/2)*S(3)</t>
  </si>
  <si>
    <t>If(t&lt;m,0, 0.5*(W(t)+W(t+1))/2*(1-(1-k2)/2)*w)</t>
  </si>
  <si>
    <t>If(t&lt;m,0, 0.5*(V(t)+V(t+1))/2*(1-(1-k2)/2)*w)</t>
  </si>
  <si>
    <t>"XA02593|CLA15840|" + S5 + "|"+(Jong +"0"+F6+"0")+"|"+(Age+n)</t>
  </si>
  <si>
    <t>CLA15841</t>
  </si>
  <si>
    <t>"XA02593|CLA15841|" + S5 + "|"+(Jong +"0"+F6+"0")+"|"+n</t>
  </si>
  <si>
    <t>CLA15842</t>
  </si>
  <si>
    <t xml:space="preserve">(1-D(0.75)*q18*S(3)*q22*r1) </t>
  </si>
  <si>
    <t>"XA02593|CLA15842|" + S5 + "|"+(Jong +"0"+F6+"0")+"|"+n</t>
  </si>
  <si>
    <t>CLA15843</t>
  </si>
  <si>
    <t>(1-D(0.75)*q18*S(3)*q22*r1) * (1-q13*S(3)*q23*r1) * (1-q14*S(3)*q24*r1)</t>
  </si>
  <si>
    <t>"XA02593|CLA15843|" + S5 + "|"+(Jong +"0"+F6+"0")+"|"+n</t>
  </si>
  <si>
    <t>CLA15844</t>
  </si>
  <si>
    <t>전립선바늘생검조직병리진단발생률(급여,연간1회한)|100000000|1|202401</t>
  </si>
  <si>
    <t>"XA02593|CLA15844|" + S5 + "|"+(Jong +"0"+F6+"0")+"|"+(Age+n)</t>
  </si>
  <si>
    <t>CLA15865</t>
  </si>
  <si>
    <t>교통상해사망률|101000000|1|202401</t>
  </si>
  <si>
    <t>상해80%이상후유장해(1804)(운전용)|101000000|1|202401</t>
  </si>
  <si>
    <t>"XA02593|CLA15865|" + S5 + "|"+(Jong +"0"+F6+"0")+"|"+(Age+n)</t>
  </si>
  <si>
    <t>CLA15866</t>
  </si>
  <si>
    <t>"XA02593|CLA15866|" + S5 + "|"+(Jong +"0"+F6+"0")+"|"+n</t>
  </si>
  <si>
    <t>CLA15872</t>
  </si>
  <si>
    <t>특정천공 발생률(최초1회한)|100000000|1|202401</t>
  </si>
  <si>
    <t>"XA02593|CLA15872|" + S5 + "|"+(Jong +"0"+F6+"0")+"|"+(Age+n)</t>
  </si>
  <si>
    <t>CLA15873</t>
  </si>
  <si>
    <t>특정천공동반질병 발생률(최초1회한)|100000000|1|202401</t>
  </si>
  <si>
    <t>"XA02593|CLA15873|" + S5 + "|"+(Jong +"0"+F6+"0")+"|"+(Age+n)</t>
  </si>
  <si>
    <t>CLA15874</t>
  </si>
  <si>
    <t>특정천공동반게실병 발생률(최초1회한)|100000000|1|202401</t>
  </si>
  <si>
    <t>"XA02593|CLA15874|" + S5 + "|"+(Jong +"0"+F6+"0")+"|"+(Age+n)</t>
  </si>
  <si>
    <t>CLA15875</t>
  </si>
  <si>
    <t>특정치료후발질환발생률(특정인공삽입장치,이식및조직합병증)(최초1회한)|100000000|1|202401</t>
  </si>
  <si>
    <t>"XA02593|CLA15875|" + S5 + "|"+(Jong +"0"+F6+"0")+"|"+(Age+n)</t>
  </si>
  <si>
    <t>CLA15877</t>
  </si>
  <si>
    <t>특정쇼크(Shock)발생률(최초1회한)|100000000|1|202401</t>
  </si>
  <si>
    <t>"XA02593|CLA15877|" + S5 + "|"+(Jong +"0"+F6+"0")+"|"+(Age+n)</t>
  </si>
  <si>
    <t>CLA15878</t>
  </si>
  <si>
    <t>골다공증발생률(최초1회한)|100000000|1|202401</t>
  </si>
  <si>
    <t>"XA02593|CLA15878|" + S5 + "|"+(Jong +"0"+F6+"0")+"|"+(Age+n)</t>
  </si>
  <si>
    <t>CLA15880</t>
  </si>
  <si>
    <t>급여 특정화상처치 발생률(1일1회, 연간5회한)|100000000|1|202401</t>
  </si>
  <si>
    <t>"XA02593|CLA15880|" + S5 + "|"+(Jong +"0"+F6+"0")+"|"+(Age+n)</t>
  </si>
  <si>
    <t>CLA15883</t>
  </si>
  <si>
    <t>질병입원율(1일이상10일한도)|100000000|1|202401</t>
  </si>
  <si>
    <t>"XA02593|CLA15883|" + S5 + "|"+(Jong +"0"+F6+"0")+"|"+(Age+n)</t>
  </si>
  <si>
    <t>CLA15893</t>
  </si>
  <si>
    <t>표적항암약물허가치료발생률(연간1회한)|100000000|1|202401</t>
  </si>
  <si>
    <t>"XA02593|CLA15893|" + S5 + "|"+(Jong +"0"+F6+"0")+"|"+(Age+n)</t>
  </si>
  <si>
    <t>CLA15894</t>
  </si>
  <si>
    <t>암(특정유사암포함)표적항암약물허가치료비(연간1회한)(갱신형)</t>
  </si>
  <si>
    <t>"XA02593|CLA15894|" + 0 + "|"+(Jong +"0"+F6+"0")+"|"+If(S1=0,n,0)</t>
  </si>
  <si>
    <t>CLA15895</t>
  </si>
  <si>
    <t>q1*q21*(1-w/2)*(1+0.1*RoundDown(t/5,0))</t>
  </si>
  <si>
    <t>"XA02593|CLA15895|" + S5 + "|"+(Jong +"0"+F6+"0")+"|"+(Age+n)</t>
  </si>
  <si>
    <t>CLA15896</t>
  </si>
  <si>
    <t>"XA02593|CLA15896|" + S5 + "|"+(Jong +"0"+F6+"0")+"|"+(Age+n)</t>
  </si>
  <si>
    <t>CLA15897</t>
  </si>
  <si>
    <t>암(4대유사암제외)항암방사선치료비(1회한)(갱신용)</t>
  </si>
  <si>
    <t>"XA02593|CLA15897|" + 0 + "|"+(Jong +"0"+F6+"0")+"|"+If(S1=0,n,0)</t>
  </si>
  <si>
    <t>CLA15898</t>
  </si>
  <si>
    <t>암(4대유사암제외)항암약물치료비(1회한)(갱신용)</t>
  </si>
  <si>
    <t>"XA02593|CLA15898|" + 0 + "|"+(Jong +"0"+F6+"0")+"|"+If(S1=0,n,0)</t>
  </si>
  <si>
    <t>CLA15899</t>
  </si>
  <si>
    <t>당뇨병(당화혈색소6.5%이상)진단비(갱신용)</t>
  </si>
  <si>
    <t>"XA02593|CLA15899|" + 0 + "|"+(Jong +"0"+F6+"0")+"|"+If(S1=0,n,0)</t>
  </si>
  <si>
    <t>CLA15900</t>
  </si>
  <si>
    <t>인슐린치료비(1회한)(갱신용)</t>
  </si>
  <si>
    <t>"XA02593|CLA15900|" + 0 + "|"+(Jong +"0"+F6+"0")+"|"+If(S1=0,n,0)</t>
  </si>
  <si>
    <t>CLA15908</t>
  </si>
  <si>
    <t>암(4대유사암제외)항암방사선약물치료비(연간1회한,급여)(갱신용)</t>
  </si>
  <si>
    <t>"XA02593|CLA15908|" + 0 + "|"+(Jong +"0"+F6+"0")+"|"+If(S1=0,n,0)</t>
  </si>
  <si>
    <t>CLA15909</t>
  </si>
  <si>
    <t>특정8대기관양성종양및폴립수술비(연간1회한,급여)(갱신용)</t>
  </si>
  <si>
    <t>"XA02593|CLA15909|" + 0 + "|"+(Jong +"0"+F6+"0")+"|"+If(S1=0,n,0)</t>
  </si>
  <si>
    <t>CLA15914</t>
  </si>
  <si>
    <t>암(특정유사암포함)표적항암약물허가치료비(연간1회한)(갱신용)</t>
  </si>
  <si>
    <t>"XA02593|CLA15914|" + 0 + "|"+(Jong +"0"+F6+"0")+"|"+If(S1=0,n,0)</t>
  </si>
  <si>
    <t>CLA15938</t>
  </si>
  <si>
    <t>전이암진단비(림프절전이암)(갱신형)</t>
  </si>
  <si>
    <t>"XA02593|CLA15938|" + 0 + "|"+(Jong +"0"+F6+"0")+"|"+If(S1=0,n,0)</t>
  </si>
  <si>
    <t>CLA15939</t>
  </si>
  <si>
    <t>전이암진단비(림프절전이암)(갱신용)</t>
  </si>
  <si>
    <t>"XA02593|CLA15939|" + 0 + "|"+(Jong +"0"+F6+"0")+"|"+If(S1=0,n,0)</t>
  </si>
  <si>
    <t>CLA15940</t>
  </si>
  <si>
    <t>전이암진단비(특정전이암)(갱신형)</t>
  </si>
  <si>
    <t>"XA02593|CLA15940|" + 0 + "|"+(Jong +"0"+F6+"0")+"|"+If(S1=0,n,0)</t>
  </si>
  <si>
    <t>CLA15941</t>
  </si>
  <si>
    <t>전이암진단비(특정전이암)(갱신용)</t>
  </si>
  <si>
    <t>"XA02593|CLA15941|" + 0 + "|"+(Jong +"0"+F6+"0")+"|"+If(S1=0,n,0)</t>
  </si>
  <si>
    <t>CLA15947</t>
  </si>
  <si>
    <t>상해수술률(1-5종)Ⅲ(수술1회당)1종|100000000|1|202401</t>
  </si>
  <si>
    <t>"XA02593|CLA15947|" + S5 + "|"+(Jong +"0"+F6+"0")+"|"+(Age+n)</t>
  </si>
  <si>
    <t>CLA15949</t>
  </si>
  <si>
    <t>상해수술률(1-5종)Ⅲ(수술1회당)2종|100000000|1|202401</t>
  </si>
  <si>
    <t>"XA02593|CLA15949|" + S5 + "|"+(Jong +"0"+F6+"0")+"|"+(Age+n)</t>
  </si>
  <si>
    <t>CLA15951</t>
  </si>
  <si>
    <t>상해수술률(1-5종)Ⅲ(수술1회당)3종|100000000|1|202401</t>
  </si>
  <si>
    <t>"XA02593|CLA15951|" + S5 + "|"+(Jong +"0"+F6+"0")+"|"+(Age+n)</t>
  </si>
  <si>
    <t>CLA15953</t>
  </si>
  <si>
    <t>상해수술률(1-5종)Ⅲ(수술1회당)4종|100000000|1|202401</t>
  </si>
  <si>
    <t>"XA02593|CLA15953|" + S5 + "|"+(Jong +"0"+F6+"0")+"|"+(Age+n)</t>
  </si>
  <si>
    <t>CLA15955</t>
  </si>
  <si>
    <t>상해수술률(1-5종)Ⅲ(수술1회당)5종|100000000|1|202401</t>
  </si>
  <si>
    <t>"XA02593|CLA15955|" + S5 + "|"+(Jong +"0"+F6+"0")+"|"+(Age+n)</t>
  </si>
  <si>
    <t>CLA15957</t>
  </si>
  <si>
    <t>질병수술률(1-5종)Ⅴ(수술1회당)1종|100000000|1|202401</t>
  </si>
  <si>
    <t>"XA02593|CLA15957|" + S5 + "|"+(Jong +"0"+F6+"0")+"|"+(Age+n)</t>
  </si>
  <si>
    <t>CLA15959</t>
  </si>
  <si>
    <t>질병수술률(1-5종)Ⅴ(수술1회당)2종|100000000|1|202401</t>
  </si>
  <si>
    <t>"XA02593|CLA15959|" + S5 + "|"+(Jong +"0"+F6+"0")+"|"+(Age+n)</t>
  </si>
  <si>
    <t>CLA15961</t>
  </si>
  <si>
    <t>질병수술률(1-5종)Ⅴ(수술1회당)3종|100000000|1|202401</t>
  </si>
  <si>
    <t>"XA02593|CLA15961|" + S5 + "|"+(Jong +"0"+F6+"0")+"|"+(Age+n)</t>
  </si>
  <si>
    <t>CLA15963</t>
  </si>
  <si>
    <t>질병수술률(1-5종)Ⅴ(수술1회당)4종|100000000|1|202401</t>
  </si>
  <si>
    <t>"XA02593|CLA15963|" + S5 + "|"+(Jong +"0"+F6+"0")+"|"+(Age+n)</t>
  </si>
  <si>
    <t>CLA15965</t>
  </si>
  <si>
    <t>질병수술률(1-5종)Ⅴ(수술1회당)5종|100000000|1|202401</t>
  </si>
  <si>
    <t>"XA02593|CLA15965|" + S5 + "|"+(Jong +"0"+F6+"0")+"|"+(Age+n)</t>
  </si>
  <si>
    <t>CLA15967</t>
  </si>
  <si>
    <t>상해1-5종수술비Ⅳ(수술1회당)(1종)(갱신형)</t>
  </si>
  <si>
    <t>"XA02593|CLA15967|" + 0 + "|"+(Jong +"0"+F6+"0")+"|"+If(S1=0,n,0)</t>
  </si>
  <si>
    <t>CLA15969</t>
  </si>
  <si>
    <t>상해1-5종수술비Ⅳ(수술1회당)(2종)(갱신형)</t>
  </si>
  <si>
    <t>"XA02593|CLA15969|" + 0 + "|"+(Jong +"0"+F6+"0")+"|"+If(S1=0,n,0)</t>
  </si>
  <si>
    <t>CLA15971</t>
  </si>
  <si>
    <t>상해1-5종수술비Ⅳ(수술1회당)(3종)(갱신형)</t>
  </si>
  <si>
    <t>"XA02593|CLA15971|" + 0 + "|"+(Jong +"0"+F6+"0")+"|"+If(S1=0,n,0)</t>
  </si>
  <si>
    <t>CLA15973</t>
  </si>
  <si>
    <t>상해1-5종수술비Ⅳ(수술1회당)(4종)(갱신형)</t>
  </si>
  <si>
    <t>"XA02593|CLA15973|" + 0 + "|"+(Jong +"0"+F6+"0")+"|"+If(S1=0,n,0)</t>
  </si>
  <si>
    <t>CLA15975</t>
  </si>
  <si>
    <t>상해1-5종수술비Ⅳ(수술1회당)(5종)(갱신형)</t>
  </si>
  <si>
    <t>"XA02593|CLA15975|" + 0 + "|"+(Jong +"0"+F6+"0")+"|"+If(S1=0,n,0)</t>
  </si>
  <si>
    <t>CLA15977</t>
  </si>
  <si>
    <t>질병1-5종수술비Ⅳ(수술1회당)(1종)(갱신형)</t>
  </si>
  <si>
    <t>"XA02593|CLA15977|" + 0 + "|"+(Jong +"0"+F6+"0")+"|"+If(S1=0,n,0)</t>
  </si>
  <si>
    <t>CLA15979</t>
  </si>
  <si>
    <t>질병1-5종수술비Ⅳ(수술1회당)(2종)(갱신형)</t>
  </si>
  <si>
    <t>"XA02593|CLA15979|" + 0 + "|"+(Jong +"0"+F6+"0")+"|"+If(S1=0,n,0)</t>
  </si>
  <si>
    <t>CLA15981</t>
  </si>
  <si>
    <t>질병1-5종수술비Ⅳ(수술1회당)(3종)(갱신형)</t>
  </si>
  <si>
    <t>"XA02593|CLA15981|" + 0 + "|"+(Jong +"0"+F6+"0")+"|"+If(S1=0,n,0)</t>
  </si>
  <si>
    <t>CLA15983</t>
  </si>
  <si>
    <t>질병1-5종수술비Ⅳ(수술1회당)(4종)(갱신형)</t>
  </si>
  <si>
    <t>"XA02593|CLA15983|" + 0 + "|"+(Jong +"0"+F6+"0")+"|"+If(S1=0,n,0)</t>
  </si>
  <si>
    <t>CLA15985</t>
  </si>
  <si>
    <t>질병1-5종수술비Ⅳ(수술1회당)(5종)(갱신형)</t>
  </si>
  <si>
    <t>"XA02593|CLA15985|" + 0 + "|"+(Jong +"0"+F6+"0")+"|"+If(S1=0,n,0)</t>
  </si>
  <si>
    <t>CLA15992</t>
  </si>
  <si>
    <t>"XA02593|CLA15992|" + S5 + "|"+(Jong +"0"+F6+"0")+"|"+(Age+n)</t>
  </si>
  <si>
    <t>CLA15994</t>
  </si>
  <si>
    <t>(감액및면책없음)암(4대유사암제외)진단비(갱신형)</t>
  </si>
  <si>
    <t>"XA02593|CLA15994|" + 0 + "|"+(Jong +"0"+F6+"0")+"|"+If(S1=0,n,0)</t>
  </si>
  <si>
    <t>CLA16044</t>
  </si>
  <si>
    <t>"XA02593|CLA16044|" + S5 + "|"+(Jong +"0"+F6+"0")+"|"+(Age+n)</t>
  </si>
  <si>
    <t>CLA16047</t>
  </si>
  <si>
    <t>(감액및면책없음)암(4대유사암제외)수술비Ⅱ(수술1회당)(갱신형)</t>
  </si>
  <si>
    <t>"XA02593|CLA16047|" + 0 + "|"+(Jong +"0"+F6+"0")+"|"+If(S1=0,n,0)</t>
  </si>
  <si>
    <t>CLA16050</t>
  </si>
  <si>
    <t>(1-D(0.75)*q18*q22*S(3)*r1-(1-D(0.75))*q1*q26*S(3)*r1) * ( (1-q11*q21*r1) * (1-q12*S(3)*q21*r1) * (1-q13*S(3)*q23*r1) * (1-q14*S(3)*q24*r1) * (1-q15*S(3)*q25*r1) * (1-q16*S(3)*q25*r1) * (1-q17*S(3)*q25*r1) )</t>
  </si>
  <si>
    <t>"XA02593|CLA16050|" + S5 + "|"+(Jong +"0"+F6+"0")+"|"+(Age+n)</t>
  </si>
  <si>
    <t>CLA16052</t>
  </si>
  <si>
    <t>"XA02593|CLA16052|" + S5 + "|"+(Jong +"0"+F6+"0")+"|"+(Age+n)</t>
  </si>
  <si>
    <t>CLA16054</t>
  </si>
  <si>
    <t>(1-U(0.75)*q18*S(3)*q22*r1) * ( (1-q11*q21*r1) * (1-q12*S(3)*q21*r1) * (1-q13*S(3)*q23*r1) * (1-q14*S(3)*q24*r1) * (1-q15*S(3)*q25*r1) * (1-q16*S(3)*q25*r1) * (1-q17*S(3)*q25*r1) )</t>
  </si>
  <si>
    <t>"XA02593|CLA16054|" + S5 + "|"+(Jong +"0"+F6+"0")+"|"+(Age+n)</t>
  </si>
  <si>
    <t>CLA16058</t>
  </si>
  <si>
    <t>(감액및면책없음)암(특정유사암포함)표적항암약물허가치료비(1회한)(갱신형)</t>
  </si>
  <si>
    <t>"XA02593|CLA16058|" + 0 + "|"+(Jong +"0"+F6+"0")+"|"+If(S1=0,n,0)</t>
  </si>
  <si>
    <t>CLA16060</t>
  </si>
  <si>
    <t>(1-D(0.75)*q18*S(3)*q22-D(0.75)*(q9+q10)*S(3)*q26-(1-D(0.75))*q1*S(3)*q26) * ( (1-q11*q21*r1) * (1-q12*S(3)*q21*r1) * (1-q13*S(3)*q23*r1) * (1-q14*S(3)*q24*r1) * (1-q15*S(3)*q25*r1) * (1-q16*S(3)*q25*r1) * (1-q17*S(3)*q25*r1) )</t>
  </si>
  <si>
    <t>"XA02593|CLA16060|" + S5 + "|"+(Jong +"0"+F6+"0")+"|"+(Age+n)</t>
  </si>
  <si>
    <t>CLA16221</t>
  </si>
  <si>
    <t>연내 급여의료비 본인부담금총액 중위소득50%이상 발생률(치과포함, 최초1회한)|100000000|1|202401</t>
  </si>
  <si>
    <t>"XA02593|CLA16221|" + S5 + "|"+(Jong +"0"+F6+"0")+"|"+(Age+n)</t>
  </si>
  <si>
    <t>CLA16223</t>
  </si>
  <si>
    <t>연내 급여의료비 본인부담금총액 중위소득100%이상 발생률(치과포함, 최초1회한)|100000000|1|202401</t>
  </si>
  <si>
    <t>"XA02593|CLA16223|" + S5 + "|"+(Jong +"0"+F6+"0")+"|"+(Age+n)</t>
  </si>
  <si>
    <t>CLA16225</t>
  </si>
  <si>
    <t>연내 급여의료비 본인부담금총액 중위소득200%이상 발생률(치과포함, 최초1회한)|100000000|1|202401</t>
  </si>
  <si>
    <t>"XA02593|CLA16225|" + S5 + "|"+(Jong +"0"+F6+"0")+"|"+(Age+n)</t>
  </si>
  <si>
    <t>CLA16227</t>
  </si>
  <si>
    <t>연내 급여의료비 본인부담금총액 중위소득300%이상 발생률(치과포함, 최초1회한)|100000000|1|202401</t>
  </si>
  <si>
    <t>"XA02593|CLA16227|" + S5 + "|"+(Jong +"0"+F6+"0")+"|"+(Age+n)</t>
  </si>
  <si>
    <t>CLA16229</t>
  </si>
  <si>
    <t>상해질병치료지원금Ⅱ(50만원이상,연간1회한,급여)(갱신형)</t>
  </si>
  <si>
    <t>연내 요양본인급여비용 발생률(50만원 이상)(연간1회한)|100000000|1|202401</t>
  </si>
  <si>
    <t>"XA02593|CLA16229|" + 0 + "|"+(Jong +"0"+F6+"0")+"|"+If(S1=0,n,0)</t>
  </si>
  <si>
    <t>CLA16231</t>
  </si>
  <si>
    <t>상해질병치료지원금Ⅱ(50만원이상,최초1회한,급여)(갱신형)</t>
  </si>
  <si>
    <t>연내 요양본인급여비용 발생률(50만원 이상)(최초1회한)|100000000|1|202401</t>
  </si>
  <si>
    <t>"XA02593|CLA16231|" + 0 + "|"+(Jong +"0"+F6+"0")+"|"+If(S1=0,n,0)</t>
  </si>
  <si>
    <t>CLA16233</t>
  </si>
  <si>
    <t>상해질병치료지원금Ⅱ(1백만원이상,최초1회한,급여)(갱신형)</t>
  </si>
  <si>
    <t>연내 요양본인급여비용 발생률(1백만원 이상)(최초1회한)|100000000|1|202401</t>
  </si>
  <si>
    <t>"XA02593|CLA16233|" + 0 + "|"+(Jong +"0"+F6+"0")+"|"+If(S1=0,n,0)</t>
  </si>
  <si>
    <t>CLA16235</t>
  </si>
  <si>
    <t>상해질병치료지원금Ⅱ(2백만원이상,최초1회한,급여)(갱신형)</t>
  </si>
  <si>
    <t>연내 요양본인급여비용 발생률(2백만원 이상)(최초1회한)|100000000|1|202401</t>
  </si>
  <si>
    <t>"XA02593|CLA16235|" + 0 + "|"+(Jong +"0"+F6+"0")+"|"+If(S1=0,n,0)</t>
  </si>
  <si>
    <t>CLA16237</t>
  </si>
  <si>
    <t>상해질병치료지원금Ⅱ(3백만원이상,최초1회한,급여)(갱신형)</t>
  </si>
  <si>
    <t>연내 요양본인급여비용 발생률(3백만원 이상)(최초1회한)|100000000|1|202401</t>
  </si>
  <si>
    <t>"XA02593|CLA16237|" + 0 + "|"+(Jong +"0"+F6+"0")+"|"+If(S1=0,n,0)</t>
  </si>
  <si>
    <t>CLA16239</t>
  </si>
  <si>
    <t>상해질병치료지원금Ⅱ(5백만원이상,최초1회한,급여)(갱신형)</t>
  </si>
  <si>
    <t>연내 요양본인급여비용 발생률(5백만원 이상)(최초1회한)|100000000|1|202401</t>
  </si>
  <si>
    <t>"XA02593|CLA16239|" + 0 + "|"+(Jong +"0"+F6+"0")+"|"+If(S1=0,n,0)</t>
  </si>
  <si>
    <t>CLA16241</t>
  </si>
  <si>
    <t>상해질병치료지원금Ⅱ(1천만원이상,최초1회한,급여)(갱신형)</t>
  </si>
  <si>
    <t>연내 요양본인급여비용 발생률(1천만원 이상)(최초1회한)|100000000|1|202401</t>
  </si>
  <si>
    <t>"XA02593|CLA16241|" + 0 + "|"+(Jong +"0"+F6+"0")+"|"+If(S1=0,n,0)</t>
  </si>
  <si>
    <t>CLA16243</t>
  </si>
  <si>
    <t>주요뇌혈관질환 발생률|100000000|1|202401</t>
  </si>
  <si>
    <t>"XA02593|CLA16243|" + S5 + "|"+(Jong +"0"+F6+"0")+"|"+(Age+n)</t>
  </si>
  <si>
    <t>CLA16249</t>
  </si>
  <si>
    <t>주요허혈성심장질환 발생률|100000000|1|202401</t>
  </si>
  <si>
    <t>"XA02593|CLA16249|" + S5 + "|"+(Jong +"0"+F6+"0")+"|"+(Age+n)</t>
  </si>
  <si>
    <t>CLA16303</t>
  </si>
  <si>
    <t>요로결석 발생률(최초1회한)|100000000|1|202401</t>
  </si>
  <si>
    <t>"XA02593|CLA16303|" + S5 + "|"+(Jong +"0"+F6+"0")+"|"+(Age+n)</t>
  </si>
  <si>
    <t>CLA16305</t>
  </si>
  <si>
    <t>급여 상해재활치료 발생률(1일1회, 연간15회한)|100000000|1|202401</t>
  </si>
  <si>
    <t>"XA02593|CLA16305|" + S5 + "|"+(Jong +"0"+F6+"0")+"|"+(Age+n)</t>
  </si>
  <si>
    <t>CLA16307</t>
  </si>
  <si>
    <t>급여 상해재활치료 발생률(1일1회, 연간30회한)|100000000|1|202401</t>
  </si>
  <si>
    <t>"XA02593|CLA16307|" + S5 + "|"+(Jong +"0"+F6+"0")+"|"+(Age+n)</t>
  </si>
  <si>
    <t>CLA16309</t>
  </si>
  <si>
    <t>급여 질병재활치료 발생률(1일1회, 연간15회한)|100000000|1|202401</t>
  </si>
  <si>
    <t>"XA02593|CLA16309|" + S5 + "|"+(Jong +"0"+F6+"0")+"|"+(Age+n)</t>
  </si>
  <si>
    <t>CLA16311</t>
  </si>
  <si>
    <t>급여 질병재활치료 발생률(1일1회, 연간30회한)|100000000|1|202401</t>
  </si>
  <si>
    <t>"XA02593|CLA16311|" + S5 + "|"+(Jong +"0"+F6+"0")+"|"+(Age+n)</t>
  </si>
  <si>
    <t>CLA16405</t>
  </si>
  <si>
    <t>항암약물치료비(급여, 기타피부암및갑상선암이외의암)|100000000|1|202401</t>
  </si>
  <si>
    <t>"XA02593|CLA16405|" + S5 + "|"+(Jong +"0"+F6+"0")+"|"+(Age+n)</t>
  </si>
  <si>
    <t>CLA16409</t>
  </si>
  <si>
    <t>q1*D(0.75)*q26*(1-w/2)*S(3)</t>
  </si>
  <si>
    <t>0.2*(q2)*q26*(1-w/2)*S(3)</t>
  </si>
  <si>
    <t>0.2*(q3)*q26*(1-w/2)*S(3)</t>
  </si>
  <si>
    <t>항암방사선치료 발생률(기타피부암 및 갑상선암 이외의 암, 치료1회당)|100000000|1|202401</t>
  </si>
  <si>
    <t>항암방사선치료 발생률(기타피부암, 치료1회당)|100000000|1|202401</t>
  </si>
  <si>
    <t>항암방사선치료 발생률(갑상선암, 치료1회당)|100000000|1|202401</t>
  </si>
  <si>
    <t>"XA02593|CLA16409|" + S5 + "|"+(Jong +"0"+F6+"0")+"|"+(Age+n)</t>
  </si>
  <si>
    <t>CLA16411</t>
  </si>
  <si>
    <t>( (q1+q2+q3)*D(0.75)+0.2*(q4+q5+q6+q7+q8+q9) )*S(3)*q26*(1-w/2)</t>
  </si>
  <si>
    <t>항암약물치료 발생률(기타피부암 및 갑상선암 이외의 암, 연간1회한)(주사제 외)|100000000|1|202401</t>
  </si>
  <si>
    <t>항암약물치료 통원률(기타피부암 및 갑상선암 이외의 암)(주사제)|100000000|1|202401</t>
  </si>
  <si>
    <t>항암약물치료 발생률(기타피부암 및 갑상선암 이외의 암, 입원당)(주사제)|100000000|1|202401</t>
  </si>
  <si>
    <t>항암약물치료 발생률(기타피부암, 연간1회한)(주사제 외)|100000000|1|202401</t>
  </si>
  <si>
    <t>항암약물치료 통원률(기타피부암)(주사제)|100000000|1|202401</t>
  </si>
  <si>
    <t>항암약물치료 발생률(기타피부암, 입원당)(주사제)|100000000|1|202401</t>
  </si>
  <si>
    <t>항암약물치료 발생률(갑상선암, 연간1회한)(주사제 외)|100000000|1|202401</t>
  </si>
  <si>
    <t>항암약물치료 통원률(갑상선암)(주사제)|100000000|1|202401</t>
  </si>
  <si>
    <t>항암약물치료 발생률(갑상선암, 입원당)(주사제)|100000000|1|202401</t>
  </si>
  <si>
    <t>"XA02593|CLA16411|" + S5 + "|"+(Jong +"0"+F6+"0")+"|"+(Age+n)</t>
  </si>
  <si>
    <t>CLA16481</t>
  </si>
  <si>
    <t>"XA02593|CLA16481|" + S5 + "|"+(Jong +"0"+F6+"0")+"|"+(Age+n)</t>
  </si>
  <si>
    <t>CLA16483</t>
  </si>
  <si>
    <t>일과성뇌허혈발작 발생률(최초1회한)|100000000|1|202401</t>
  </si>
  <si>
    <t>"XA02593|CLA16483|" + S5 + "|"+(Jong +"0"+F6+"0")+"|"+(Age+n)</t>
  </si>
  <si>
    <t>CLA16485</t>
  </si>
  <si>
    <t>뇌졸중(뇌출혈제외 발생률(최초1회한)|100000000|1|202401</t>
  </si>
  <si>
    <t>"XA02593|CLA16485|" + S5 + "|"+(Jong +"0"+F6+"0")+"|"+(Age+n)</t>
  </si>
  <si>
    <t>CLA16487</t>
  </si>
  <si>
    <t>통합뇌관련질환진단비(뇌전증)(갱신형)</t>
  </si>
  <si>
    <t>"XA02593|CLA16487|" + 0 + "|"+(Jong +"0"+F6+"0")+"|"+If(S1=0,n,0)</t>
  </si>
  <si>
    <t>CLA16489</t>
  </si>
  <si>
    <t>통합뇌관련질환진단비(일과성뇌허혈발작)(갱신형)</t>
  </si>
  <si>
    <t>"XA02593|CLA16489|" + 0 + "|"+(Jong +"0"+F6+"0")+"|"+If(S1=0,n,0)</t>
  </si>
  <si>
    <t>CLA16491</t>
  </si>
  <si>
    <t>통합뇌관련질환진단비(뇌졸중(뇌출혈제외))(갱신형)</t>
  </si>
  <si>
    <t>"XA02593|CLA16491|" + 0 + "|"+(Jong +"0"+F6+"0")+"|"+If(S1=0,n,0)</t>
  </si>
  <si>
    <t>CLA16493</t>
  </si>
  <si>
    <t>통합뇌관련질환진단비(뇌전증)(갱신용)</t>
  </si>
  <si>
    <t>"XA02593|CLA16493|" + 0 + "|"+(Jong +"0"+F6+"0")+"|"+If(S1=0,n,0)</t>
  </si>
  <si>
    <t>CLA16495</t>
  </si>
  <si>
    <t>통합뇌관련질환진단비(일과성뇌허혈발작)(갱신용)</t>
  </si>
  <si>
    <t>"XA02593|CLA16495|" + 0 + "|"+(Jong +"0"+F6+"0")+"|"+If(S1=0,n,0)</t>
  </si>
  <si>
    <t>CLA16497</t>
  </si>
  <si>
    <t>통합뇌관련질환진단비(뇌졸중(뇌출혈제외))(갱신용)</t>
  </si>
  <si>
    <t>"XA02593|CLA16497|" + 0 + "|"+(Jong +"0"+F6+"0")+"|"+If(S1=0,n,0)</t>
  </si>
  <si>
    <t>CLA16499</t>
  </si>
  <si>
    <t>만성류마티스심장질환 발생률(최초1회한)|100000000|1|202401</t>
  </si>
  <si>
    <t>"XA02593|CLA16499|" + S5 + "|"+(Jong +"0"+F6+"0")+"|"+(Age+n)</t>
  </si>
  <si>
    <t>CLA16501</t>
  </si>
  <si>
    <t>특정심장판막질환 발생률(최초1회한)|100000000|1|202401</t>
  </si>
  <si>
    <t>"XA02593|CLA16501|" + S5 + "|"+(Jong +"0"+F6+"0")+"|"+(Age+n)</t>
  </si>
  <si>
    <t>CLA16503</t>
  </si>
  <si>
    <t>특정심장방실및전도장애 발생률(최초1회한)|100000000|1|202401</t>
  </si>
  <si>
    <t>"XA02593|CLA16503|" + S5 + "|"+(Jong +"0"+F6+"0")+"|"+(Age+n)</t>
  </si>
  <si>
    <t>CLA16505</t>
  </si>
  <si>
    <t>"XA02593|CLA16505|" + S5 + "|"+(Jong +"0"+F6+"0")+"|"+(Age+n)</t>
  </si>
  <si>
    <t>CLA16507</t>
  </si>
  <si>
    <t>심근병증 발생률(최초1회한)|100000000|1|202401</t>
  </si>
  <si>
    <t>"XA02593|CLA16507|" + S5 + "|"+(Jong +"0"+F6+"0")+"|"+(Age+n)</t>
  </si>
  <si>
    <t>CLA16509</t>
  </si>
  <si>
    <t>심혈관특정질환Ⅰ(기타심장부정맥제외 발생률(최초1회한)|100000000|1|202401</t>
  </si>
  <si>
    <t>"XA02593|CLA16509|" + S5 + "|"+(Jong +"0"+F6+"0")+"|"+(Age+n)</t>
  </si>
  <si>
    <t>CLA16511</t>
  </si>
  <si>
    <t>"XA02593|CLA16511|" + S5 + "|"+(Jong +"0"+F6+"0")+"|"+(Age+n)</t>
  </si>
  <si>
    <t>CLA16513</t>
  </si>
  <si>
    <t>통합심장질병진단비(만성류마티스심장질환)(갱신형)</t>
  </si>
  <si>
    <t>"XA02593|CLA16513|" + 0 + "|"+(Jong +"0"+F6+"0")+"|"+If(S1=0,n,0)</t>
  </si>
  <si>
    <t>CLA16515</t>
  </si>
  <si>
    <t>통합심장질병진단비(특정심장판막질환)(갱신형)</t>
  </si>
  <si>
    <t>"XA02593|CLA16515|" + 0 + "|"+(Jong +"0"+F6+"0")+"|"+If(S1=0,n,0)</t>
  </si>
  <si>
    <t>CLA16517</t>
  </si>
  <si>
    <t>통합심장질병진단비(특정심장방실및전도장애)(갱신형)</t>
  </si>
  <si>
    <t>"XA02593|CLA16517|" + 0 + "|"+(Jong +"0"+F6+"0")+"|"+If(S1=0,n,0)</t>
  </si>
  <si>
    <t>CLA16519</t>
  </si>
  <si>
    <t>통합심장질병진단비(주요심장염증질환)(갱신형)</t>
  </si>
  <si>
    <t>"XA02593|CLA16519|" + 0 + "|"+(Jong +"0"+F6+"0")+"|"+If(S1=0,n,0)</t>
  </si>
  <si>
    <t>CLA16521</t>
  </si>
  <si>
    <t>통합심장질병진단비(심근병증)(갱신형)</t>
  </si>
  <si>
    <t>"XA02593|CLA16521|" + 0 + "|"+(Jong +"0"+F6+"0")+"|"+If(S1=0,n,0)</t>
  </si>
  <si>
    <t>CLA16523</t>
  </si>
  <si>
    <t>통합심장질병진단비(심혈관특정질환Ⅰ(기타심장부정맥제외))(갱신형)</t>
  </si>
  <si>
    <t>"XA02593|CLA16523|" + 0 + "|"+(Jong +"0"+F6+"0")+"|"+If(S1=0,n,0)</t>
  </si>
  <si>
    <t>CLA16525</t>
  </si>
  <si>
    <t>통합심장질병진단비(심혈관특정질환Ⅱ)(갱신형)</t>
  </si>
  <si>
    <t>"XA02593|CLA16525|" + 0 + "|"+(Jong +"0"+F6+"0")+"|"+If(S1=0,n,0)</t>
  </si>
  <si>
    <t>CLA16527</t>
  </si>
  <si>
    <t>통합심장질병진단비(만성류마티스심장질환)(갱신용)</t>
  </si>
  <si>
    <t>"XA02593|CLA16527|" + 0 + "|"+(Jong +"0"+F6+"0")+"|"+If(S1=0,n,0)</t>
  </si>
  <si>
    <t>CLA16529</t>
  </si>
  <si>
    <t>통합심장질병진단비(특정심장판막질환)(갱신용)</t>
  </si>
  <si>
    <t>"XA02593|CLA16529|" + 0 + "|"+(Jong +"0"+F6+"0")+"|"+If(S1=0,n,0)</t>
  </si>
  <si>
    <t>CLA16531</t>
  </si>
  <si>
    <t>통합심장질병진단비(특정심장방실및전도장애)(갱신용)</t>
  </si>
  <si>
    <t>"XA02593|CLA16531|" + 0 + "|"+(Jong +"0"+F6+"0")+"|"+If(S1=0,n,0)</t>
  </si>
  <si>
    <t>CLA16533</t>
  </si>
  <si>
    <t>통합심장질병진단비(주요심장염증질환)(갱신용)</t>
  </si>
  <si>
    <t>"XA02593|CLA16533|" + 0 + "|"+(Jong +"0"+F6+"0")+"|"+If(S1=0,n,0)</t>
  </si>
  <si>
    <t>CLA16535</t>
  </si>
  <si>
    <t>통합심장질병진단비(심근병증)(갱신용)</t>
  </si>
  <si>
    <t>"XA02593|CLA16535|" + 0 + "|"+(Jong +"0"+F6+"0")+"|"+If(S1=0,n,0)</t>
  </si>
  <si>
    <t>CLA16537</t>
  </si>
  <si>
    <t>통합심장질병진단비(심혈관특정질환Ⅰ(기타심장부정맥제외))(갱신용)</t>
  </si>
  <si>
    <t>"XA02593|CLA16537|" + 0 + "|"+(Jong +"0"+F6+"0")+"|"+If(S1=0,n,0)</t>
  </si>
  <si>
    <t>CLA16539</t>
  </si>
  <si>
    <t>통합심장질병진단비(심혈관특정질환Ⅱ)(갱신용)</t>
  </si>
  <si>
    <t>"XA02593|CLA16539|" + 0 + "|"+(Jong +"0"+F6+"0")+"|"+If(S1=0,n,0)</t>
  </si>
  <si>
    <t>CLA16645</t>
  </si>
  <si>
    <t>연내 급여의료비 본인부담금총액 중위소득50%이상 발생률(치과포함, 연간1회한)|100000000|1|202401</t>
  </si>
  <si>
    <t>"XA02593|CLA16645|" + S5 + "|"+(Jong +"0"+F6+"0")+"|"+(Age+n)</t>
  </si>
  <si>
    <t>CLA16647</t>
  </si>
  <si>
    <t>연내 급여의료비 본인부담금총액 중위소득100%이상 발생률(치과포함, 연간1회한)|100000000|1|202401</t>
  </si>
  <si>
    <t>"XA02593|CLA16647|" + S5 + "|"+(Jong +"0"+F6+"0")+"|"+(Age+n)</t>
  </si>
  <si>
    <t>CLA16649</t>
  </si>
  <si>
    <t>연내 급여의료비 본인부담금총액 중위소득200%이상 발생률(치과포함, 연간1회한)|100000000|1|202401</t>
  </si>
  <si>
    <t>"XA02593|CLA16649|" + S5 + "|"+(Jong +"0"+F6+"0")+"|"+(Age+n)</t>
  </si>
  <si>
    <t>CLA16651</t>
  </si>
  <si>
    <t>연내 급여의료비 본인부담금총액 중위소득300%이상 발생률(치과포함, 연간1회한)|100000000|1|202401</t>
  </si>
  <si>
    <t>"XA02593|CLA16651|" + S5 + "|"+(Jong +"0"+F6+"0")+"|"+(Age+n)</t>
  </si>
  <si>
    <t>CLA16655</t>
  </si>
  <si>
    <t>상해질병치료지원금Ⅱ(1백만원이상,연간1회한,급여)(갱신형)</t>
  </si>
  <si>
    <t>연내 요양본인급여비용 발생률(1백만원 이상)(연간1회한)|100000000|1|202401</t>
  </si>
  <si>
    <t>"XA02593|CLA16655|" + 0 + "|"+(Jong +"0"+F6+"0")+"|"+If(S1=0,n,0)</t>
  </si>
  <si>
    <t>CLA16657</t>
  </si>
  <si>
    <t>상해질병치료지원금Ⅱ(2백만원이상,연간1회한,급여)(갱신형)</t>
  </si>
  <si>
    <t>연내 요양본인급여비용 발생률(2백만원 이상)(연간1회한)|100000000|1|202401</t>
  </si>
  <si>
    <t>"XA02593|CLA16657|" + 0 + "|"+(Jong +"0"+F6+"0")+"|"+If(S1=0,n,0)</t>
  </si>
  <si>
    <t>CLA16659</t>
  </si>
  <si>
    <t>상해질병치료지원금Ⅱ(3백만원이상,연간1회한,급여)(갱신형)</t>
  </si>
  <si>
    <t>연내 요양본인급여비용 발생률(3백만원 이상)(연간1회한)|100000000|1|202401</t>
  </si>
  <si>
    <t>"XA02593|CLA16659|" + 0 + "|"+(Jong +"0"+F6+"0")+"|"+If(S1=0,n,0)</t>
  </si>
  <si>
    <t>CLA16661</t>
  </si>
  <si>
    <t>상해질병치료지원금Ⅱ(5백만원이상,연간1회한,급여)(갱신형)</t>
  </si>
  <si>
    <t>연내 요양본인급여비용 발생률(5백만원 이상)(연간1회한)|100000000|1|202401</t>
  </si>
  <si>
    <t>"XA02593|CLA16661|" + 0 + "|"+(Jong +"0"+F6+"0")+"|"+If(S1=0,n,0)</t>
  </si>
  <si>
    <t>CLA16663</t>
  </si>
  <si>
    <t>상해질병치료지원금Ⅱ(1천만원이상,연간1회한,급여)(갱신형)</t>
  </si>
  <si>
    <t>연내 요양본인급여비용 발생률(1천만원 이상)(연간1회한)|100000000|1|202401</t>
  </si>
  <si>
    <t>"XA02593|CLA16663|" + 0 + "|"+(Jong +"0"+F6+"0")+"|"+If(S1=0,n,0)</t>
  </si>
  <si>
    <t>CLA16669</t>
  </si>
  <si>
    <t>입술, 구강 및 인두의 악성신생물(암) 발생률|100000000|1|202401</t>
  </si>
  <si>
    <t>"XA02593|CLA16669|" + S5 + "|"+(Jong +"0"+F6+"0")+"|"+(Age+n)</t>
  </si>
  <si>
    <t>CLA16670</t>
  </si>
  <si>
    <t>소화기관의 악성신생물(암) 발생률|100000000|1|202401</t>
  </si>
  <si>
    <t>"XA02593|CLA16670|" + S5 + "|"+(Jong +"0"+F6+"0")+"|"+(Age+n)</t>
  </si>
  <si>
    <t>CLA16671</t>
  </si>
  <si>
    <t>호흡기 및 흉곽내 기관의 악성신생물(암) 발생률|100000000|1|202401</t>
  </si>
  <si>
    <t>"XA02593|CLA16671|" + S5 + "|"+(Jong +"0"+F6+"0")+"|"+(Age+n)</t>
  </si>
  <si>
    <t>CLA16672</t>
  </si>
  <si>
    <t>뼈 및 관절연골, 피부의 악성흑색종, 중피성 및 연조직의 악성신생물(암) 발생률|100000000|1|202401</t>
  </si>
  <si>
    <t>"XA02593|CLA16672|" + S5 + "|"+(Jong +"0"+F6+"0")+"|"+(Age+n)</t>
  </si>
  <si>
    <t>CLA16673</t>
  </si>
  <si>
    <t>유방의 악성신생물(암) 발생률|100000000|1|202401</t>
  </si>
  <si>
    <t>"XA02593|CLA16673|" + S5 + "|"+(Jong +"0"+F6+"0")+"|"+(Age+n)</t>
  </si>
  <si>
    <t>CLA16674</t>
  </si>
  <si>
    <t>여성생식기관의 악성신생물(암) 발생률|100000000|1|202401</t>
  </si>
  <si>
    <t>"XA02593|CLA16674|" + S5 + "|"+(Jong +"0"+F6+"0")+"|"+(Age+n)</t>
  </si>
  <si>
    <t>CLA16675</t>
  </si>
  <si>
    <t>요로의 악성신생물(암) 발생률|100000000|1|202401</t>
  </si>
  <si>
    <t>"XA02593|CLA16675|" + S5 + "|"+(Jong +"0"+F6+"0")+"|"+(Age+n)</t>
  </si>
  <si>
    <t>CLA16676</t>
  </si>
  <si>
    <t>눈,뇌 및 중추신경계통의 기타부분, 기타 내분비선의 악성신생물(암) 발생률|100000000|1|202401</t>
  </si>
  <si>
    <t>"XA02593|CLA16676|" + S5 + "|"+(Jong +"0"+F6+"0")+"|"+(Age+n)</t>
  </si>
  <si>
    <t>CLA16677</t>
  </si>
  <si>
    <t>림프및조혈관련특정암발생률|100000000|1|202404</t>
  </si>
  <si>
    <t>"XA02593|CLA16677|" + S5 + "|"+(Jong +"0"+F6+"0")+"|"+(Age+n)</t>
  </si>
  <si>
    <t>CLA16682</t>
  </si>
  <si>
    <t>남성생식기관의 악성신생물(암) 발생률|100000000|1|202401</t>
  </si>
  <si>
    <t>"XA02593|CLA16682|" + S5 + "|"+(Jong +"0"+F6+"0")+"|"+(Age+n)</t>
  </si>
  <si>
    <t>CLA16703</t>
  </si>
  <si>
    <t>통합암(4대유사암제외)진단비Ⅱ(입술,구강및인두암)(갱신형)</t>
  </si>
  <si>
    <t>"XA02593|CLA16703|" + 0 + "|"+(Jong +"0"+F6+"0")+"|"+If(S1=0,n,0)</t>
  </si>
  <si>
    <t>CLA16704</t>
  </si>
  <si>
    <t>통합암(4대유사암제외)진단비Ⅱ(소화기관암)(갱신형)</t>
  </si>
  <si>
    <t>"XA02593|CLA16704|" + 0 + "|"+(Jong +"0"+F6+"0")+"|"+If(S1=0,n,0)</t>
  </si>
  <si>
    <t>CLA16705</t>
  </si>
  <si>
    <t>통합암(4대유사암제외)진단비Ⅱ(호흡기및흉곽내기관암)(갱신형)</t>
  </si>
  <si>
    <t>"XA02593|CLA16705|" + 0 + "|"+(Jong +"0"+F6+"0")+"|"+If(S1=0,n,0)</t>
  </si>
  <si>
    <t>CLA16706</t>
  </si>
  <si>
    <t>통합암(4대유사암제외)진단비Ⅱ(뼈,관절,악성흑색종,중피성및연조직암)(갱신형)</t>
  </si>
  <si>
    <t>"XA02593|CLA16706|" + 0 + "|"+(Jong +"0"+F6+"0")+"|"+If(S1=0,n,0)</t>
  </si>
  <si>
    <t>CLA16707</t>
  </si>
  <si>
    <t>통합암(4대유사암제외)진단비Ⅱ(유방암)(갱신형)</t>
  </si>
  <si>
    <t>"XA02593|CLA16707|" + 0 + "|"+(Jong +"0"+F6+"0")+"|"+If(S1=0,n,0)</t>
  </si>
  <si>
    <t>CLA16708</t>
  </si>
  <si>
    <t>통합암(4대유사암제외)진단비Ⅱ(여성생식기관암)(갱신형)</t>
  </si>
  <si>
    <t>"XA02593|CLA16708|" + 0 + "|"+(Jong +"0"+F6+"0")+"|"+If(S1=0,n,0)</t>
  </si>
  <si>
    <t>CLA16709</t>
  </si>
  <si>
    <t>통합암(4대유사암제외)진단비Ⅱ(비뇨기관암(요로암))(갱신형)</t>
  </si>
  <si>
    <t>"XA02593|CLA16709|" + 0 + "|"+(Jong +"0"+F6+"0")+"|"+If(S1=0,n,0)</t>
  </si>
  <si>
    <t>CLA16710</t>
  </si>
  <si>
    <t>통합암(4대유사암제외)진단비Ⅱ(눈,뇌,중추신경계통및내분비선암)(갱신형)</t>
  </si>
  <si>
    <t>"XA02593|CLA16710|" + 0 + "|"+(Jong +"0"+F6+"0")+"|"+If(S1=0,n,0)</t>
  </si>
  <si>
    <t>CLA16711</t>
  </si>
  <si>
    <t>통합암(4대유사암제외)진단비Ⅱ(림프및조혈관련특정암)(갱신형)-안맞음</t>
  </si>
  <si>
    <t>"XA02593|CLA16711|" + 0 + "|"+(Jong +"0"+F6+"0")+"|"+If(S1=0,n,0)</t>
  </si>
  <si>
    <t>CLA16716</t>
  </si>
  <si>
    <t>통합암(4대유사암제외)진단비Ⅱ(남성생식기관및유방암)(갱신형)</t>
  </si>
  <si>
    <t>"XA02593|CLA16716|" + 0 + "|"+(Jong +"0"+F6+"0")+"|"+If(S1=0,n,0)</t>
  </si>
  <si>
    <t>CLA16737</t>
  </si>
  <si>
    <t>통합암(4대유사암제외)진단비Ⅱ(입술,구강및인두암)(갱신용)</t>
  </si>
  <si>
    <t>"XA02593|CLA16737|" + 0 + "|"+(Jong +"0"+F6+"0")+"|"+If(S1=0,n,0)</t>
  </si>
  <si>
    <t>CLA16738</t>
  </si>
  <si>
    <t>통합암(4대유사암제외)진단비Ⅱ(소화기관암)(갱신용)</t>
  </si>
  <si>
    <t>"XA02593|CLA16738|" + 0 + "|"+(Jong +"0"+F6+"0")+"|"+If(S1=0,n,0)</t>
  </si>
  <si>
    <t>CLA16739</t>
  </si>
  <si>
    <t>통합암(4대유사암제외)진단비Ⅱ(호흡기및흉곽내기관암)(갱신용)</t>
  </si>
  <si>
    <t>"XA02593|CLA16739|" + 0 + "|"+(Jong +"0"+F6+"0")+"|"+If(S1=0,n,0)</t>
  </si>
  <si>
    <t>CLA16740</t>
  </si>
  <si>
    <t>통합암(4대유사암제외)진단비Ⅱ(뼈,관절,악성흑색종,중피성및연조직암)(갱신용)</t>
  </si>
  <si>
    <t>"XA02593|CLA16740|" + 0 + "|"+(Jong +"0"+F6+"0")+"|"+If(S1=0,n,0)</t>
  </si>
  <si>
    <t>CLA16741</t>
  </si>
  <si>
    <t>통합암(4대유사암제외)진단비Ⅱ(유방암)(갱신용)</t>
  </si>
  <si>
    <t>"XA02593|CLA16741|" + 0 + "|"+(Jong +"0"+F6+"0")+"|"+If(S1=0,n,0)</t>
  </si>
  <si>
    <t>CLA16742</t>
  </si>
  <si>
    <t>통합암(4대유사암제외)진단비Ⅱ(여성생식기관암)(갱신용)</t>
  </si>
  <si>
    <t>"XA02593|CLA16742|" + 0 + "|"+(Jong +"0"+F6+"0")+"|"+If(S1=0,n,0)</t>
  </si>
  <si>
    <t>CLA16743</t>
  </si>
  <si>
    <t>통합암(4대유사암제외)진단비Ⅱ(비뇨기관암(요로암))(갱신용)</t>
  </si>
  <si>
    <t>"XA02593|CLA16743|" + 0 + "|"+(Jong +"0"+F6+"0")+"|"+If(S1=0,n,0)</t>
  </si>
  <si>
    <t>CLA16744</t>
  </si>
  <si>
    <t>통합암(4대유사암제외)진단비Ⅱ(눈,뇌,중추신경계통및내분비선암)(갱신용)</t>
  </si>
  <si>
    <t>"XA02593|CLA16744|" + 0 + "|"+(Jong +"0"+F6+"0")+"|"+If(S1=0,n,0)</t>
  </si>
  <si>
    <t>CLA16745</t>
  </si>
  <si>
    <t>통합암(4대유사암제외)진단비Ⅱ(림프및조혈관련특정암)(갱신용)-안맞음</t>
  </si>
  <si>
    <t>"XA02593|CLA16745|" + 0 + "|"+(Jong +"0"+F6+"0")+"|"+If(S1=0,n,0)</t>
  </si>
  <si>
    <t>CLA16750</t>
  </si>
  <si>
    <t>통합암(4대유사암제외)진단비Ⅱ(남성생식기관및유방암)(갱신용)</t>
  </si>
  <si>
    <t>"XA02593|CLA16750|" + 0 + "|"+(Jong +"0"+F6+"0")+"|"+If(S1=0,n,0)</t>
  </si>
  <si>
    <t>CLA16802</t>
  </si>
  <si>
    <t>If(Jong=1 or Jong=3, k2, 1-k1) * (1-w)</t>
  </si>
  <si>
    <t>(1-w)*(1-k1)</t>
  </si>
  <si>
    <t>k1*(1-w/2)*D(0.375)</t>
  </si>
  <si>
    <t>If(t&lt;m,0, 0.5*(W(t)+W(t+1))/2*(1-k1/2)*w)</t>
  </si>
  <si>
    <t>If(t&lt;m,0, 0.5*(V(t)+V(t+1))/2*(1-k1/2)*w)</t>
  </si>
  <si>
    <t>남성생식기관전이암 발생률(최초1회한)|100000000|1|202401</t>
  </si>
  <si>
    <t>유방전이암 발생률(최초1회한)|100000000|1|202401</t>
  </si>
  <si>
    <t>1-(1-q1*q26*S(3))*(1-q2*q26*S(3))</t>
  </si>
  <si>
    <t>(1-D(0.75)*q18*S(3)*q22*r1-If(t=0,0.25,0)*k1*r1) * ( (1-q11*q21*r1) * (1-q12*S(3)*q21*r1) * (1-q13*S(3)*q23*r1) * (1-q14*S(3)*q24*r1) * (1-q15*S(3)*q25*r1) * (1-q16*S(3)*q25*r1) * (1-q17*S(3)*q25*r1) )</t>
  </si>
  <si>
    <t>"XA02593|CLA16802|" + S5 + "|"+(Jong +"0"+F6+"0")+"|"+(Age+n)</t>
  </si>
  <si>
    <t>CLA16818</t>
  </si>
  <si>
    <t>통합전이암진단비(남성생식기관및유방전이암)(갱신형)</t>
  </si>
  <si>
    <t>"XA02593|CLA16818|" + 0 + "|"+(Jong +"0"+F6+"0")+"|"+If(S1=0,n,0)</t>
  </si>
  <si>
    <t>CLA16834</t>
  </si>
  <si>
    <t>통합전이암진단비(남성생식기관및유방전이암)(갱신용)</t>
  </si>
  <si>
    <t>"XA02593|CLA16834|" + 0 + "|"+(Jong +"0"+F6+"0")+"|"+If(S1=0,n,0)</t>
  </si>
  <si>
    <t>CLA16876</t>
  </si>
  <si>
    <t>뇌출혈 발생률(최초1회한)|100000000|1|202401</t>
  </si>
  <si>
    <t>"XA02593|CLA16876|" + S5 + "|"+(Jong +"0"+F6+"0")+"|"+(Age+n)</t>
  </si>
  <si>
    <t>CLA16878</t>
  </si>
  <si>
    <t>뇌혈관특정질환발생률(최초1회한)|100000000|1|202401</t>
  </si>
  <si>
    <t>"XA02593|CLA16878|" + S5 + "|"+(Jong +"0"+F6+"0")+"|"+(Age+n)</t>
  </si>
  <si>
    <t>CLA16880</t>
  </si>
  <si>
    <t>특정상해성뇌출혈 발생률(최초1회한)|100000000|1|202401</t>
  </si>
  <si>
    <t>"XA02593|CLA16880|" + S5 + "|"+(Jong +"0"+F6+"0")+"|"+(Age+n)</t>
  </si>
  <si>
    <t>CLA16882</t>
  </si>
  <si>
    <t>통합뇌관련질환진단비(뇌출혈)(갱신형)</t>
  </si>
  <si>
    <t>"XA02593|CLA16882|" + 0 + "|"+(Jong +"0"+F6+"0")+"|"+If(S1=0,n,0)</t>
  </si>
  <si>
    <t>CLA16884</t>
  </si>
  <si>
    <t>통합뇌관련질환진단비(뇌혈관특정질환)(갱신형)</t>
  </si>
  <si>
    <t>"XA02593|CLA16884|" + 0 + "|"+(Jong +"0"+F6+"0")+"|"+If(S1=0,n,0)</t>
  </si>
  <si>
    <t>CLA16886</t>
  </si>
  <si>
    <t>통합뇌관련질환진단비(특정상해성뇌출혈)(갱신형)</t>
  </si>
  <si>
    <t>"XA02593|CLA16886|" + 0 + "|"+(Jong +"0"+F6+"0")+"|"+If(S1=0,n,0)</t>
  </si>
  <si>
    <t>CLA16888</t>
  </si>
  <si>
    <t>통합뇌관련질환진단비(뇌출혈)(갱신용)</t>
  </si>
  <si>
    <t>"XA02593|CLA16888|" + 0 + "|"+(Jong +"0"+F6+"0")+"|"+If(S1=0,n,0)</t>
  </si>
  <si>
    <t>CLA16890</t>
  </si>
  <si>
    <t>통합뇌관련질환진단비(뇌혈관특정질환)(갱신용)</t>
  </si>
  <si>
    <t>"XA02593|CLA16890|" + 0 + "|"+(Jong +"0"+F6+"0")+"|"+If(S1=0,n,0)</t>
  </si>
  <si>
    <t>CLA16892</t>
  </si>
  <si>
    <t>통합뇌관련질환진단비(특정상해성뇌출혈)(갱신용)</t>
  </si>
  <si>
    <t>"XA02593|CLA16892|" + 0 + "|"+(Jong +"0"+F6+"0")+"|"+If(S1=0,n,0)</t>
  </si>
  <si>
    <t>CLA16894</t>
  </si>
  <si>
    <t>기타심장부정맥 발생률(최초1회한)|100000000|1|202401</t>
  </si>
  <si>
    <t>"XA02593|CLA16894|" + S5 + "|"+(Jong +"0"+F6+"0")+"|"+(Age+n)</t>
  </si>
  <si>
    <t>CLA16896</t>
  </si>
  <si>
    <t>통합심장질병진단비(기타심장부정맥)(갱신형)</t>
  </si>
  <si>
    <t>"XA02593|CLA16896|" + 0 + "|"+(Jong +"0"+F6+"0")+"|"+If(S1=0,n,0)</t>
  </si>
  <si>
    <t>CLA16898</t>
  </si>
  <si>
    <t>통합심장질병진단비(기타심장부정맥)(갱신용)</t>
  </si>
  <si>
    <t>"XA02593|CLA16898|" + 0 + "|"+(Jong +"0"+F6+"0")+"|"+If(S1=0,n,0)</t>
  </si>
  <si>
    <t>CLA16918</t>
  </si>
  <si>
    <t>q1*q2*q26*(1-w/2)*S(3)</t>
  </si>
  <si>
    <t xml:space="preserve"> </t>
  </si>
  <si>
    <t>(1-D(0.75)*q18*q22*S(3)*r1-(1-D(0.75))*q1*q2*q26*S(3)*r1) * ( (1-q11*q21*r1) * (1-q12*S(3)*q21*r1) * (1-q13*S(3)*q23*r1) * (1-q14*S(3)*q24*r1) * (1-q15*S(3)*q25*r1) * (1-q16*S(3)*q25*r1) * (1-q17*S(3)*q25*r1) )</t>
  </si>
  <si>
    <t>"XA02593|CLA16918|" + S5 + "|"+(Jong +"0"+F6+"0")+"|"+(Age+n)</t>
  </si>
  <si>
    <t>CLA16926</t>
  </si>
  <si>
    <t>"XA02593|CLA16926|" + S5 + "|"+(Jong +"0"+F6+"0")+"|"+(Age+n)</t>
  </si>
  <si>
    <t>CLA16928</t>
  </si>
  <si>
    <t>(감액및면책없음)암(4대유사암제외)항암약물치료비(1회한,비급여)(갱신형)</t>
  </si>
  <si>
    <t>항암약물치료비(비급여, 기타피부암및갑상선암이외의암)|100000000|1|202401</t>
  </si>
  <si>
    <t>"XA02593|CLA16928|" + 0 + "|"+(Jong +"0"+F6+"0")+"|"+If(S1=0,n,0)</t>
  </si>
  <si>
    <t>CLA16930</t>
  </si>
  <si>
    <t>"XA02593|CLA16930|" + S5 + "|"+(Jong +"0"+F6+"0")+"|"+(Age+n)</t>
  </si>
  <si>
    <t>CLA16933</t>
  </si>
  <si>
    <t>"XA02593|CLA16933|" + S5 + "|"+(Jong +"0"+F6+"0")+"|"+(Age+n)</t>
  </si>
  <si>
    <t>CLA16935</t>
  </si>
  <si>
    <t>"XA02593|CLA16935|" + S5 + "|"+(Jong +"0"+F6+"0")+"|"+(Age+n)</t>
  </si>
  <si>
    <t>CLA16939</t>
  </si>
  <si>
    <t>"XA02593|CLA16939|" + S5 + "|"+(Jong +"0"+F6+"0")+"|"+(Age+n)</t>
  </si>
  <si>
    <t>CLA16941</t>
  </si>
  <si>
    <t>(1-D(0.75)*q18*S(3)*q22)* ( (1-q11*q21*r1) * (1-q12*S(3)*q21*r1) * (1-q13*S(3)*q23*r1) * (1-q14*S(3)*q24*r1) * (1-q15*S(3)*q25*r1) * (1-q16*S(3)*q25*r1) * (1-q17*S(3)*q25*r1) )</t>
  </si>
  <si>
    <t>"XA02593|CLA16941|" + S5 + "|"+(Jong +"0"+F6+"0")+"|"+(Age+n)</t>
  </si>
  <si>
    <t>CLA16943</t>
  </si>
  <si>
    <t>(감액및면책없음)암(특정유사암포함)표적항암약물허가치료비(연간1회한)(갱신형)</t>
  </si>
  <si>
    <t>"XA02593|CLA16943|" + 0 + "|"+(Jong +"0"+F6+"0")+"|"+If(S1=0,n,0)</t>
  </si>
  <si>
    <t>CLA16945</t>
  </si>
  <si>
    <t>( q1+0.2*(q2+q3) )*q26*(1-w/2)*S(3)</t>
  </si>
  <si>
    <t>(1-q18*S(3)*D(0.75)*q22*r1) * ( (1-q11*q21*r1) * (1-q12*S(3)*q21*r1) * (1-q13*S(3)*q23*r1) * (1-q14*S(3)*q24*r1) * (1-q15*S(3)*q25*r1) * (1-q16*S(3)*q25*r1) * (1-q17*S(3)*q25*r1) )</t>
  </si>
  <si>
    <t>"XA02593|CLA16945|" + S5 + "|"+(Jong +"0"+F6+"0")+"|"+(Age+n)</t>
  </si>
  <si>
    <t>CLA16947</t>
  </si>
  <si>
    <t>(감액및면책없음)암(특정유사암포함)항암세기조절방사선치료비(1회한)(갱신형)</t>
  </si>
  <si>
    <t>(q1+q2+q3)*q26*(1-w/2)*S(3)</t>
  </si>
  <si>
    <t>"XA02593|CLA16947|" + 0 + "|"+(Jong +"0"+F6+"0")+"|"+If(S1=0,n,0)</t>
  </si>
  <si>
    <t>CLA16949</t>
  </si>
  <si>
    <t>(1-D(0.75)*(q18*q22*S(3)+q2*q26*S(3)+q3*q26*S(3))-(1-D(0.75))*(q1+q2+q3)*S(3)*q26) * ( (1-q11*q21*r1) * (1-q12*S(3)*q21*r1) * (1-q13*S(3)*q23*r1) * (1-q14*S(3)*q24*r1) * (1-q15*S(3)*q25*r1) * (1-q16*S(3)*q25*r1) * (1-q17*S(3)*q25*r1) )</t>
  </si>
  <si>
    <t>"XA02593|CLA16949|" + S5 + "|"+(Jong +"0"+F6+"0")+"|"+(Age+n)</t>
  </si>
  <si>
    <t>CLA16951</t>
  </si>
  <si>
    <t>( (q1+q2+q3)+0.2*(q4+q5+q6+q7+q8+q9) )*q26*(1-w/2)*S(3)</t>
  </si>
  <si>
    <t>"XA02593|CLA16951|" + S5 + "|"+(Jong +"0"+F6+"0")+"|"+(Age+n)</t>
  </si>
  <si>
    <t>CLA16953</t>
  </si>
  <si>
    <t>(감액및면책없음)암(특정유사암포함)항암양성자방사선치료비(1회한)(갱신형)</t>
  </si>
  <si>
    <t>"XA02593|CLA16953|" + 0 + "|"+(Jong +"0"+F6+"0")+"|"+If(S1=0,n,0)</t>
  </si>
  <si>
    <t>CLA16955</t>
  </si>
  <si>
    <t>"XA02593|CLA16955|" + S5 + "|"+(Jong +"0"+F6+"0")+"|"+(Age+n)</t>
  </si>
  <si>
    <t>CLA17014</t>
  </si>
  <si>
    <t>(1-D(0.75)*q18*S(3)*q22*r1-If(t=0,0.25,0)*q1*q22*S(3)*r1) * ( (1-q11*q21*r1) * (1-q12*S(3)*q21*r1) * (1-q13*S(3)*q23*r1) * (1-q14*S(3)*q24*r1) * (1-q15*S(3)*q25*r1) * (1-q16*S(3)*q25*r1) * (1-q17*S(3)*q25*r1) )</t>
  </si>
  <si>
    <t>"XA02593|CLA17014|" + S5 + "|"+(Jong +"0"+F6+"0")+"|"+(Age+n)</t>
  </si>
  <si>
    <t>CLA17016</t>
  </si>
  <si>
    <t>(감액및면책없음)전이암진단비(림프절전이암)(갱신형)</t>
  </si>
  <si>
    <t>"XA02593|CLA17016|" + 0 + "|"+(Jong +"0"+F6+"0")+"|"+If(S1=0,n,0)</t>
  </si>
  <si>
    <t>CLA17018</t>
  </si>
  <si>
    <t>"XA02593|CLA17018|" + S5 + "|"+(Jong +"0"+F6+"0")+"|"+(Age+n)</t>
  </si>
  <si>
    <t>CLA17020</t>
  </si>
  <si>
    <t>(감액및면책없음)전이암진단비(특정전이암)(갱신형)</t>
  </si>
  <si>
    <t>"XA02593|CLA17020|" + 0 + "|"+(Jong +"0"+F6+"0")+"|"+If(S1=0,n,0)</t>
  </si>
  <si>
    <t>CLA17026</t>
  </si>
  <si>
    <t>(감액및면책없음)카티(CAR-T)항암약물허가치료비(1회한)(갱신형)</t>
  </si>
  <si>
    <t>"XA02593|CLA17026|" + 0 + "|"+(Jong +"0"+F6+"0")+"|"+If(S1=0,n,0)</t>
  </si>
  <si>
    <t>CLA17028</t>
  </si>
  <si>
    <t>"XA02593|CLA17028|" + S5 + "|"+(Jong +"0"+F6+"0")+"|"+(Age+n)</t>
  </si>
  <si>
    <t>CLA17346</t>
  </si>
  <si>
    <t>암(4대유사암제외)항암약물치료비(1회한,비급여)(갱신형)</t>
  </si>
  <si>
    <t>"XA02593|CLA17346|" + 0 + "|"+(Jong +"0"+F6+"0")+"|"+If(S1=0,n,0)</t>
  </si>
  <si>
    <t>CLA17421</t>
  </si>
  <si>
    <t>암(4대유사암제외)항암약물치료비(1회한,비급여)(갱신용)</t>
  </si>
  <si>
    <t>"XA02593|CLA17421|" + 0 + "|"+(Jong +"0"+F6+"0")+"|"+If(S1=0,n,0)</t>
  </si>
  <si>
    <t>CLA17520</t>
  </si>
  <si>
    <t>암(특정유사암포함)항암방사선치료비(치료1회당)(갱신형)</t>
  </si>
  <si>
    <t>"XA02593|CLA17520|" + 0 + "|"+(Jong +"0"+F6+"0")+"|"+If(S1=0,n,0)</t>
  </si>
  <si>
    <t>CLA17521</t>
  </si>
  <si>
    <t>암(특정유사암포함)항암방사선치료비(치료1회당)(갱신용)</t>
  </si>
  <si>
    <t>"XA02593|CLA17521|" + 0 + "|"+(Jong +"0"+F6+"0")+"|"+If(S1=0,n,0)</t>
  </si>
  <si>
    <t>CLA17522</t>
  </si>
  <si>
    <t>암(특정유사암포함)항암약물치료비(치료1회당)(갱신형)</t>
  </si>
  <si>
    <t>( (q1+q2+q3)*D(0.75)+0.2*(q4+q5+q6+q7+q8+q9) )*q26*(1-w/2)*S(3)</t>
  </si>
  <si>
    <t>"XA02593|CLA17522|" + 0 + "|"+(Jong +"0"+F6+"0")+"|"+If(S1=0,n,0)</t>
  </si>
  <si>
    <t>CLA17523</t>
  </si>
  <si>
    <t>암(특정유사암포함)항암약물치료비(치료1회당)(갱신용)</t>
  </si>
  <si>
    <t>"XA02593|CLA17523|" + 0 + "|"+(Jong +"0"+F6+"0")+"|"+If(S1=0,n,0)</t>
  </si>
  <si>
    <t>CLA17550</t>
  </si>
  <si>
    <t>(q1+q2+q3+q4+q5+q6+q7)*q26*(1-w/2)*S(3)</t>
  </si>
  <si>
    <t>기타의 경증 상해 발생률(연간1회한)|100000000|1|202401</t>
  </si>
  <si>
    <t>머리 및 목의 경증 상해 발생률(연간1회한)|100000000|1|202401</t>
  </si>
  <si>
    <t>발목 및 발의 경증 상해 발생률(연간1회한)|100000000|1|202401</t>
  </si>
  <si>
    <t>복부 및 등의 경증 상해 발생률(연간1회한)|100000000|1|202401</t>
  </si>
  <si>
    <t>손목 및 손의 경증 상해 발생률(연간1회한)|100000000|1|202401</t>
  </si>
  <si>
    <t>어깨 및 팔의 경증 상해 발생률(연간1회한)|100000000|1|202401</t>
  </si>
  <si>
    <t>엉덩이 및 다리의 경증 상해 발생률(연간1회한)|100000000|1|202401</t>
  </si>
  <si>
    <t>"XA02593|CLA17550|" + S5 + "|"+(Jong +"0"+F6+"0")+"|"+(Age+n)</t>
  </si>
  <si>
    <t>CLA17551</t>
  </si>
  <si>
    <t>기타의 중등증 상해 발생률(연간1회한)|100000000|1|202401</t>
  </si>
  <si>
    <t>머리 및 목의 중등증 상해 발생률(연간1회한)|100000000|1|202401</t>
  </si>
  <si>
    <t>발목 및 발의 중등증 상해 발생률(연간1회한)|100000000|1|202401</t>
  </si>
  <si>
    <t>복부 및 등의 중등증 상해 발생률(연간1회한)|100000000|1|202401</t>
  </si>
  <si>
    <t>손목 및 손의 중등증 상해 발생률(연간1회한)|100000000|1|202401</t>
  </si>
  <si>
    <t>어깨 및 팔의 중등증 상해 발생률(연간1회한)|100000000|1|202401</t>
  </si>
  <si>
    <t>엉덩이 및 다리의 중등증 상해 발생률(연간1회한)|100000000|1|202401</t>
  </si>
  <si>
    <t>"XA02593|CLA17551|" + S5 + "|"+(Jong +"0"+F6+"0")+"|"+(Age+n)</t>
  </si>
  <si>
    <t>CLA17552</t>
  </si>
  <si>
    <t>기타의 중증 상해 발생률(연간1회한)|100000000|1|202401</t>
  </si>
  <si>
    <t>머리 및 목의 중증 상해 발생률(연간1회한)|100000000|1|202401</t>
  </si>
  <si>
    <t>발목 및 발의 중증 상해 발생률(연간1회한)|100000000|1|202401</t>
  </si>
  <si>
    <t>복부 및 등의 중증 상해 발생률(연간1회한)|100000000|1|202401</t>
  </si>
  <si>
    <t>손목 및 손의 중증 상해 발생률(연간1회한)|100000000|1|202401</t>
  </si>
  <si>
    <t>어깨 및 팔의 중증 상해 발생률(연간1회한)|100000000|1|202401</t>
  </si>
  <si>
    <t>엉덩이 및 다리의 중증 상해 발생률(연간1회한)|100000000|1|202401</t>
  </si>
  <si>
    <t>"XA02593|CLA17552|" + S5 + "|"+(Jong +"0"+F6+"0")+"|"+(Age+n)</t>
  </si>
  <si>
    <t>CLA17646</t>
  </si>
  <si>
    <t>(1-D(0.75)*q18*S(3)*q22*r1-If(t=0,0.25,0)*q1*q26*S(3)*r1) * ( (1-q11*q21*r1) * (1-q12*S(3)*q21*r1) * (1-q13*S(3)*q23*r1) * (1-q14*S(3)*q24*r1) * (1-q15*S(3)*q25*r1) * (1-q16*S(3)*q25*r1) * (1-q17*S(3)*q25*r1) )</t>
  </si>
  <si>
    <t>"XA02593|CLA17646|" + S5 + "|"+(Jong +"0"+F6+"0")+"|"+(Age+n)</t>
  </si>
  <si>
    <t>CLA17647</t>
  </si>
  <si>
    <t>"XA02593|CLA17647|" + S5 + "|"+(Jong +"0"+F6+"0")+"|"+(Age+n)</t>
  </si>
  <si>
    <t>CLA17648</t>
  </si>
  <si>
    <t>"XA02593|CLA17648|" + S5 + "|"+(Jong +"0"+F6+"0")+"|"+(Age+n)</t>
  </si>
  <si>
    <t>CLA17649</t>
  </si>
  <si>
    <t>"XA02593|CLA17649|" + S5 + "|"+(Jong +"0"+F6+"0")+"|"+(Age+n)</t>
  </si>
  <si>
    <t>CLA17650</t>
  </si>
  <si>
    <t>"XA02593|CLA17650|" + S5 + "|"+(Jong +"0"+F6+"0")+"|"+(Age+n)</t>
  </si>
  <si>
    <t>CLA17651</t>
  </si>
  <si>
    <t>"XA02593|CLA17651|" + S5 + "|"+(Jong +"0"+F6+"0")+"|"+(Age+n)</t>
  </si>
  <si>
    <t>CLA17652</t>
  </si>
  <si>
    <t>"XA02593|CLA17652|" + S5 + "|"+(Jong +"0"+F6+"0")+"|"+(Age+n)</t>
  </si>
  <si>
    <t>CLA17653</t>
  </si>
  <si>
    <t>"XA02593|CLA17653|" + S5 + "|"+(Jong +"0"+F6+"0")+"|"+(Age+n)</t>
  </si>
  <si>
    <t>CLA17654</t>
  </si>
  <si>
    <t>"XA02593|CLA17654|" + S5 + "|"+(Jong +"0"+F6+"0")+"|"+(Age+n)</t>
  </si>
  <si>
    <t>CLA17655</t>
  </si>
  <si>
    <t>"XA02593|CLA17655|" + S5 + "|"+(Jong +"0"+F6+"0")+"|"+(Age+n)</t>
  </si>
  <si>
    <t>CLA17667</t>
  </si>
  <si>
    <t>(감액및면책없음)통합암(4대유사암제외)진단비Ⅱ(입술,구강및인두암)(갱신형)</t>
  </si>
  <si>
    <t>"XA02593|CLA17667|" + 0 + "|"+(Jong +"0"+F6+"0")+"|"+If(S1=0,n,0)</t>
  </si>
  <si>
    <t>CLA17668</t>
  </si>
  <si>
    <t>(감액및면책없음)통합암(4대유사암제외)진단비Ⅱ(소화기관암)(갱신형)</t>
  </si>
  <si>
    <t>"XA02593|CLA17668|" + 0 + "|"+(Jong +"0"+F6+"0")+"|"+If(S1=0,n,0)</t>
  </si>
  <si>
    <t>CLA17669</t>
  </si>
  <si>
    <t>(감액및면책없음)통합암(4대유사암제외)진단비Ⅱ(호흡기및흉곽내기관암)(갱신형)</t>
  </si>
  <si>
    <t>"XA02593|CLA17669|" + 0 + "|"+(Jong +"0"+F6+"0")+"|"+If(S1=0,n,0)</t>
  </si>
  <si>
    <t>CLA17670</t>
  </si>
  <si>
    <t>(감액및면책없음)통합암(4대유사암제외)진단비Ⅱ(뼈,관절,악성흑색종,중피성및연조직암)(갱신형)</t>
  </si>
  <si>
    <t>"XA02593|CLA17670|" + 0 + "|"+(Jong +"0"+F6+"0")+"|"+If(S1=0,n,0)</t>
  </si>
  <si>
    <t>CLA17671</t>
  </si>
  <si>
    <t>(감액및면책없음)통합암(4대유사암제외)진단비Ⅱ(유방암)(갱신형)</t>
  </si>
  <si>
    <t>"XA02593|CLA17671|" + 0 + "|"+(Jong +"0"+F6+"0")+"|"+If(S1=0,n,0)</t>
  </si>
  <si>
    <t>CLA17672</t>
  </si>
  <si>
    <t>(감액및면책없음)통합암(4대유사암제외)진단비Ⅱ(여성생식기관암)(갱신형)</t>
  </si>
  <si>
    <t>"XA02593|CLA17672|" + 0 + "|"+(Jong +"0"+F6+"0")+"|"+If(S1=0,n,0)</t>
  </si>
  <si>
    <t>CLA17673</t>
  </si>
  <si>
    <t>(감액및면책없음)통합암(4대유사암제외)진단비Ⅱ(비뇨기관암(요로암))(갱신형)</t>
  </si>
  <si>
    <t>"XA02593|CLA17673|" + 0 + "|"+(Jong +"0"+F6+"0")+"|"+If(S1=0,n,0)</t>
  </si>
  <si>
    <t>CLA17674</t>
  </si>
  <si>
    <t>(감액및면책없음)통합암(4대유사암제외)진단비Ⅱ(눈,뇌,중추신경계통및내분비선암)(갱신형)</t>
  </si>
  <si>
    <t>"XA02593|CLA17674|" + 0 + "|"+(Jong +"0"+F6+"0")+"|"+If(S1=0,n,0)</t>
  </si>
  <si>
    <t>CLA17675</t>
  </si>
  <si>
    <t>(감액및면책없음)통합암(4대유사암제외)진단비Ⅱ(림프및조혈관련특정암)(갱신형)</t>
  </si>
  <si>
    <t>"XA02593|CLA17675|" + 0 + "|"+(Jong +"0"+F6+"0")+"|"+If(S1=0,n,0)</t>
  </si>
  <si>
    <t>CLA17676</t>
  </si>
  <si>
    <t>(감액및면책없음)통합암(4대유사암제외)진단비Ⅱ(남성생식기관및유방암)(갱신형)</t>
  </si>
  <si>
    <t>"XA02593|CLA17676|" + 0 + "|"+(Jong +"0"+F6+"0")+"|"+If(S1=0,n,0)</t>
  </si>
  <si>
    <t>CLA17726</t>
  </si>
  <si>
    <t>k1*(1-w/2)</t>
  </si>
  <si>
    <t>"XA02593|CLA17726|" + S5 + "|"+(Jong +"0"+F6+"0")+"|"+(Age+n)</t>
  </si>
  <si>
    <t>CLA17727</t>
  </si>
  <si>
    <t>(감액및면책없음)통합전이암진단비(남성생식기관및유방전이암)(갱신형)</t>
  </si>
  <si>
    <t>"XA02593|CLA17727|" + 0 + "|"+(Jong +"0"+F6+"0")+"|"+If(S1=0,n,0)</t>
  </si>
  <si>
    <t>CLA17730</t>
  </si>
  <si>
    <t>소화기관전이암 발생률(최초1회한)|100000000|1|202401</t>
  </si>
  <si>
    <t>"XA02593|CLA17730|" + S5 + "|"+(Jong +"0"+F6+"0")+"|"+(Age+n)</t>
  </si>
  <si>
    <t>CLA17732</t>
  </si>
  <si>
    <t>"XA02593|CLA17732|" + S5 + "|"+(Jong +"0"+F6+"0")+"|"+(Age+n)</t>
  </si>
  <si>
    <t>CLA17734</t>
  </si>
  <si>
    <t>여성생식기관전이암 발생률(최초1회한)|100000000|1|202401</t>
  </si>
  <si>
    <t>"XA02593|CLA17734|" + S5 + "|"+(Jong +"0"+F6+"0")+"|"+(Age+n)</t>
  </si>
  <si>
    <t>CLA17736</t>
  </si>
  <si>
    <t>호흡기및흉곽내기관전이암전이암 발생률(최초1회한)|100000000|1|202401</t>
  </si>
  <si>
    <t>"XA02593|CLA17736|" + S5 + "|"+(Jong +"0"+F6+"0")+"|"+(Age+n)</t>
  </si>
  <si>
    <t>CLA17738</t>
  </si>
  <si>
    <t>관절및피부전이암전이암 발생률(최초1회한)|100000000|1|202401</t>
  </si>
  <si>
    <t>"XA02593|CLA17738|" + S5 + "|"+(Jong +"0"+F6+"0")+"|"+(Age+n)</t>
  </si>
  <si>
    <t>CLA17740</t>
  </si>
  <si>
    <t>요로전이암 발생률(최초1회한)|100000000|1|202401</t>
  </si>
  <si>
    <t>"XA02593|CLA17740|" + S5 + "|"+(Jong +"0"+F6+"0")+"|"+(Age+n)</t>
  </si>
  <si>
    <t>CLA17742</t>
  </si>
  <si>
    <t>뇌전이암전이암 발생률(최초1회한)|100000000|1|202401</t>
  </si>
  <si>
    <t>"XA02593|CLA17742|" + S5 + "|"+(Jong +"0"+F6+"0")+"|"+(Age+n)</t>
  </si>
  <si>
    <t>CLA17744</t>
  </si>
  <si>
    <t>림프및기타특정전이암전이암 발생률(최초1회한)|100000000|1|202401</t>
  </si>
  <si>
    <t>"XA02593|CLA17744|" + S5 + "|"+(Jong +"0"+F6+"0")+"|"+(Age+n)</t>
  </si>
  <si>
    <t>CLA17746</t>
  </si>
  <si>
    <t>(감액및면책없음)통합전이암진단비(소화기관전이암)(갱신형)</t>
  </si>
  <si>
    <t>"XA02593|CLA17746|" + 0 + "|"+(Jong +"0"+F6+"0")+"|"+If(S1=0,n,0)</t>
  </si>
  <si>
    <t>CLA17748</t>
  </si>
  <si>
    <t>(감액및면책없음)통합전이암진단비(유방전이암)(갱신형)</t>
  </si>
  <si>
    <t>"XA02593|CLA17748|" + 0 + "|"+(Jong +"0"+F6+"0")+"|"+If(S1=0,n,0)</t>
  </si>
  <si>
    <t>CLA17750</t>
  </si>
  <si>
    <t>(감액및면책없음)통합전이암진단비(여성생식기관전이암)(갱신형)</t>
  </si>
  <si>
    <t>"XA02593|CLA17750|" + 0 + "|"+(Jong +"0"+F6+"0")+"|"+If(S1=0,n,0)</t>
  </si>
  <si>
    <t>CLA17752</t>
  </si>
  <si>
    <t>(감액및면책없음)통합전이암진단비(호흡기및흉곽내기관전이암)(갱신형)</t>
  </si>
  <si>
    <t>"XA02593|CLA17752|" + 0 + "|"+(Jong +"0"+F6+"0")+"|"+If(S1=0,n,0)</t>
  </si>
  <si>
    <t>CLA17754</t>
  </si>
  <si>
    <t>(감액및면책없음)통합전이암진단비(관절및피부전이암)(갱신형)</t>
  </si>
  <si>
    <t>"XA02593|CLA17754|" + 0 + "|"+(Jong +"0"+F6+"0")+"|"+If(S1=0,n,0)</t>
  </si>
  <si>
    <t>CLA17756</t>
  </si>
  <si>
    <t>(감액및면책없음)통합전이암진단비(요로전이암)(갱신형)</t>
  </si>
  <si>
    <t>"XA02593|CLA17756|" + 0 + "|"+(Jong +"0"+F6+"0")+"|"+If(S1=0,n,0)</t>
  </si>
  <si>
    <t>CLA17758</t>
  </si>
  <si>
    <t>(감액및면책없음)통합전이암진단비(뇌전이암)(갱신형)</t>
  </si>
  <si>
    <t>"XA02593|CLA17758|" + 0 + "|"+(Jong +"0"+F6+"0")+"|"+If(S1=0,n,0)</t>
  </si>
  <si>
    <t>CLA17760</t>
  </si>
  <si>
    <t>(감액및면책없음)통합전이암진단비(림프및기타특정전이암)(갱신형)</t>
  </si>
  <si>
    <t>"XA02593|CLA17760|" + 0 + "|"+(Jong +"0"+F6+"0")+"|"+If(S1=0,n,0)</t>
  </si>
  <si>
    <t>CLA17762</t>
  </si>
  <si>
    <t>"XA02593|CLA17762|" + S5 + "|"+(Jong +"0"+F6+"0")+"|"+(Age+n)</t>
  </si>
  <si>
    <t>CLA17764</t>
  </si>
  <si>
    <t>통합전이암진단비(소화기관전이암)(갱신형)</t>
  </si>
  <si>
    <t>"XA02593|CLA17764|" + 0 + "|"+(Jong +"0"+F6+"0")+"|"+If(S1=0,n,0)</t>
  </si>
  <si>
    <t>CLA17766</t>
  </si>
  <si>
    <t>통합전이암진단비(소화기관전이암)(갱신용)</t>
  </si>
  <si>
    <t>"XA02593|CLA17766|" + 0 + "|"+(Jong +"0"+F6+"0")+"|"+If(S1=0,n,0)</t>
  </si>
  <si>
    <t>CLA17768</t>
  </si>
  <si>
    <t>"XA02593|CLA17768|" + S5 + "|"+(Jong +"0"+F6+"0")+"|"+(Age+n)</t>
  </si>
  <si>
    <t>CLA17770</t>
  </si>
  <si>
    <t>통합전이암진단비(유방전이암)(갱신형)</t>
  </si>
  <si>
    <t>"XA02593|CLA17770|" + 0 + "|"+(Jong +"0"+F6+"0")+"|"+If(S1=0,n,0)</t>
  </si>
  <si>
    <t>CLA17772</t>
  </si>
  <si>
    <t>통합전이암진단비(유방전이암)(갱신용)</t>
  </si>
  <si>
    <t>"XA02593|CLA17772|" + 0 + "|"+(Jong +"0"+F6+"0")+"|"+If(S1=0,n,0)</t>
  </si>
  <si>
    <t>CLA17774</t>
  </si>
  <si>
    <t>"XA02593|CLA17774|" + S5 + "|"+(Jong +"0"+F6+"0")+"|"+(Age+n)</t>
  </si>
  <si>
    <t>CLA17776</t>
  </si>
  <si>
    <t>통합전이암진단비(여성생식기관전이암)(갱신형)</t>
  </si>
  <si>
    <t>"XA02593|CLA17776|" + 0 + "|"+(Jong +"0"+F6+"0")+"|"+If(S1=0,n,0)</t>
  </si>
  <si>
    <t>CLA17778</t>
  </si>
  <si>
    <t>통합전이암진단비(여성생식기관전이암)(갱신용)</t>
  </si>
  <si>
    <t>"XA02593|CLA17778|" + 0 + "|"+(Jong +"0"+F6+"0")+"|"+If(S1=0,n,0)</t>
  </si>
  <si>
    <t>CLA17780</t>
  </si>
  <si>
    <t>"XA02593|CLA17780|" + S5 + "|"+(Jong +"0"+F6+"0")+"|"+(Age+n)</t>
  </si>
  <si>
    <t>CLA17782</t>
  </si>
  <si>
    <t>통합전이암진단비(호흡기및흉곽내기관전이암)(갱신형)</t>
  </si>
  <si>
    <t>"XA02593|CLA17782|" + 0 + "|"+(Jong +"0"+F6+"0")+"|"+If(S1=0,n,0)</t>
  </si>
  <si>
    <t>CLA17784</t>
  </si>
  <si>
    <t>통합전이암진단비(호흡기및흉곽내기관전이암)(갱신용)</t>
  </si>
  <si>
    <t>"XA02593|CLA17784|" + 0 + "|"+(Jong +"0"+F6+"0")+"|"+If(S1=0,n,0)</t>
  </si>
  <si>
    <t>CLA17786</t>
  </si>
  <si>
    <t>"XA02593|CLA17786|" + S5 + "|"+(Jong +"0"+F6+"0")+"|"+(Age+n)</t>
  </si>
  <si>
    <t>CLA17788</t>
  </si>
  <si>
    <t>통합전이암진단비(관절및피부전이암)(갱신형)</t>
  </si>
  <si>
    <t>"XA02593|CLA17788|" + 0 + "|"+(Jong +"0"+F6+"0")+"|"+If(S1=0,n,0)</t>
  </si>
  <si>
    <t>CLA17790</t>
  </si>
  <si>
    <t>통합전이암진단비(관절및피부전이암)(갱신용)</t>
  </si>
  <si>
    <t>"XA02593|CLA17790|" + 0 + "|"+(Jong +"0"+F6+"0")+"|"+If(S1=0,n,0)</t>
  </si>
  <si>
    <t>CLA17792</t>
  </si>
  <si>
    <t>"XA02593|CLA17792|" + S5 + "|"+(Jong +"0"+F6+"0")+"|"+(Age+n)</t>
  </si>
  <si>
    <t>CLA17794</t>
  </si>
  <si>
    <t>통합전이암진단비(요로전이암)(갱신형)</t>
  </si>
  <si>
    <t>"XA02593|CLA17794|" + 0 + "|"+(Jong +"0"+F6+"0")+"|"+If(S1=0,n,0)</t>
  </si>
  <si>
    <t>CLA17796</t>
  </si>
  <si>
    <t>통합전이암진단비(요로전이암)(갱신용)</t>
  </si>
  <si>
    <t>"XA02593|CLA17796|" + 0 + "|"+(Jong +"0"+F6+"0")+"|"+If(S1=0,n,0)</t>
  </si>
  <si>
    <t>CLA17798</t>
  </si>
  <si>
    <t>"XA02593|CLA17798|" + S5 + "|"+(Jong +"0"+F6+"0")+"|"+(Age+n)</t>
  </si>
  <si>
    <t>CLA17800</t>
  </si>
  <si>
    <t>통합전이암진단비(뇌전이암)(갱신형)</t>
  </si>
  <si>
    <t>"XA02593|CLA17800|" + 0 + "|"+(Jong +"0"+F6+"0")+"|"+If(S1=0,n,0)</t>
  </si>
  <si>
    <t>CLA17802</t>
  </si>
  <si>
    <t>통합전이암진단비(뇌전이암)(갱신용)</t>
  </si>
  <si>
    <t>"XA02593|CLA17802|" + 0 + "|"+(Jong +"0"+F6+"0")+"|"+If(S1=0,n,0)</t>
  </si>
  <si>
    <t>CLA17804</t>
  </si>
  <si>
    <t>"XA02593|CLA17804|" + S5 + "|"+(Jong +"0"+F6+"0")+"|"+(Age+n)</t>
  </si>
  <si>
    <t>CLA17806</t>
  </si>
  <si>
    <t>통합전이암진단비(림프및기타특정전이암)(갱신형)</t>
  </si>
  <si>
    <t>"XA02593|CLA17806|" + 0 + "|"+(Jong +"0"+F6+"0")+"|"+If(S1=0,n,0)</t>
  </si>
  <si>
    <t>CLA17808</t>
  </si>
  <si>
    <t>통합전이암진단비(림프및기타특정전이암)(갱신용)</t>
  </si>
  <si>
    <t>"XA02593|CLA17808|" + 0 + "|"+(Jong +"0"+F6+"0")+"|"+If(S1=0,n,0)</t>
  </si>
  <si>
    <t>CLA17810</t>
  </si>
  <si>
    <t>(감액및면책없음)암(4대유사암제외)항암방사선치료비(1회한)(갱신형)</t>
  </si>
  <si>
    <t>"XA02593|CLA17810|" + 0 + "|"+(Jong +"0"+F6+"0")+"|"+If(S1=0,n,0)</t>
  </si>
  <si>
    <t>CLA17811</t>
  </si>
  <si>
    <t>(감액및면책없음)암(4대유사암제외)항암약물치료비(1회한)(갱신형)</t>
  </si>
  <si>
    <t>"XA02593|CLA17811|" + 0 + "|"+(Jong +"0"+F6+"0")+"|"+If(S1=0,n,0)</t>
  </si>
  <si>
    <t>CLA17815</t>
  </si>
  <si>
    <t>(감액및면책없음)암(4대유사암제외)항암방사선약물치료비(연간1회한,급여)(갱신형)</t>
  </si>
  <si>
    <t>"XA02593|CLA17815|" + 0 + "|"+(Jong +"0"+F6+"0")+"|"+If(S1=0,n,0)</t>
  </si>
  <si>
    <t>CLA17816</t>
  </si>
  <si>
    <t>"XA02593|CLA17816|" + S5 + "|"+(Jong +"0"+F6+"0")+"|"+(Age+n)</t>
  </si>
  <si>
    <t>CLA17817</t>
  </si>
  <si>
    <t>"XA02593|CLA17817|" + S5 + "|"+(Jong +"0"+F6+"0")+"|"+(Age+n)</t>
  </si>
  <si>
    <t>CLA17818</t>
  </si>
  <si>
    <t>(감액및면책없음)암(특정유사암포함)항암방사선치료비(치료1회당)(갱신형)</t>
  </si>
  <si>
    <t>"XA02593|CLA17818|" + 0 + "|"+(Jong +"0"+F6+"0")+"|"+If(S1=0,n,0)</t>
  </si>
  <si>
    <t>CLA17819</t>
  </si>
  <si>
    <t>(감액및면책없음)암(특정유사암포함)항암약물치료비(치료1회당)(갱신형)</t>
  </si>
  <si>
    <t>"XA02593|CLA17819|" + 0 + "|"+(Jong +"0"+F6+"0")+"|"+If(S1=0,n,0)</t>
  </si>
  <si>
    <t>CLA15998</t>
  </si>
  <si>
    <t>If(Jong=1 or Jong=3, k2, 1-q2*q22*S(3)) * (1-w)</t>
  </si>
  <si>
    <t>(1-w)*(1-q2*q22*S(3))</t>
  </si>
  <si>
    <t>q2*q22*(1-w/2)*S(3)</t>
  </si>
  <si>
    <t>(1-q2*q22*S(3))*(1-w)</t>
  </si>
  <si>
    <t>If(t&lt;m,0, 0.5*(W(t)+W(t+1))/2*(1-q2*q22*S(3)/2)*w)</t>
  </si>
  <si>
    <t>If(t&lt;m,0, 0.5*(V(t)+V(t+1))/2*(1-q2*q22*S(3)/2)*w)</t>
  </si>
  <si>
    <t>(1-D(0.75)*q18*S(3)*q22*r1-q2*q22*S(3)) * ( (1-q11*q21*r1) * (1-q12*S(3)*q21*r1) * (1-q13*S(3)*q23*r1) * (1-q14*S(3)*q24*r1) * (1-q15*S(3)*q25*r1) * (1-q16*S(3)*q25*r1) * (1-q17*S(3)*q25*r1) )</t>
  </si>
  <si>
    <t>"XA02593|CLA15998|" + S5 + "|"+(Jong +"0"+F6+"0")+"|"+(Age+n)</t>
  </si>
  <si>
    <t>CLA16006</t>
  </si>
  <si>
    <t>(감액및면책없음)4대유사암진단비(갑상선암)(갱신형)</t>
  </si>
  <si>
    <t>"XA02593|CLA16006|" + 0 + "|"+(Jong +"0"+F6+"0")+"|"+If(S1=0,n,0)</t>
  </si>
  <si>
    <t>CLA16002</t>
  </si>
  <si>
    <t>If(Jong=1 or Jong=3, k2, 1 ) * (1-w) * (1-q4*q22*S(3))</t>
  </si>
  <si>
    <t>(1-w)*(1-q4*q22*S(3))</t>
  </si>
  <si>
    <t>q4*q22*(1-w/2)*S(3)</t>
  </si>
  <si>
    <t>(1-q4*q22*S(3))*(1-w)</t>
  </si>
  <si>
    <t>If(t&lt;m,0, 0.5*(W(t)+W(t+1))/2*(1-q4*q22*S(3)/2)*w)</t>
  </si>
  <si>
    <t>If(t&lt;m,0, 0.5*(V(t)+V(t+1))/2*(1-q4*q22*S(3)/2)*w)</t>
  </si>
  <si>
    <t>"XA02593|CLA16002|" + S5 + "|"+(Jong +"0"+F6+"0")+"|"+(Age+n)</t>
  </si>
  <si>
    <t>CLA16010</t>
  </si>
  <si>
    <t>(감액및면책없음)4대유사암진단비(경계성종양)(갱신형)</t>
  </si>
  <si>
    <t>"XA02593|CLA16010|" + 0 + "|"+(Jong +"0"+F6+"0")+"|"+If(S1=0,n,0)</t>
  </si>
  <si>
    <t>CLA15996</t>
  </si>
  <si>
    <t>If(Jong=1 or Jong=3, k2, 1-q1*q22*S(3) ) * (1-w)</t>
  </si>
  <si>
    <t>(1-w)*(1-q1*q22*S(3))</t>
  </si>
  <si>
    <t>q1*q22*(1-w/2)*S(3)</t>
  </si>
  <si>
    <t>(1-q1*q22*S(3))*(1-w)</t>
  </si>
  <si>
    <t>If(t&lt;m,0, 0.5*(W(t)+W(t+1))/2*(1-q1*q22*S(3)/2)*w)</t>
  </si>
  <si>
    <t>If(t&lt;m,0, 0.5*(V(t)+V(t+1))/2*(1-q1*q22*S(3)/2)*w)</t>
  </si>
  <si>
    <t>(1-D(0.75)*q18*S(3)*q22*r1-q1*q22*S(3)) * ( (1-q11*q21*r1) * (1-q12*S(3)*q21*r1) * (1-q13*S(3)*q23*r1) * (1-q14*S(3)*q24*r1) * (1-q15*S(3)*q25*r1) * (1-q16*S(3)*q25*r1) * (1-q17*S(3)*q25*r1) )</t>
  </si>
  <si>
    <t>"XA02593|CLA15996|" + S5 + "|"+(Jong +"0"+F6+"0")+"|"+(Age+n)</t>
  </si>
  <si>
    <t>CLA16004</t>
  </si>
  <si>
    <t>(감액및면책없음)4대유사암진단비(기타피부암)(갱신형)</t>
  </si>
  <si>
    <t>"XA02593|CLA16004|" + 0 + "|"+(Jong +"0"+F6+"0")+"|"+If(S1=0,n,0)</t>
  </si>
  <si>
    <t>CLA16000</t>
  </si>
  <si>
    <t>If(Jong=1 or Jong=3, k2, 1 ) * (1-w) * (1-q3*q22*S(3))</t>
  </si>
  <si>
    <t>(1-w)*(1-q3*q22*S(3))</t>
  </si>
  <si>
    <t>q3*q22*(1-w/2)*S(3)</t>
  </si>
  <si>
    <t>(1-q3*q22*S(3))*(1-w)</t>
  </si>
  <si>
    <t>If(t&lt;m,0, 0.5*(W(t)+W(t+1))/2*(1-q3*q22*S(3)/2)*w)</t>
  </si>
  <si>
    <t>If(t&lt;m,0, 0.5*(V(t)+V(t+1))/2*(1-q3*q22*S(3)/2)*w)</t>
  </si>
  <si>
    <t>"XA02593|CLA16000|" + S5 + "|"+(Jong +"0"+F6+"0")+"|"+(Age+n)</t>
  </si>
  <si>
    <t>CLA16008</t>
  </si>
  <si>
    <t>(감액및면책없음)4대유사암진단비(제자리암)(갱신형)</t>
  </si>
  <si>
    <t>"XA02593|CLA16008|" + 0 + "|"+(Jong +"0"+F6+"0")+"|"+If(S1=0,n,0)</t>
  </si>
  <si>
    <t>CLA18474</t>
  </si>
  <si>
    <t>If(Jong=1 or Jong=3, k2, (1-q1*q22*S(3)) ) * (1-w)</t>
  </si>
  <si>
    <t>q1*(1-w/2)*q22*S(3)*k1</t>
  </si>
  <si>
    <t>Ax("CLA18618", Age+t, 5)</t>
  </si>
  <si>
    <t>"XA02593|CLA18474|" + S5 + "|"+(Jong +"0"+F6+"0")+"|"+(Age+n)</t>
  </si>
  <si>
    <t>CLA18486</t>
  </si>
  <si>
    <t>(감액및면책없음)암(4대유사암제외)진단후특정치료비(진단후5년,연간1회한)(갱신형)</t>
  </si>
  <si>
    <t>q1*q22*S(3)*k1</t>
  </si>
  <si>
    <t>Ax("CLA18630", Age+t, 5)</t>
  </si>
  <si>
    <t>"XA02593|CLA18486|" + 0 + "|"+(Jong +"0"+F6+"0")+"|"+If(S1=0,n,0)</t>
  </si>
  <si>
    <t>CLA18618</t>
  </si>
  <si>
    <t>q1/FindQ(11,Age)*FindQ(21,Age)/FindQ(22,Age)</t>
  </si>
  <si>
    <t>암(기타피부암 및 갑상선암 제외) 진단 후 암직접치료 발생률(진단후5년, 연간1회한)|100010000|2|202401</t>
  </si>
  <si>
    <t>"XA02593|CLA18618|" + S5 + "|"+(Jong +"0"+F6+"0")+"|"+(Age+n)</t>
  </si>
  <si>
    <t>CLA18630</t>
  </si>
  <si>
    <t>(감액및면책없음)암(4대유사암제외)진단후특정치료비(진단후5년,연간1회한)(발생자용)(갱신형)</t>
  </si>
  <si>
    <t>"XA02593|CLA18630|" + 0 + "|"+(Jong +"0"+F6+"0")+"|"+If(S1=0,n,0)</t>
  </si>
  <si>
    <t>CLA18485</t>
  </si>
  <si>
    <t>If(Jong=1 or Jong=3, k2, (1-(q1+q2+q3)*q22*S(3)) ) * (1-w)</t>
  </si>
  <si>
    <t>(1-w)*(1-(q1+q2+q3)*q22*S(3))</t>
  </si>
  <si>
    <t>(q1+q2+q3)*(1-w/2)*q22*S(3)*k1</t>
  </si>
  <si>
    <t>If(t&lt;m,0, 0.5*(W(t)+W(t+1))/2*(1-(q1+q2+q3)*q22*S(3)/2)*w)</t>
  </si>
  <si>
    <t>If(t&lt;m,0, 0.5*(V(t)+V(t+1))/2*(1-(q1+q2+q3)*q22*S(3)/2)*w)</t>
  </si>
  <si>
    <t>Ax("CLA18629", Age+t, 5)</t>
  </si>
  <si>
    <t>(1-(q1+q2+q3)*S(3)*q22*r1) * ( (1-q11*q21*r1) * (1-q12*S(3)*q21*r1) * (1-q13*S(3)*q23*r1) * (1-q14*S(3)*q24*r1) * (1-q15*S(3)*q25*r1) * (1-q16*S(3)*q25*r1) * (1-q17*S(3)*q25*r1) )</t>
  </si>
  <si>
    <t>"XA02593|CLA18485|" + S5 + "|"+(Jong +"0"+F6+"0")+"|"+(Age+n)</t>
  </si>
  <si>
    <t>CLA18497</t>
  </si>
  <si>
    <t>(감액및면책없음)암(특정유사암포함)진단후종합병원특정치료지원금(연간1억원이상,진단후5년,연간1회한)(갱신형)</t>
  </si>
  <si>
    <t>(q1+q2+q3)*q22*S(3)*k1</t>
  </si>
  <si>
    <t>Ax("CLA18641", Age+t, 5)</t>
  </si>
  <si>
    <t>"XA02593|CLA18497|" + 0 + "|"+(Jong +"0"+F6+"0")+"|"+If(S1=0,n,0)</t>
  </si>
  <si>
    <t>CLA18629</t>
  </si>
  <si>
    <t>q1/(FindQ(11,Age)+FindQ(12,Age)+FindQ(13,Age))*FindQ(21,Age)/FindQ(22,Age)</t>
  </si>
  <si>
    <t>상급종합병원 및 종합병원 암 직접치료비 발생률(진단후5년, 연간 10,000만원 이상)|100010000|2|202401</t>
  </si>
  <si>
    <t>"XA02593|CLA18629|" + S5 + "|"+(Jong +"0"+F6+"0")+"|"+(Age+n)</t>
  </si>
  <si>
    <t>CLA18641</t>
  </si>
  <si>
    <t>(감액및면책없음)암(특정유사암포함)진단후종합병원특정치료지원금(연간1억원이상,진단후5년,연간1회한)(발생자용)(갱신형)</t>
  </si>
  <si>
    <t>"XA02593|CLA18641|" + 0 + "|"+(Jong +"0"+F6+"0")+"|"+If(S1=0,n,0)</t>
  </si>
  <si>
    <t>CLA18476</t>
  </si>
  <si>
    <t>Ax("CLA18620", Age+t, 5)</t>
  </si>
  <si>
    <t>"XA02593|CLA18476|" + S5 + "|"+(Jong +"0"+F6+"0")+"|"+(Age+n)</t>
  </si>
  <si>
    <t>CLA18488</t>
  </si>
  <si>
    <t>(감액및면책없음)암(특정유사암포함)진단후종합병원특정치료지원금(연간1천만원이상,진단후5년,연간1회한)(갱신형)</t>
  </si>
  <si>
    <t>Ax("CLA18632", Age+t, 5)</t>
  </si>
  <si>
    <t>"XA02593|CLA18488|" + 0 + "|"+(Jong +"0"+F6+"0")+"|"+If(S1=0,n,0)</t>
  </si>
  <si>
    <t>CLA18620</t>
  </si>
  <si>
    <t>상급종합병원 및 종합병원 암 직접치료비 발생률(진단후5년, 연간 1,000만원 이상)|100010000|2|202401</t>
  </si>
  <si>
    <t>"XA02593|CLA18620|" + S5 + "|"+(Jong +"0"+F6+"0")+"|"+(Age+n)</t>
  </si>
  <si>
    <t>CLA18632</t>
  </si>
  <si>
    <t>(감액및면책없음)암(특정유사암포함)진단후종합병원특정치료지원금(연간1천만원이상,진단후5년,연간1회한)(발생자용)(갱신형)</t>
  </si>
  <si>
    <t>"XA02593|CLA18632|" + 0 + "|"+(Jong +"0"+F6+"0")+"|"+If(S1=0,n,0)</t>
  </si>
  <si>
    <t>CLA18477</t>
  </si>
  <si>
    <t>Ax("CLA18621", Age+t, 5)</t>
  </si>
  <si>
    <t>"XA02593|CLA18477|" + S5 + "|"+(Jong +"0"+F6+"0")+"|"+(Age+n)</t>
  </si>
  <si>
    <t>CLA18489</t>
  </si>
  <si>
    <t>(감액및면책없음)암(특정유사암포함)진단후종합병원특정치료지원금(연간2천만원이상,진단후5년,연간1회한)(갱신형)</t>
  </si>
  <si>
    <t>Ax("CLA18633", Age+t, 5)</t>
  </si>
  <si>
    <t>"XA02593|CLA18489|" + 0 + "|"+(Jong +"0"+F6+"0")+"|"+If(S1=0,n,0)</t>
  </si>
  <si>
    <t>CLA18621</t>
  </si>
  <si>
    <t>상급종합병원 및 종합병원 암 직접치료비 발생률(진단후5년, 연간 2,000만원 이상)|100010000|2|202401</t>
  </si>
  <si>
    <t>"XA02593|CLA18621|" + S5 + "|"+(Jong +"0"+F6+"0")+"|"+(Age+n)</t>
  </si>
  <si>
    <t>CLA18633</t>
  </si>
  <si>
    <t>(감액및면책없음)암(특정유사암포함)진단후종합병원특정치료지원금(연간2천만원이상,진단후5년,연간1회한)(발생자용)(갱신형)</t>
  </si>
  <si>
    <t>"XA02593|CLA18633|" + 0 + "|"+(Jong +"0"+F6+"0")+"|"+If(S1=0,n,0)</t>
  </si>
  <si>
    <t>CLA18478</t>
  </si>
  <si>
    <t>Ax("CLA18622", Age+t, 5)</t>
  </si>
  <si>
    <t>"XA02593|CLA18478|" + S5 + "|"+(Jong +"0"+F6+"0")+"|"+(Age+n)</t>
  </si>
  <si>
    <t>CLA18490</t>
  </si>
  <si>
    <t>(감액및면책없음)암(특정유사암포함)진단후종합병원특정치료지원금(연간3천만원이상,진단후5년,연간1회한)(갱신형)</t>
  </si>
  <si>
    <t>Ax("CLA18634", Age+t, 5)</t>
  </si>
  <si>
    <t>"XA02593|CLA18490|" + 0 + "|"+(Jong +"0"+F6+"0")+"|"+If(S1=0,n,0)</t>
  </si>
  <si>
    <t>CLA18622</t>
  </si>
  <si>
    <t>상급종합병원 및 종합병원 암 직접치료비 발생률(진단후5년, 연간 3,000만원 이상)|100010000|2|202401</t>
  </si>
  <si>
    <t>"XA02593|CLA18622|" + S5 + "|"+(Jong +"0"+F6+"0")+"|"+(Age+n)</t>
  </si>
  <si>
    <t>CLA18634</t>
  </si>
  <si>
    <t>(감액및면책없음)암(특정유사암포함)진단후종합병원특정치료지원금(연간3천만원이상,진단후5년,연간1회한)(발생자용)(갱신형)</t>
  </si>
  <si>
    <t>"XA02593|CLA18634|" + 0 + "|"+(Jong +"0"+F6+"0")+"|"+If(S1=0,n,0)</t>
  </si>
  <si>
    <t>CLA18479</t>
  </si>
  <si>
    <t>Ax("CLA18623", Age+t, 5)</t>
  </si>
  <si>
    <t>"XA02593|CLA18479|" + S5 + "|"+(Jong +"0"+F6+"0")+"|"+(Age+n)</t>
  </si>
  <si>
    <t>CLA18491</t>
  </si>
  <si>
    <t>(감액및면책없음)암(특정유사암포함)진단후종합병원특정치료지원금(연간4천만원이상,진단후5년,연간1회한)(갱신형)</t>
  </si>
  <si>
    <t>Ax("CLA18635", Age+t, 5)</t>
  </si>
  <si>
    <t>"XA02593|CLA18491|" + 0 + "|"+(Jong +"0"+F6+"0")+"|"+If(S1=0,n,0)</t>
  </si>
  <si>
    <t>CLA18623</t>
  </si>
  <si>
    <t>상급종합병원 및 종합병원 암 직접치료비 발생률(진단후5년, 연간 4,000만원 이상)|100010000|2|202401</t>
  </si>
  <si>
    <t>"XA02593|CLA18623|" + S5 + "|"+(Jong +"0"+F6+"0")+"|"+(Age+n)</t>
  </si>
  <si>
    <t>CLA18635</t>
  </si>
  <si>
    <t>(감액및면책없음)암(특정유사암포함)진단후종합병원특정치료지원금(연간4천만원이상,진단후5년,연간1회한)(발생자용)(갱신형)</t>
  </si>
  <si>
    <t>"XA02593|CLA18635|" + 0 + "|"+(Jong +"0"+F6+"0")+"|"+If(S1=0,n,0)</t>
  </si>
  <si>
    <t>CLA18480</t>
  </si>
  <si>
    <t>Ax("CLA18624", Age+t, 5)</t>
  </si>
  <si>
    <t>"XA02593|CLA18480|" + S5 + "|"+(Jong +"0"+F6+"0")+"|"+(Age+n)</t>
  </si>
  <si>
    <t>CLA18492</t>
  </si>
  <si>
    <t>(감액및면책없음)암(특정유사암포함)진단후종합병원특정치료지원금(연간5천만원이상,진단후5년,연간1회한)(갱신형)</t>
  </si>
  <si>
    <t>Ax("CLA18636", Age+t, 5)</t>
  </si>
  <si>
    <t>"XA02593|CLA18492|" + 0 + "|"+(Jong +"0"+F6+"0")+"|"+If(S1=0,n,0)</t>
  </si>
  <si>
    <t>CLA18624</t>
  </si>
  <si>
    <t>상급종합병원 및 종합병원 암 직접치료비 발생률(진단후5년, 연간 5,000만원 이상)|100010000|2|202401</t>
  </si>
  <si>
    <t>"XA02593|CLA18624|" + S5 + "|"+(Jong +"0"+F6+"0")+"|"+(Age+n)</t>
  </si>
  <si>
    <t>CLA18636</t>
  </si>
  <si>
    <t>(감액및면책없음)암(특정유사암포함)진단후종합병원특정치료지원금(연간5천만원이상,진단후5년,연간1회한)(발생자용)(갱신형)</t>
  </si>
  <si>
    <t>"XA02593|CLA18636|" + 0 + "|"+(Jong +"0"+F6+"0")+"|"+If(S1=0,n,0)</t>
  </si>
  <si>
    <t>CLA18481</t>
  </si>
  <si>
    <t>Ax("CLA18625", Age+t, 5)</t>
  </si>
  <si>
    <t>"XA02593|CLA18481|" + S5 + "|"+(Jong +"0"+F6+"0")+"|"+(Age+n)</t>
  </si>
  <si>
    <t>CLA18493</t>
  </si>
  <si>
    <t>(감액및면책없음)암(특정유사암포함)진단후종합병원특정치료지원금(연간6천만원이상,진단후5년,연간1회한)(갱신형)</t>
  </si>
  <si>
    <t>Ax("CLA18637", Age+t, 5)</t>
  </si>
  <si>
    <t>"XA02593|CLA18493|" + 0 + "|"+(Jong +"0"+F6+"0")+"|"+If(S1=0,n,0)</t>
  </si>
  <si>
    <t>CLA18625</t>
  </si>
  <si>
    <t>상급종합병원 및 종합병원 암 직접치료비 발생률(진단후5년, 연간 6,000만원 이상)|100010000|2|202401</t>
  </si>
  <si>
    <t>"XA02593|CLA18625|" + S5 + "|"+(Jong +"0"+F6+"0")+"|"+(Age+n)</t>
  </si>
  <si>
    <t>CLA18637</t>
  </si>
  <si>
    <t>(감액및면책없음)암(특정유사암포함)진단후종합병원특정치료지원금(연간6천만원이상,진단후5년,연간1회한)(발생자용)(갱신형)</t>
  </si>
  <si>
    <t>"XA02593|CLA18637|" + 0 + "|"+(Jong +"0"+F6+"0")+"|"+If(S1=0,n,0)</t>
  </si>
  <si>
    <t>CLA18482</t>
  </si>
  <si>
    <t>Ax("CLA18626", Age+t, 5)</t>
  </si>
  <si>
    <t>"XA02593|CLA18482|" + S5 + "|"+(Jong +"0"+F6+"0")+"|"+(Age+n)</t>
  </si>
  <si>
    <t>CLA18494</t>
  </si>
  <si>
    <t>(감액및면책없음)암(특정유사암포함)진단후종합병원특정치료지원금(연간7천만원이상,진단후5년,연간1회한)(갱신형)</t>
  </si>
  <si>
    <t>Ax("CLA18638", Age+t, 5)</t>
  </si>
  <si>
    <t>"XA02593|CLA18494|" + 0 + "|"+(Jong +"0"+F6+"0")+"|"+If(S1=0,n,0)</t>
  </si>
  <si>
    <t>CLA18626</t>
  </si>
  <si>
    <t>상급종합병원 및 종합병원 암 직접치료비 발생률(진단후5년, 연간 7,000만원 이상)|100010000|2|202401</t>
  </si>
  <si>
    <t>"XA02593|CLA18626|" + S5 + "|"+(Jong +"0"+F6+"0")+"|"+(Age+n)</t>
  </si>
  <si>
    <t>CLA18638</t>
  </si>
  <si>
    <t>(감액및면책없음)암(특정유사암포함)진단후종합병원특정치료지원금(연간7천만원이상,진단후5년,연간1회한)(발생자용)(갱신형)</t>
  </si>
  <si>
    <t>"XA02593|CLA18638|" + 0 + "|"+(Jong +"0"+F6+"0")+"|"+If(S1=0,n,0)</t>
  </si>
  <si>
    <t>CLA18483</t>
  </si>
  <si>
    <t>Ax("CLA18627", Age+t, 5)</t>
  </si>
  <si>
    <t>"XA02593|CLA18483|" + S5 + "|"+(Jong +"0"+F6+"0")+"|"+(Age+n)</t>
  </si>
  <si>
    <t>CLA18495</t>
  </si>
  <si>
    <t>(감액및면책없음)암(특정유사암포함)진단후종합병원특정치료지원금(연간8천만원이상,진단후5년,연간1회한)(갱신형)</t>
  </si>
  <si>
    <t>Ax("CLA18639", Age+t, 5)</t>
  </si>
  <si>
    <t>"XA02593|CLA18495|" + 0 + "|"+(Jong +"0"+F6+"0")+"|"+If(S1=0,n,0)</t>
  </si>
  <si>
    <t>CLA18627</t>
  </si>
  <si>
    <t>상급종합병원 및 종합병원 암 직접치료비 발생률(진단후5년, 연간 8,000만원 이상)|100010000|2|202401</t>
  </si>
  <si>
    <t>"XA02593|CLA18627|" + S5 + "|"+(Jong +"0"+F6+"0")+"|"+(Age+n)</t>
  </si>
  <si>
    <t>CLA18639</t>
  </si>
  <si>
    <t>(감액및면책없음)암(특정유사암포함)진단후종합병원특정치료지원금(연간8천만원이상,진단후5년,연간1회한)(발생자용)(갱신형)</t>
  </si>
  <si>
    <t>"XA02593|CLA18639|" + 0 + "|"+(Jong +"0"+F6+"0")+"|"+If(S1=0,n,0)</t>
  </si>
  <si>
    <t>CLA18484</t>
  </si>
  <si>
    <t>Ax("CLA18628", Age+t, 5)</t>
  </si>
  <si>
    <t>"XA02593|CLA18484|" + S5 + "|"+(Jong +"0"+F6+"0")+"|"+(Age+n)</t>
  </si>
  <si>
    <t>CLA18496</t>
  </si>
  <si>
    <t>(감액및면책없음)암(특정유사암포함)진단후종합병원특정치료지원금(연간9천만원이상,진단후5년,연간1회한)(갱신형)</t>
  </si>
  <si>
    <t>Ax("CLA18640", Age+t, 5)</t>
  </si>
  <si>
    <t>"XA02593|CLA18496|" + 0 + "|"+(Jong +"0"+F6+"0")+"|"+If(S1=0,n,0)</t>
  </si>
  <si>
    <t>CLA18628</t>
  </si>
  <si>
    <t>상급종합병원 및 종합병원 암 직접치료비 발생률(진단후5년, 연간 9,000만원 이상)|100010000|2|202401</t>
  </si>
  <si>
    <t>"XA02593|CLA18628|" + S5 + "|"+(Jong +"0"+F6+"0")+"|"+(Age+n)</t>
  </si>
  <si>
    <t>CLA18640</t>
  </si>
  <si>
    <t>(감액및면책없음)암(특정유사암포함)진단후종합병원특정치료지원금(연간9천만원이상,진단후5년,연간1회한)(발생자용)(갱신형)</t>
  </si>
  <si>
    <t>"XA02593|CLA18640|" + 0 + "|"+(Jong +"0"+F6+"0")+"|"+If(S1=0,n,0)</t>
  </si>
  <si>
    <t>CLA12724</t>
  </si>
  <si>
    <t>q2*q22*(1-w/2)*S(3)*D(0.5)</t>
  </si>
  <si>
    <t>"XA02593|CLA12724|" + S5 + "|"+(Jong +"0"+F6+"0")+"|"+(Age+n)</t>
  </si>
  <si>
    <t>CLA12726</t>
  </si>
  <si>
    <t>4대유사암진단비(갑상선암)(갱신용)</t>
  </si>
  <si>
    <t>"XA02593|CLA12726|" + 0 + "|"+(Jong +"0"+F6+"0")+"|"+If(S1=0,n,0)</t>
  </si>
  <si>
    <t>CLA12725</t>
  </si>
  <si>
    <t>4대유사암진단비(갑상선암)(갱신형)</t>
  </si>
  <si>
    <t>"XA02593|CLA12725|" + 0 + "|"+(Jong +"0"+F6+"0")+"|"+If(S1=0,n,0)</t>
  </si>
  <si>
    <t>CLA12730</t>
  </si>
  <si>
    <t>q4*q22*(1-w/2)*S(3)*D(0.5)</t>
  </si>
  <si>
    <t>"XA02593|CLA12730|" + S5 + "|"+(Jong +"0"+F6+"0")+"|"+(Age+n)</t>
  </si>
  <si>
    <t>CLA12732</t>
  </si>
  <si>
    <t>4대유사암진단비(경계성종양)(갱신용)</t>
  </si>
  <si>
    <t>"XA02593|CLA12732|" + 0 + "|"+(Jong +"0"+F6+"0")+"|"+If(S1=0,n,0)</t>
  </si>
  <si>
    <t>CLA12731</t>
  </si>
  <si>
    <t>4대유사암진단비(경계성종양)(갱신형)</t>
  </si>
  <si>
    <t>"XA02593|CLA12731|" + 0 + "|"+(Jong +"0"+F6+"0")+"|"+If(S1=0,n,0)</t>
  </si>
  <si>
    <t>CLA12721</t>
  </si>
  <si>
    <t>q1*q22*(1-w/2)*S(3)*D(0.5)</t>
  </si>
  <si>
    <t>"XA02593|CLA12721|" + S5 + "|"+(Jong +"0"+F6+"0")+"|"+(Age+n)</t>
  </si>
  <si>
    <t>CLA12723</t>
  </si>
  <si>
    <t>4대유사암진단비(기타피부암)(갱신용)</t>
  </si>
  <si>
    <t>"XA02593|CLA12723|" + 0 + "|"+(Jong +"0"+F6+"0")+"|"+If(S1=0,n,0)</t>
  </si>
  <si>
    <t>CLA12722</t>
  </si>
  <si>
    <t>4대유사암진단비(기타피부암)(갱신형)</t>
  </si>
  <si>
    <t>"XA02593|CLA12722|" + 0 + "|"+(Jong +"0"+F6+"0")+"|"+If(S1=0,n,0)</t>
  </si>
  <si>
    <t>CLA12727</t>
  </si>
  <si>
    <t>q3*q22*(1-w/2)*S(3)*D(0.5)</t>
  </si>
  <si>
    <t>"XA02593|CLA12727|" + S5 + "|"+(Jong +"0"+F6+"0")+"|"+(Age+n)</t>
  </si>
  <si>
    <t>CLA12729</t>
  </si>
  <si>
    <t>4대유사암진단비(제자리암)(갱신용)</t>
  </si>
  <si>
    <t>"XA02593|CLA12729|" + 0 + "|"+(Jong +"0"+F6+"0")+"|"+If(S1=0,n,0)</t>
  </si>
  <si>
    <t>CLA12728</t>
  </si>
  <si>
    <t>4대유사암진단비(제자리암)(갱신형)</t>
  </si>
  <si>
    <t>"XA02593|CLA12728|" + 0 + "|"+(Jong +"0"+F6+"0")+"|"+If(S1=0,n,0)</t>
  </si>
  <si>
    <t>CLA18383</t>
  </si>
  <si>
    <t>상급종합병원1인실상해입원율(1일이상 10일한도)|110000000|1|202404</t>
  </si>
  <si>
    <t>"XA02593|CLA18383|" + S5 + "|"+(Jong +"0"+F6+"0")+"|"+(Age+n)</t>
  </si>
  <si>
    <t>CLA18395</t>
  </si>
  <si>
    <t>상해상급종합병원1인실입원비(1일이상10일한도)(갱신형)</t>
  </si>
  <si>
    <t>"XA02593|CLA18395|" + 0 + "|"+(Jong +"0"+F6+"0")+"|"+If(S1=0,n,0)</t>
  </si>
  <si>
    <t>CLA18384</t>
  </si>
  <si>
    <t>상급종합병원1인실상해입원율(1일이상 30일한도)|110000000|1|202404</t>
  </si>
  <si>
    <t>"XA02593|CLA18384|" + S5 + "|"+(Jong +"0"+F6+"0")+"|"+(Age+n)</t>
  </si>
  <si>
    <t>CLA18396</t>
  </si>
  <si>
    <t>상해상급종합병원1인실입원비(1일이상30일한도)(갱신형)</t>
  </si>
  <si>
    <t>"XA02593|CLA18396|" + 0 + "|"+(Jong +"0"+F6+"0")+"|"+If(S1=0,n,0)</t>
  </si>
  <si>
    <t>CLA18386</t>
  </si>
  <si>
    <t>종합병원1인실상해입원율(1일이상 30일한도)|110000000|1|202404</t>
  </si>
  <si>
    <t>"XA02593|CLA18386|" + S5 + "|"+(Jong +"0"+F6+"0")+"|"+(Age+n)</t>
  </si>
  <si>
    <t>CLA18398</t>
  </si>
  <si>
    <t>상해종합병원1인실입원비(1일이상30일한도)(갱신형)</t>
  </si>
  <si>
    <t>"XA02593|CLA18398|" + 0 + "|"+(Jong +"0"+F6+"0")+"|"+If(S1=0,n,0)</t>
  </si>
  <si>
    <t>CLA18439</t>
  </si>
  <si>
    <t>U(0.75)*q1*(1-w/2)*q22*S(3)*k1</t>
  </si>
  <si>
    <t>Ax("CLA18594", Age+t, 5)</t>
  </si>
  <si>
    <t>(1-q1*S(3)*q22*r1) * ( (1-q11*q21*r1) * (1-q12*S(3)*q21*r1) * (1-q13*S(3)*q23*r1) * (1-q14*S(3)*q24*r1) * (1-q15*S(3)*q25*r1) * (1-q16*S(3)*q25*r1) * (1-q17*S(3)*q25*r1) )</t>
  </si>
  <si>
    <t>"XA02593|CLA18439|" + S5 + "|"+(Jong +"0"+F6+"0")+"|"+(Age+n)</t>
  </si>
  <si>
    <t>CLA18463</t>
  </si>
  <si>
    <t>암(4대유사암제외)진단후특정치료비(진단후5년,연간1회한)(갱신용)</t>
  </si>
  <si>
    <t>U(0.75)*q1*q22*S(3)*k1</t>
  </si>
  <si>
    <t>Ax("CLA18606", Age+t, 5)</t>
  </si>
  <si>
    <t>"XA02593|CLA18463|" + 0 + "|"+(Jong +"0"+F6+"0")+"|"+If(S1=0,n,0)</t>
  </si>
  <si>
    <t>CLA18451</t>
  </si>
  <si>
    <t>암(4대유사암제외)진단후특정치료비(진단후5년,연간1회한)(갱신형)</t>
  </si>
  <si>
    <t>"XA02593|CLA18451|" + 0 + "|"+(Jong +"0"+F6+"0")+"|"+If(S1=0,n,0)</t>
  </si>
  <si>
    <t>CLA18594</t>
  </si>
  <si>
    <t>"XA02593|CLA18594|" + S5 + "|"+(Jong +"0"+F6+"0")+"|"+(Age+n)</t>
  </si>
  <si>
    <t>CLA18606</t>
  </si>
  <si>
    <t>암(4대유사암제외)진단후특정치료비(진단후5년,연간1회한)(발생자용)(갱신형)</t>
  </si>
  <si>
    <t>"XA02593|CLA18606|" + 0 + "|"+(Jong +"0"+F6+"0")+"|"+If(S1=0,n,0)</t>
  </si>
  <si>
    <t>CLA18450</t>
  </si>
  <si>
    <t>U(0.75)*(q1+q2+q3)*(1-w/2)*q22*S(3)*k1</t>
  </si>
  <si>
    <t>Ax("CLA18605", Age+t, 5)</t>
  </si>
  <si>
    <t>"XA02593|CLA18450|" + S5 + "|"+(Jong +"0"+F6+"0")+"|"+(Age+n)</t>
  </si>
  <si>
    <t>CLA18473</t>
  </si>
  <si>
    <t>암(특정유사암포함)진단후종합병원특정치료지원금(연간1억원이상,진단후5년,연간1회한)(갱신용)</t>
  </si>
  <si>
    <t>U(0.75)*(q1+q2+q3)*q22*S(3)*k1</t>
  </si>
  <si>
    <t>Ax("CLA18617", Age+t, 5)</t>
  </si>
  <si>
    <t>"XA02593|CLA18473|" + 0 + "|"+(Jong +"0"+F6+"0")+"|"+If(S1=0,n,0)</t>
  </si>
  <si>
    <t>CLA18462</t>
  </si>
  <si>
    <t>암(특정유사암포함)진단후종합병원특정치료지원금(연간1억원이상,진단후5년,연간1회한)(갱신형)</t>
  </si>
  <si>
    <t>"XA02593|CLA18462|" + 0 + "|"+(Jong +"0"+F6+"0")+"|"+If(S1=0,n,0)</t>
  </si>
  <si>
    <t>CLA18605</t>
  </si>
  <si>
    <t>"XA02593|CLA18605|" + S5 + "|"+(Jong +"0"+F6+"0")+"|"+(Age+n)</t>
  </si>
  <si>
    <t>CLA18617</t>
  </si>
  <si>
    <t>암(특정유사암포함)진단후종합병원특정치료지원금(연간1억원이상,진단후5년,연간1회한)(발생자용)(갱신형)</t>
  </si>
  <si>
    <t>"XA02593|CLA18617|" + 0 + "|"+(Jong +"0"+F6+"0")+"|"+If(S1=0,n,0)</t>
  </si>
  <si>
    <t>CLA18441</t>
  </si>
  <si>
    <t>Ax("CLA18596", Age+t, 5)</t>
  </si>
  <si>
    <t>"XA02593|CLA18441|" + S5 + "|"+(Jong +"0"+F6+"0")+"|"+(Age+n)</t>
  </si>
  <si>
    <t>CLA18464</t>
  </si>
  <si>
    <t>암(특정유사암포함)진단후종합병원특정치료지원금(연간1천만원이상,진단후5년,연간1회한)(갱신용)</t>
  </si>
  <si>
    <t>Ax("CLA18608", Age+t, 5)</t>
  </si>
  <si>
    <t>"XA02593|CLA18464|" + 0 + "|"+(Jong +"0"+F6+"0")+"|"+If(S1=0,n,0)</t>
  </si>
  <si>
    <t>CLA18453</t>
  </si>
  <si>
    <t>암(특정유사암포함)진단후종합병원특정치료지원금(연간1천만원이상,진단후5년,연간1회한)(갱신형)</t>
  </si>
  <si>
    <t>"XA02593|CLA18453|" + 0 + "|"+(Jong +"0"+F6+"0")+"|"+If(S1=0,n,0)</t>
  </si>
  <si>
    <t>CLA18596</t>
  </si>
  <si>
    <t>"XA02593|CLA18596|" + S5 + "|"+(Jong +"0"+F6+"0")+"|"+(Age+n)</t>
  </si>
  <si>
    <t>CLA18608</t>
  </si>
  <si>
    <t>암(특정유사암포함)진단후종합병원특정치료지원금(연간1천만원이상,진단후5년,연간1회한)(발생자용)(갱신형)</t>
  </si>
  <si>
    <t>"XA02593|CLA18608|" + 0 + "|"+(Jong +"0"+F6+"0")+"|"+If(S1=0,n,0)</t>
  </si>
  <si>
    <t>CLA18442</t>
  </si>
  <si>
    <t>Ax("CLA18597", Age+t, 5)</t>
  </si>
  <si>
    <t>"XA02593|CLA18442|" + S5 + "|"+(Jong +"0"+F6+"0")+"|"+(Age+n)</t>
  </si>
  <si>
    <t>CLA18465</t>
  </si>
  <si>
    <t>암(특정유사암포함)진단후종합병원특정치료지원금(연간2천만원이상,진단후5년,연간1회한)(갱신용)</t>
  </si>
  <si>
    <t>Ax("CLA18609", Age+t, 5)</t>
  </si>
  <si>
    <t>"XA02593|CLA18465|" + 0 + "|"+(Jong +"0"+F6+"0")+"|"+If(S1=0,n,0)</t>
  </si>
  <si>
    <t>CLA18454</t>
  </si>
  <si>
    <t>암(특정유사암포함)진단후종합병원특정치료지원금(연간2천만원이상,진단후5년,연간1회한)(갱신형)</t>
  </si>
  <si>
    <t>"XA02593|CLA18454|" + 0 + "|"+(Jong +"0"+F6+"0")+"|"+If(S1=0,n,0)</t>
  </si>
  <si>
    <t>CLA18597</t>
  </si>
  <si>
    <t>"XA02593|CLA18597|" + S5 + "|"+(Jong +"0"+F6+"0")+"|"+(Age+n)</t>
  </si>
  <si>
    <t>CLA18609</t>
  </si>
  <si>
    <t>암(특정유사암포함)진단후종합병원특정치료지원금(연간2천만원이상,진단후5년,연간1회한)(발생자용)(갱신형)</t>
  </si>
  <si>
    <t>"XA02593|CLA18609|" + 0 + "|"+(Jong +"0"+F6+"0")+"|"+If(S1=0,n,0)</t>
  </si>
  <si>
    <t>CLA18443</t>
  </si>
  <si>
    <t>Ax("CLA18598", Age+t, 5)</t>
  </si>
  <si>
    <t>"XA02593|CLA18443|" + S5 + "|"+(Jong +"0"+F6+"0")+"|"+(Age+n)</t>
  </si>
  <si>
    <t>CLA18466</t>
  </si>
  <si>
    <t>암(특정유사암포함)진단후종합병원특정치료지원금(연간3천만원이상,진단후5년,연간1회한)(갱신용)</t>
  </si>
  <si>
    <t>Ax("CLA18610", Age+t, 5)</t>
  </si>
  <si>
    <t>"XA02593|CLA18466|" + 0 + "|"+(Jong +"0"+F6+"0")+"|"+If(S1=0,n,0)</t>
  </si>
  <si>
    <t>CLA18455</t>
  </si>
  <si>
    <t>암(특정유사암포함)진단후종합병원특정치료지원금(연간3천만원이상,진단후5년,연간1회한)(갱신형)</t>
  </si>
  <si>
    <t>"XA02593|CLA18455|" + 0 + "|"+(Jong +"0"+F6+"0")+"|"+If(S1=0,n,0)</t>
  </si>
  <si>
    <t>CLA18598</t>
  </si>
  <si>
    <t>"XA02593|CLA18598|" + S5 + "|"+(Jong +"0"+F6+"0")+"|"+(Age+n)</t>
  </si>
  <si>
    <t>CLA18610</t>
  </si>
  <si>
    <t>암(특정유사암포함)진단후종합병원특정치료지원금(연간3천만원이상,진단후5년,연간1회한)(발생자용)(갱신형)</t>
  </si>
  <si>
    <t>"XA02593|CLA18610|" + 0 + "|"+(Jong +"0"+F6+"0")+"|"+If(S1=0,n,0)</t>
  </si>
  <si>
    <t>CLA18444</t>
  </si>
  <si>
    <t>Ax("CLA18599", Age+t, 5)</t>
  </si>
  <si>
    <t>"XA02593|CLA18444|" + S5 + "|"+(Jong +"0"+F6+"0")+"|"+(Age+n)</t>
  </si>
  <si>
    <t>CLA18467</t>
  </si>
  <si>
    <t>암(특정유사암포함)진단후종합병원특정치료지원금(연간4천만원이상,진단후5년,연간1회한)(갱신용)</t>
  </si>
  <si>
    <t>Ax("CLA18611", Age+t, 5)</t>
  </si>
  <si>
    <t>"XA02593|CLA18467|" + 0 + "|"+(Jong +"0"+F6+"0")+"|"+If(S1=0,n,0)</t>
  </si>
  <si>
    <t>CLA18456</t>
  </si>
  <si>
    <t>암(특정유사암포함)진단후종합병원특정치료지원금(연간4천만원이상,진단후5년,연간1회한)(갱신형)</t>
  </si>
  <si>
    <t>"XA02593|CLA18456|" + 0 + "|"+(Jong +"0"+F6+"0")+"|"+If(S1=0,n,0)</t>
  </si>
  <si>
    <t>CLA18599</t>
  </si>
  <si>
    <t>"XA02593|CLA18599|" + S5 + "|"+(Jong +"0"+F6+"0")+"|"+(Age+n)</t>
  </si>
  <si>
    <t>CLA18611</t>
  </si>
  <si>
    <t>암(특정유사암포함)진단후종합병원특정치료지원금(연간4천만원이상,진단후5년,연간1회한)(발생자용)(갱신형)</t>
  </si>
  <si>
    <t>"XA02593|CLA18611|" + 0 + "|"+(Jong +"0"+F6+"0")+"|"+If(S1=0,n,0)</t>
  </si>
  <si>
    <t>CLA18445</t>
  </si>
  <si>
    <t>Ax("CLA18600", Age+t, 5)</t>
  </si>
  <si>
    <t>"XA02593|CLA18445|" + S5 + "|"+(Jong +"0"+F6+"0")+"|"+(Age+n)</t>
  </si>
  <si>
    <t>CLA18468</t>
  </si>
  <si>
    <t>암(특정유사암포함)진단후종합병원특정치료지원금(연간5천만원이상,진단후5년,연간1회한)(갱신용)</t>
  </si>
  <si>
    <t>Ax("CLA18612", Age+t, 5)</t>
  </si>
  <si>
    <t>"XA02593|CLA18468|" + 0 + "|"+(Jong +"0"+F6+"0")+"|"+If(S1=0,n,0)</t>
  </si>
  <si>
    <t>CLA18457</t>
  </si>
  <si>
    <t>암(특정유사암포함)진단후종합병원특정치료지원금(연간5천만원이상,진단후5년,연간1회한)(갱신형)</t>
  </si>
  <si>
    <t>"XA02593|CLA18457|" + 0 + "|"+(Jong +"0"+F6+"0")+"|"+If(S1=0,n,0)</t>
  </si>
  <si>
    <t>CLA18600</t>
  </si>
  <si>
    <t>"XA02593|CLA18600|" + S5 + "|"+(Jong +"0"+F6+"0")+"|"+(Age+n)</t>
  </si>
  <si>
    <t>CLA18612</t>
  </si>
  <si>
    <t>암(특정유사암포함)진단후종합병원특정치료지원금(연간5천만원이상,진단후5년,연간1회한)(발생자용)(갱신형)</t>
  </si>
  <si>
    <t>"XA02593|CLA18612|" + 0 + "|"+(Jong +"0"+F6+"0")+"|"+If(S1=0,n,0)</t>
  </si>
  <si>
    <t>CLA18446</t>
  </si>
  <si>
    <t>Ax("CLA18601", Age+t, 5)</t>
  </si>
  <si>
    <t>"XA02593|CLA18446|" + S5 + "|"+(Jong +"0"+F6+"0")+"|"+(Age+n)</t>
  </si>
  <si>
    <t>CLA18469</t>
  </si>
  <si>
    <t>암(특정유사암포함)진단후종합병원특정치료지원금(연간6천만원이상,진단후5년,연간1회한)(갱신용)</t>
  </si>
  <si>
    <t>Ax("CLA18613", Age+t, 5)</t>
  </si>
  <si>
    <t>"XA02593|CLA18469|" + 0 + "|"+(Jong +"0"+F6+"0")+"|"+If(S1=0,n,0)</t>
  </si>
  <si>
    <t>CLA18458</t>
  </si>
  <si>
    <t>암(특정유사암포함)진단후종합병원특정치료지원금(연간6천만원이상,진단후5년,연간1회한)(갱신형)</t>
  </si>
  <si>
    <t>"XA02593|CLA18458|" + 0 + "|"+(Jong +"0"+F6+"0")+"|"+If(S1=0,n,0)</t>
  </si>
  <si>
    <t>CLA18601</t>
  </si>
  <si>
    <t>"XA02593|CLA18601|" + S5 + "|"+(Jong +"0"+F6+"0")+"|"+(Age+n)</t>
  </si>
  <si>
    <t>CLA18613</t>
  </si>
  <si>
    <t>암(특정유사암포함)진단후종합병원특정치료지원금(연간6천만원이상,진단후5년,연간1회한)(발생자용)(갱신형)</t>
  </si>
  <si>
    <t>"XA02593|CLA18613|" + 0 + "|"+(Jong +"0"+F6+"0")+"|"+If(S1=0,n,0)</t>
  </si>
  <si>
    <t>CLA18447</t>
  </si>
  <si>
    <t>Ax("CLA18602", Age+t, 5)</t>
  </si>
  <si>
    <t>"XA02593|CLA18447|" + S5 + "|"+(Jong +"0"+F6+"0")+"|"+(Age+n)</t>
  </si>
  <si>
    <t>CLA18470</t>
  </si>
  <si>
    <t>암(특정유사암포함)진단후종합병원특정치료지원금(연간7천만원이상,진단후5년,연간1회한)(갱신용)</t>
  </si>
  <si>
    <t>Ax("CLA18614", Age+t, 5)</t>
  </si>
  <si>
    <t>"XA02593|CLA18470|" + 0 + "|"+(Jong +"0"+F6+"0")+"|"+If(S1=0,n,0)</t>
  </si>
  <si>
    <t>CLA18459</t>
  </si>
  <si>
    <t>암(특정유사암포함)진단후종합병원특정치료지원금(연간7천만원이상,진단후5년,연간1회한)(갱신형)</t>
  </si>
  <si>
    <t>"XA02593|CLA18459|" + 0 + "|"+(Jong +"0"+F6+"0")+"|"+If(S1=0,n,0)</t>
  </si>
  <si>
    <t>CLA18602</t>
  </si>
  <si>
    <t>"XA02593|CLA18602|" + S5 + "|"+(Jong +"0"+F6+"0")+"|"+(Age+n)</t>
  </si>
  <si>
    <t>CLA18614</t>
  </si>
  <si>
    <t>암(특정유사암포함)진단후종합병원특정치료지원금(연간7천만원이상,진단후5년,연간1회한)(발생자용)(갱신형)</t>
  </si>
  <si>
    <t>"XA02593|CLA18614|" + 0 + "|"+(Jong +"0"+F6+"0")+"|"+If(S1=0,n,0)</t>
  </si>
  <si>
    <t>CLA18448</t>
  </si>
  <si>
    <t>Ax("CLA18603", Age+t, 5)</t>
  </si>
  <si>
    <t>"XA02593|CLA18448|" + S5 + "|"+(Jong +"0"+F6+"0")+"|"+(Age+n)</t>
  </si>
  <si>
    <t>CLA18471</t>
  </si>
  <si>
    <t>암(특정유사암포함)진단후종합병원특정치료지원금(연간8천만원이상,진단후5년,연간1회한)(갱신용)</t>
  </si>
  <si>
    <t>Ax("CLA18615", Age+t, 5)</t>
  </si>
  <si>
    <t>"XA02593|CLA18471|" + 0 + "|"+(Jong +"0"+F6+"0")+"|"+If(S1=0,n,0)</t>
  </si>
  <si>
    <t>CLA18460</t>
  </si>
  <si>
    <t>암(특정유사암포함)진단후종합병원특정치료지원금(연간8천만원이상,진단후5년,연간1회한)(갱신형)</t>
  </si>
  <si>
    <t>"XA02593|CLA18460|" + 0 + "|"+(Jong +"0"+F6+"0")+"|"+If(S1=0,n,0)</t>
  </si>
  <si>
    <t>CLA18603</t>
  </si>
  <si>
    <t>"XA02593|CLA18603|" + S5 + "|"+(Jong +"0"+F6+"0")+"|"+(Age+n)</t>
  </si>
  <si>
    <t>CLA18615</t>
  </si>
  <si>
    <t>암(특정유사암포함)진단후종합병원특정치료지원금(연간8천만원이상,진단후5년,연간1회한)(발생자용)(갱신형)</t>
  </si>
  <si>
    <t>"XA02593|CLA18615|" + 0 + "|"+(Jong +"0"+F6+"0")+"|"+If(S1=0,n,0)</t>
  </si>
  <si>
    <t>CLA18449</t>
  </si>
  <si>
    <t>Ax("CLA18604", Age+t, 5)</t>
  </si>
  <si>
    <t>"XA02593|CLA18449|" + S5 + "|"+(Jong +"0"+F6+"0")+"|"+(Age+n)</t>
  </si>
  <si>
    <t>CLA18472</t>
  </si>
  <si>
    <t>암(특정유사암포함)진단후종합병원특정치료지원금(연간9천만원이상,진단후5년,연간1회한)(갱신용)</t>
  </si>
  <si>
    <t>Ax("CLA18616", Age+t, 5)</t>
  </si>
  <si>
    <t>"XA02593|CLA18472|" + 0 + "|"+(Jong +"0"+F6+"0")+"|"+If(S1=0,n,0)</t>
  </si>
  <si>
    <t>CLA18461</t>
  </si>
  <si>
    <t>암(특정유사암포함)진단후종합병원특정치료지원금(연간9천만원이상,진단후5년,연간1회한)(갱신형)</t>
  </si>
  <si>
    <t>"XA02593|CLA18461|" + 0 + "|"+(Jong +"0"+F6+"0")+"|"+If(S1=0,n,0)</t>
  </si>
  <si>
    <t>CLA18604</t>
  </si>
  <si>
    <t>"XA02593|CLA18604|" + S5 + "|"+(Jong +"0"+F6+"0")+"|"+(Age+n)</t>
  </si>
  <si>
    <t>CLA18616</t>
  </si>
  <si>
    <t>암(특정유사암포함)진단후종합병원특정치료지원금(연간9천만원이상,진단후5년,연간1회한)(발생자용)(갱신형)</t>
  </si>
  <si>
    <t>"XA02593|CLA18616|" + 0 + "|"+(Jong +"0"+F6+"0")+"|"+If(S1=0,n,0)</t>
  </si>
  <si>
    <t>CLA18379</t>
  </si>
  <si>
    <t>상급종합병원1인실질병입원율(1일이상 10일한도)|100000000|1|202404</t>
  </si>
  <si>
    <t>"XA02593|CLA18379|" + S5 + "|"+(Jong +"0"+F6+"0")+"|"+(Age+n)</t>
  </si>
  <si>
    <t>CLA18391</t>
  </si>
  <si>
    <t>질병상급종합병원1인실입원비(1일이상10일한도)(갱신형)</t>
  </si>
  <si>
    <t>"XA02593|CLA18391|" + 0 + "|"+(Jong +"0"+F6+"0")+"|"+If(S1=0,n,0)</t>
  </si>
  <si>
    <t>CLA18380</t>
  </si>
  <si>
    <t>상급종합병원1인실질병입원율(1일이상 30일한도)|100000000|1|202404</t>
  </si>
  <si>
    <t>"XA02593|CLA18380|" + S5 + "|"+(Jong +"0"+F6+"0")+"|"+(Age+n)</t>
  </si>
  <si>
    <t>CLA18392</t>
  </si>
  <si>
    <t>질병상급종합병원1인실입원비(1일이상30일한도)(갱신형)</t>
  </si>
  <si>
    <t>"XA02593|CLA18392|" + 0 + "|"+(Jong +"0"+F6+"0")+"|"+If(S1=0,n,0)</t>
  </si>
  <si>
    <t>CLA18382</t>
  </si>
  <si>
    <t>종합병원1인실질병입원율(1일이상30일한도)|100000000|1|202404</t>
  </si>
  <si>
    <t>"XA02593|CLA18382|" + S5 + "|"+(Jong +"0"+F6+"0")+"|"+(Age+n)</t>
  </si>
  <si>
    <t>CLA18394</t>
  </si>
  <si>
    <t>질병종합병원1인실입원비(1일이상30일한도)(갱신형)</t>
  </si>
  <si>
    <t>"XA02593|CLA18394|" + 0 + "|"+(Jong +"0"+F6+"0")+"|"+If(S1=0,n,0)</t>
  </si>
  <si>
    <t>CLA18826</t>
  </si>
  <si>
    <t>급여 특정뇌및심장질환 특정재활치료 발생률(1일1회,연간90회한)|100000000|1|202401</t>
  </si>
  <si>
    <t>"XA02593|CLA18826|" + S5 + "|"+(Jong +"0"+F6+"0")+"|"+(Age+n)</t>
  </si>
  <si>
    <t>CLA18440</t>
  </si>
  <si>
    <t>If(Jong=1 or Jong=3, k2, (1-(q2+q3)*q22*S(3)) ) * (1-w)</t>
  </si>
  <si>
    <t>(1-w)*(1-(q2+q3)*q22*S(3))</t>
  </si>
  <si>
    <t>(q2+q3)*(1-w/2)*q22*S(3)*k1</t>
  </si>
  <si>
    <t>If(t&lt;m,0, 0.5*(W(t)+W(t+1))/2*(1-(q2+q3)*q22*S(3)/2)*w)</t>
  </si>
  <si>
    <t>If(t&lt;m,0, 0.5*(V(t)+V(t+1))/2*(1-(q2+q3)*q22*S(3)/2)*w)</t>
  </si>
  <si>
    <t>Ax("CLA18595", Age+t, 5)</t>
  </si>
  <si>
    <t>(1-D(0.75)*q1*S(3)*q22*r1-(q2+q3)*S(3)*q22*r1) * ( (1-q11*q21*r1) * (1-q12*S(3)*q21*r1) * (1-q13*S(3)*q23*r1) * (1-q14*S(3)*q24*r1) * (1-q15*S(3)*q25*r1) * (1-q16*S(3)*q25*r1) * (1-q17*S(3)*q25*r1) )</t>
  </si>
  <si>
    <t>"XA02593|CLA18440|" + S5 + "|"+(Jong +"0"+F6+"0")+"|"+(Age+n)</t>
  </si>
  <si>
    <t>CLA18452</t>
  </si>
  <si>
    <t>특정유사암진단후특정치료비(진단후5년,연간1회한)(갱신형)</t>
  </si>
  <si>
    <t>Ax("CLA18607", Age+t, 5)</t>
  </si>
  <si>
    <t>"XA02593|CLA18452|" + 0 + "|"+(Jong +"0"+F6+"0")+"|"+If(S1=0,n,0)</t>
  </si>
  <si>
    <t>CLA18595</t>
  </si>
  <si>
    <t>q1/(FindQ(12,Age)+FindQ(13,Age))*FindQ(21,Age)/FindQ(22,Age)</t>
  </si>
  <si>
    <t>갑상선암 및 기타피부암 진단 후 암직접치료비율(진단후 5년, 연간1회한)|100010000|2|202401</t>
  </si>
  <si>
    <t>"XA02593|CLA18595|" + S5 + "|"+(Jong +"0"+F6+"0")+"|"+(Age+n)</t>
  </si>
  <si>
    <t>CLA18607</t>
  </si>
  <si>
    <t>특정유사암진단후특정치료비(진단후5년,연간1회한)(발생자용)(갱신형)</t>
  </si>
  <si>
    <t>"XA02593|CLA18607|" + 0 + "|"+(Jong +"0"+F6+"0")+"|"+If(S1=0,n,0)</t>
  </si>
  <si>
    <t>CLA18829</t>
  </si>
  <si>
    <t>독감(인플루엔자)항바이러스제치료비(7일면책,연간1회한)(갱신형)</t>
  </si>
  <si>
    <t>D(353.0/360.0)*q1*q26</t>
  </si>
  <si>
    <t>독감(인플루엔자)항바이러스제치료발생률|100000000|1|202401</t>
  </si>
  <si>
    <t>"XA02593|CLA18829|" + 0 + "|"+(Jong +"0"+F6+"0")+"|"+If(S1=0,n,0)</t>
  </si>
  <si>
    <t>CLA18832</t>
  </si>
  <si>
    <t>독감(인플루엔자)항바이러스제치료비(7일면책,연간1회한)(갱신용)</t>
  </si>
  <si>
    <t>"XA02593|CLA18832|" + 0 + "|"+(Jong +"0"+F6+"0")+"|"+If(S1=0,n,0)</t>
  </si>
  <si>
    <t>CLA08369</t>
  </si>
  <si>
    <t>가족일상생활중배상책임Ⅲ(대물20만원(누수50만원)공제)(갱신형)</t>
  </si>
  <si>
    <t>가족일상생활중배상책임Ⅲ(대물20만원(누수50만원)공제)|000000000|0|202401</t>
  </si>
  <si>
    <t>"XA02593|CLA08369|" + 0 + "|"+(Jong +"0"+F6+"0")+"|"+If(S1=0,n,0)</t>
  </si>
  <si>
    <t>CLA07620</t>
  </si>
  <si>
    <t>(독립특별약관)간병인지원상해입원비(1일이상180일한도)(건강고지Ⅱ,3년갱신형)</t>
  </si>
  <si>
    <t>"XA02593|CLA07620|" + 0 + "|"+(Jong +"0"+F6+"0")+"|"+If(S1=0,n,0)</t>
  </si>
  <si>
    <t>CLA07621</t>
  </si>
  <si>
    <t>(독립특별약관)간병인지원상해입원비(1일이상180일한도)(건강고지Ⅱ,5년갱신형)</t>
  </si>
  <si>
    <t>"XA02593|CLA07621|" + 0 + "|"+(Jong +"0"+F6+"0")+"|"+If(S1=0,n,0)</t>
  </si>
  <si>
    <t>CLA07622</t>
  </si>
  <si>
    <t>(독립특별약관)간병인지원상해입원비(1일이상180일한도)(건강고지Ⅱ,10년갱신형)</t>
  </si>
  <si>
    <t>"XA02593|CLA07622|" + 0 + "|"+(Jong +"0"+F6+"0")+"|"+If(S1=0,n,0)</t>
  </si>
  <si>
    <t>CLA07608</t>
  </si>
  <si>
    <t>(독립특별약관)상해입원비(1일이상180일한도)(전환용)(건강고지Ⅱ,갱신형)</t>
  </si>
  <si>
    <t>"XA02593|CLA07608|" + 0 + "|"+(Jong +"0"+F6+"0")+"|"+If(S1=0,n,0)</t>
  </si>
  <si>
    <t>CLA07623</t>
  </si>
  <si>
    <t>(독립특별약관)간병인지원질병입원비(1일이상180일한도)(건강고지Ⅱ,3년갱신형)</t>
  </si>
  <si>
    <t>"XA02593|CLA07623|" + 0 + "|"+(Jong +"0"+F6+"0")+"|"+If(S1=0,n,0)</t>
  </si>
  <si>
    <t>CLA07624</t>
  </si>
  <si>
    <t>(독립특별약관)간병인지원질병입원비(1일이상180일한도)(건강고지Ⅱ,5년갱신형)</t>
  </si>
  <si>
    <t>"XA02593|CLA07624|" + 0 + "|"+(Jong +"0"+F6+"0")+"|"+If(S1=0,n,0)</t>
  </si>
  <si>
    <t>CLA07625</t>
  </si>
  <si>
    <t>(독립특별약관)간병인지원질병입원비(1일이상180일한도)(건강고지Ⅱ,10년갱신형)</t>
  </si>
  <si>
    <t>"XA02593|CLA07625|" + 0 + "|"+(Jong +"0"+F6+"0")+"|"+If(S1=0,n,0)</t>
  </si>
  <si>
    <t>CLA07612</t>
  </si>
  <si>
    <t>(독립특별약관)질병입원비(1일이상180일한도)(전환용)(건강고지Ⅱ,갱신형)</t>
  </si>
  <si>
    <t>"XA02593|CLA07612|" + 0 + "|"+(Jong +"0"+F6+"0")+"|"+If(S1=0,n,0)</t>
  </si>
  <si>
    <t>CLA07606</t>
  </si>
  <si>
    <t>(독립특별약관)암(갑상선암및전립선암제외)다빈치로봇수술비(1회한)(건강고지Ⅱ,갱신형)</t>
  </si>
  <si>
    <t>"XA02593|CLA07606|" + 0 + "|"+(Jong +"0"+F6+"0")+"|"+If(S1=0,n,0)</t>
  </si>
  <si>
    <t>CLA07607</t>
  </si>
  <si>
    <t>(독립특별약관)암(갑상선암및전립선암제외)다빈치로봇수술비(1회한)(건강고지Ⅱ,갱신용)</t>
  </si>
  <si>
    <t>"XA02593|CLA07607|" + 0 + "|"+(Jong +"0"+F6+"0")+"|"+If(S1=0,n,0)</t>
  </si>
  <si>
    <t>CLA07924</t>
  </si>
  <si>
    <t>(독립특별약관)갑상선암및전립선암다빈치로봇수술비(1회한)(건강고지Ⅱ,갱신형)</t>
  </si>
  <si>
    <t>"XA02593|CLA07924|" + 0 + "|"+(Jong +"0"+F6+"0")+"|"+If(S1=0,n,0)</t>
  </si>
  <si>
    <t>CLA07929</t>
  </si>
  <si>
    <t>(독립특별약관)갑상선암및전립선암다빈치로봇수술비(1회한)(건강고지Ⅱ,갱신용)</t>
  </si>
  <si>
    <t>"XA02593|CLA07929|" + 0 + "|"+(Jong +"0"+F6+"0")+"|"+If(S1=0,n,0)</t>
  </si>
  <si>
    <t>CLA07626</t>
  </si>
  <si>
    <t>(독립특별약관)자궁및난소특정질환다빈치로봇수술비(1회한)(건강고지Ⅱ,갱신형)</t>
  </si>
  <si>
    <t>"XA02593|CLA07626|" + 0 + "|"+(Jong +"0"+F6+"0")+"|"+If(S1=0,n,0)</t>
  </si>
  <si>
    <t>CLA07627</t>
  </si>
  <si>
    <t>(독립특별약관)자궁및난소특정질환다빈치로봇수술비(1회한)(건강고지Ⅱ,갱신용)</t>
  </si>
  <si>
    <t>"XA02593|CLA07627|" + 0 + "|"+(Jong +"0"+F6+"0")+"|"+If(S1=0,n,0)</t>
  </si>
  <si>
    <t>LA02768</t>
  </si>
  <si>
    <t>일반상해사망률|110000000|1|202504</t>
  </si>
  <si>
    <t>뇌졸중발생률|100000000|1|202504</t>
  </si>
  <si>
    <t>급성심근경색증발생률|100000000|1|202504</t>
  </si>
  <si>
    <t>말기간경화발생률|100000000|1|202504</t>
  </si>
  <si>
    <t>말기폐질환발생률|100000000|1|202504</t>
  </si>
  <si>
    <t>말기신부전증발생률|100000000|1|202504</t>
  </si>
  <si>
    <t>기타피부암및갑상선암이외의암발생률|100000000|1|202504</t>
  </si>
  <si>
    <t>해지율_건강|000000100|2|202504</t>
  </si>
  <si>
    <t>"LA02768|CLA12642|" + S5 + "|"+(Jong +"0"+F6+"0")+"|"+(Age+n)</t>
  </si>
  <si>
    <t>"LA02768|CLA13024|" + S5 + "|"+(Jong +"0"+F6+"0")+"|"+(Age+n)</t>
  </si>
  <si>
    <t>"LA02768|CLA15749|" + S5 + "|"+(Jong +"0"+F6+"0")+"|"+n</t>
  </si>
  <si>
    <t>교통상해사망률|101000000|1|202504</t>
  </si>
  <si>
    <t>"LA02768|CLA15865|" + S5 + "|"+(Jong +"0"+F6+"0")+"|"+(Age+n)</t>
  </si>
  <si>
    <t>"LA02768|CLA15866|" + S5 + "|"+(Jong +"0"+F6+"0")+"|"+n</t>
  </si>
  <si>
    <t>일반상해사망률(연령률)|110000000|1|202504</t>
  </si>
  <si>
    <t>"LA02768|CLA15895|" + S5 + "|"+(Jong +"0"+F6+"0")+"|"+(Age+n)</t>
  </si>
  <si>
    <t>"LA02768|CLA00551|" + S5 + "|"+(Jong +"0"+F6+"0")+"|"+(Age+n)</t>
  </si>
  <si>
    <t>"LA02768|CLA12801|" + S5 + "|"+(Jong +"0"+F6+"0")+"|"+(Age+n)</t>
  </si>
  <si>
    <t>"LA02768|CLA12685|" + S5 + "|"+(Jong +"0"+F6+"0")+"|"+(Age+n)</t>
  </si>
  <si>
    <t>"LA02768|CLA04176|" + S5 + "|"+(Jong +"0"+F6+"0")+"|"+(Age+n)</t>
  </si>
  <si>
    <t>기타의 경증 상해 발생률(연간1회한)|100000000|1|202504</t>
  </si>
  <si>
    <t>머리 및 목의 경증 상해 발생률(연간1회한)|100000000|1|202504</t>
  </si>
  <si>
    <t>발목 및 발의 경증 상해 발생률(연간1회한)|100000000|1|202504</t>
  </si>
  <si>
    <t>복부 및 등의 경증 상해 발생률(연간1회한)|100000000|1|202504</t>
  </si>
  <si>
    <t>손목 및 손의 경증 상해 발생률(연간1회한)|100000000|1|202504</t>
  </si>
  <si>
    <t>어깨 및 팔의 경증 상해 발생률(연간1회한)|100000000|1|202504</t>
  </si>
  <si>
    <t>엉덩이 및 다리의 경증 상해 발생률(연간1회한)|100000000|1|202504</t>
  </si>
  <si>
    <t>"LA02768|CLA17550|" + S5 + "|"+(Jong +"0"+F6+"0")+"|"+(Age+n)</t>
  </si>
  <si>
    <t>기타의 중등증 상해 발생률(연간1회한)|100000000|1|202504</t>
  </si>
  <si>
    <t>머리 및 목의 중등증 상해 발생률(연간1회한)|100000000|1|202504</t>
  </si>
  <si>
    <t>발목 및 발의 중등증 상해 발생률(연간1회한)|100000000|1|202504</t>
  </si>
  <si>
    <t>복부 및 등의 중등증 상해 발생률(연간1회한)|100000000|1|202504</t>
  </si>
  <si>
    <t>손목 및 손의 중등증 상해 발생률(연간1회한)|100000000|1|202504</t>
  </si>
  <si>
    <t>어깨 및 팔의 중등증 상해 발생률(연간1회한)|100000000|1|202504</t>
  </si>
  <si>
    <t>엉덩이 및 다리의 중등증 상해 발생률(연간1회한)|100000000|1|202504</t>
  </si>
  <si>
    <t>"LA02768|CLA17551|" + S5 + "|"+(Jong +"0"+F6+"0")+"|"+(Age+n)</t>
  </si>
  <si>
    <t>기타의 중증 상해 발생률(연간1회한)|100000000|1|202504</t>
  </si>
  <si>
    <t>머리 및 목의 중증 상해 발생률(연간1회한)|100000000|1|202504</t>
  </si>
  <si>
    <t>발목 및 발의 중증 상해 발생률(연간1회한)|100000000|1|202504</t>
  </si>
  <si>
    <t>복부 및 등의 중증 상해 발생률(연간1회한)|100000000|1|202504</t>
  </si>
  <si>
    <t>손목 및 손의 중증 상해 발생률(연간1회한)|100000000|1|202504</t>
  </si>
  <si>
    <t>어깨 및 팔의 중증 상해 발생률(연간1회한)|100000000|1|202504</t>
  </si>
  <si>
    <t>엉덩이 및 다리의 중증 상해 발생률(연간1회한)|100000000|1|202504</t>
  </si>
  <si>
    <t>"LA02768|CLA17552|" + S5 + "|"+(Jong +"0"+F6+"0")+"|"+(Age+n)</t>
  </si>
  <si>
    <t>골절발생률(치아파절제외)|100000000|1|202504</t>
  </si>
  <si>
    <t>"LA02768|CLA12788|" + S5 + "|"+(Jong +"0"+F6+"0")+"|"+(Age+n)</t>
  </si>
  <si>
    <t>골절발생률(치아파절포함)|100000000|1|202504</t>
  </si>
  <si>
    <t>"LA02768|CLA12816|" + S5 + "|"+(Jong +"0"+F6+"0")+"|"+(Age+n)</t>
  </si>
  <si>
    <t>5대골절발생률|100000000|1|202504</t>
  </si>
  <si>
    <t>"LA02768|CLA12803|" + S5 + "|"+(Jong +"0"+F6+"0")+"|"+(Age+n)</t>
  </si>
  <si>
    <t>화상발생률|100000000|1|202504</t>
  </si>
  <si>
    <t>"LA02768|CLA12819|" + S5 + "|"+(Jong +"0"+F6+"0")+"|"+(Age+n)</t>
  </si>
  <si>
    <t>화상발생률(표재성포함2도이상,연간1회한)|100000000|1|202504</t>
  </si>
  <si>
    <t>"LA02768|CLA12817|" + S5 + "|"+(Jong +"0"+F6+"0")+"|"+(Age+n)</t>
  </si>
  <si>
    <t>급여 특정화상처치 발생률(1일1회, 연간5회한)|100000000|1|202504</t>
  </si>
  <si>
    <t>"LA02768|CLA15880|" + S5 + "|"+(Jong +"0"+F6+"0")+"|"+(Age+n)</t>
  </si>
  <si>
    <t>중증화상및부식발생률|100000000|1|202504</t>
  </si>
  <si>
    <t>"LA02768|CLA15750|" + S5 + "|"+(Jong +"0"+F6+"0")+"|"+(Age+n)</t>
  </si>
  <si>
    <t>특정상해성뇌손상 발생률|100000000|1|202504</t>
  </si>
  <si>
    <t>"LA02768|CLA15821|" + S5 + "|"+(Jong +"0"+F6+"0")+"|"+(Age+n)</t>
  </si>
  <si>
    <t>특정상해성뇌출혈 발생률|100000000|1|202504</t>
  </si>
  <si>
    <t>"LA02768|CLA12839|" + S5 + "|"+(Jong +"0"+F6+"0")+"|"+(Age+n)</t>
  </si>
  <si>
    <t>특정상해성장기손상 발생률|100000000|1|202504</t>
  </si>
  <si>
    <t>"LA02768|CLA15822|" + S5 + "|"+(Jong +"0"+F6+"0")+"|"+(Age+n)</t>
  </si>
  <si>
    <t>상해수술률|100000000|1|202504</t>
  </si>
  <si>
    <t>"LA02768|CLA12765|" + S5 + "|"+(Jong +"0"+F6+"0")+"|"+(Age+n)</t>
  </si>
  <si>
    <t>CLA04543</t>
  </si>
  <si>
    <t>상해수술률(1-5종)(연령률)(1종)|100000000|1|202504</t>
  </si>
  <si>
    <t>"LA02768|CLA12776|" + S5 + "|"+(Jong +"0"+F6+"0")+"|"+(Age+n)</t>
  </si>
  <si>
    <t>상해수술률(1-5종)(연령률)(2종)|100000000|1|202504</t>
  </si>
  <si>
    <t>"LA02768|CLA12778|" + S5 + "|"+(Jong +"0"+F6+"0")+"|"+(Age+n)</t>
  </si>
  <si>
    <t>상해수술률(1-5종)(연령률)(3종)|100000000|1|202504</t>
  </si>
  <si>
    <t>"LA02768|CLA12780|" + S5 + "|"+(Jong +"0"+F6+"0")+"|"+(Age+n)</t>
  </si>
  <si>
    <t>상해수술률(1-5종)(연령률)(4종)|100000000|1|202504</t>
  </si>
  <si>
    <t>"LA02768|CLA12782|" + S5 + "|"+(Jong +"0"+F6+"0")+"|"+(Age+n)</t>
  </si>
  <si>
    <t>상해수술률(1-5종)(연령률)(5종)|100000000|1|202504</t>
  </si>
  <si>
    <t>"LA02768|CLA12784|" + S5 + "|"+(Jong +"0"+F6+"0")+"|"+(Age+n)</t>
  </si>
  <si>
    <t>CLA04552</t>
  </si>
  <si>
    <t>"LA02768|CLA15947|" + S5 + "|"+(Jong +"0"+F6+"0")+"|"+(Age+n)</t>
  </si>
  <si>
    <t>"LA02768|CLA15949|" + S5 + "|"+(Jong +"0"+F6+"0")+"|"+(Age+n)</t>
  </si>
  <si>
    <t>"LA02768|CLA15951|" + S5 + "|"+(Jong +"0"+F6+"0")+"|"+(Age+n)</t>
  </si>
  <si>
    <t>"LA02768|CLA15953|" + S5 + "|"+(Jong +"0"+F6+"0")+"|"+(Age+n)</t>
  </si>
  <si>
    <t>"LA02768|CLA15955|" + S5 + "|"+(Jong +"0"+F6+"0")+"|"+(Age+n)</t>
  </si>
  <si>
    <t>CLA04560</t>
  </si>
  <si>
    <t>"LA02768|CLA12888|" + S5 + "|"+(Jong +"0"+F6+"0")+"|"+(Age+n)</t>
  </si>
  <si>
    <t>"LA02768|CLA12889|" + S5 + "|"+(Jong +"0"+F6+"0")+"|"+(Age+n)</t>
  </si>
  <si>
    <t>"LA02768|CLA12890|" + S5 + "|"+(Jong +"0"+F6+"0")+"|"+(Age+n)</t>
  </si>
  <si>
    <t>"LA02768|CLA12891|" + S5 + "|"+(Jong +"0"+F6+"0")+"|"+(Age+n)</t>
  </si>
  <si>
    <t>"LA02768|CLA12892|" + S5 + "|"+(Jong +"0"+F6+"0")+"|"+(Age+n)</t>
  </si>
  <si>
    <t>"LA02768|CLA12893|" + S5 + "|"+(Jong +"0"+F6+"0")+"|"+(Age+n)</t>
  </si>
  <si>
    <t>"LA02768|CLA12894|" + S5 + "|"+(Jong +"0"+F6+"0")+"|"+(Age+n)</t>
  </si>
  <si>
    <t>"LA02768|CLA12895|" + S5 + "|"+(Jong +"0"+F6+"0")+"|"+(Age+n)</t>
  </si>
  <si>
    <t>상해흉터복원수술률Ⅱ(1,000만원한도)(10만원단위)|000000000|0|202003</t>
  </si>
  <si>
    <t>"LA02768|CLA15754|" + S5 + "|"+(Jong +"0"+F6+"0")+"|"+(Age+n)</t>
  </si>
  <si>
    <t>일반상해입원율(1일이상180일한도,연령률)|110000000|1|202504</t>
  </si>
  <si>
    <t>"LA02768|CLA12841|" + S5 + "|"+(Jong +"0"+F6+"0")+"|"+(Age+n)</t>
  </si>
  <si>
    <t>일반상해중환자실입원율(1일이상180일한도)|110000000|0|202504</t>
  </si>
  <si>
    <t>"LA02768|CLA12877|" + S5 + "|"+(Jong +"0"+F6+"0")+"|"+(Age+n)</t>
  </si>
  <si>
    <t>일반상해중환자실입원율(1일이상 30일한도)|110000000|0|202504</t>
  </si>
  <si>
    <t>"LA02768|CLA12811|" + S5 + "|"+(Jong +"0"+F6+"0")+"|"+(Age+n)</t>
  </si>
  <si>
    <t>일반상해중환자실입원율(1일이상 10일한도)|110000000|0|202504</t>
  </si>
  <si>
    <t>"LA02768|CLA12820|" + S5 + "|"+(Jong +"0"+F6+"0")+"|"+(Age+n)</t>
  </si>
  <si>
    <t>종합병원1인실상해입원율(1일이상 30일한도)|110000000|1|202504</t>
  </si>
  <si>
    <t>"LA02768|CLA18386|" + S5 + "|"+(Jong +"0"+F6+"0")+"|"+(Age+n)</t>
  </si>
  <si>
    <t>상급종합병원1인실상해입원율(1일이상 30일한도)|110000000|1|202504</t>
  </si>
  <si>
    <t>"LA02768|CLA18384|" + S5 + "|"+(Jong +"0"+F6+"0")+"|"+(Age+n)</t>
  </si>
  <si>
    <t>껍데기</t>
  </si>
  <si>
    <t>일반상해입원간병인지원발생률Ⅱ(요양병원제외,7만원이상,1일이상180일한도)(간병인)|110000000|1|202504</t>
  </si>
  <si>
    <t>일반상해입원간병인지원발생률Ⅱ(요양병원제외,7만원미만,1일이상180일한도)(간병인)|110000000|1|202504</t>
  </si>
  <si>
    <t>"LA02768|CLA15498|" + S5 + "|"+(Jong +"0"+F6+"0")+"|"+(Age+n)</t>
  </si>
  <si>
    <t>일반상해입원간병인지원발생률Ⅱ(요양병원,1일이상180일한도)(간병인)|110000000|1|202504</t>
  </si>
  <si>
    <t>"LA02768|CLA15499|" + S5 + "|"+(Jong +"0"+F6+"0")+"|"+(Age+n)</t>
  </si>
  <si>
    <t>일반상해입원 간병인지원발생률(1일이상 180일한도)(간호간병)|110000000|1|202504</t>
  </si>
  <si>
    <t>"LA02768|CLA15500|" + S5 + "|"+(Jong +"0"+F6+"0")+"|"+(Age+n)</t>
  </si>
  <si>
    <t>질병사망률|100000000|1|202504</t>
  </si>
  <si>
    <t>"LA02768|CLA12887|" + S5 + "|"+(Jong +"0"+F6+"0")+"|"+(Age+n)</t>
  </si>
  <si>
    <t>If(Jong=1 or Jong=3, k2, 1 )*(1-q1*q21*S(3))*(1-(1-q1*S(3)*q21/2)/(1-q1*S(3)*q21)*w)</t>
  </si>
  <si>
    <t>(1-q1*q21*S(3))*(1-(1-q1*S(3)*q21/2)/(1-q1*S(3)*q21)*w)</t>
  </si>
  <si>
    <t>(1-D(0.75)*q18*S(3)*q22*(1-q1*S(3)*q21/2)/(1-q1*S(3)*q21)) * ( (1-q11*q21*(1-q1*S(3)*q21/2)/(1-q1*S(3)*q21)) * (1-q12*S(3)*q21*(1-q1*S(3)*q21/2)/(1-q1*S(3)*q21)) * (1-q13*S(3)*q23*(1-q1*S(3)*q21/2)/(1-q1*S(3)*q21)) * (1-q14*S(3)*q24*(1-q1*S(3)*q21/2)/(1-q1*S(3)*q21)) * (1-q15*S(3)*q25*(1-q1*S(3)*q21/2)/(1-q1*S(3)*q21)) * (1-q16*S(3)*q25*(1-q1*S(3)*q21/2)/(1-q1*S(3)*q21)) * (1-q17*S(3)*q25*(1-q1*S(3)*q21/2)/(1-q1*S(3)*q21)) )</t>
  </si>
  <si>
    <t>"LA02768|CLA15757|" + S5 + "|"+(Jong +"0"+F6+"0")+"|"+n</t>
  </si>
  <si>
    <t>"LA02768|CLA15758|" + 0 + "|"+(Jong +"0"+F6+"0")+"|"+If(S1=0,n,0)</t>
  </si>
  <si>
    <t>"LA02768|CLA15896|" + S5 + "|"+(Jong +"0"+F6+"0")+"|"+(Age+n)</t>
  </si>
  <si>
    <t>"LA02768|CLA12821|" + S5 + "|"+(Jong +"0"+F6+"0")+"|"+(Age+n)</t>
  </si>
  <si>
    <t>"LA02768|CLA12822|" + 0 + "|"+(Jong +"0"+F6+"0")+"|"+If(S1=0,n,0)</t>
  </si>
  <si>
    <t>질병후유장해발생률(80%이상)|100000000|1|202504</t>
  </si>
  <si>
    <t>"LA02768|CLA12883|" + S5 + "|"+(Jong +"0"+F6+"0")+"|"+(Age+n)</t>
  </si>
  <si>
    <t>"LA02768|CLA12733|" + S5 + "|"+(Jong +"0"+F6+"0")+"|"+(Age+n)</t>
  </si>
  <si>
    <t>"LA02768|CLA12734|" + 0 + "|"+(Jong +"0"+F6+"0")+"|"+If(S1=0,n,0)</t>
  </si>
  <si>
    <t>CLA04515</t>
  </si>
  <si>
    <t>기타피부암발생률|100000000|1|202504</t>
  </si>
  <si>
    <t>갑상선암발생률|100000000|1|202504</t>
  </si>
  <si>
    <t>제자리암(상피내암)발생률|100000000|1|202504</t>
  </si>
  <si>
    <t>경계성종양발생률|100000000|1|202504</t>
  </si>
  <si>
    <t>"LA02768|CLA12721|" + S5 + "|"+(Jong +"0"+F6+"0")+"|"+(Age+n)</t>
  </si>
  <si>
    <t>"LA02768|CLA12724|" + S5 + "|"+(Jong +"0"+F6+"0")+"|"+(Age+n)</t>
  </si>
  <si>
    <t>"LA02768|CLA12727|" + S5 + "|"+(Jong +"0"+F6+"0")+"|"+(Age+n)</t>
  </si>
  <si>
    <t>"LA02768|CLA12730|" + S5 + "|"+(Jong +"0"+F6+"0")+"|"+(Age+n)</t>
  </si>
  <si>
    <t>CLA04522</t>
  </si>
  <si>
    <t>4대유사암진단비(갱신형)</t>
  </si>
  <si>
    <t>"LA02768|CLA12722|" + 0 + "|"+(Jong +"0"+F6+"0")+"|"+If(S1=0,n,0)</t>
  </si>
  <si>
    <t>"LA02768|CLA12725|" + 0 + "|"+(Jong +"0"+F6+"0")+"|"+If(S1=0,n,0)</t>
  </si>
  <si>
    <t>"LA02768|CLA12728|" + 0 + "|"+(Jong +"0"+F6+"0")+"|"+If(S1=0,n,0)</t>
  </si>
  <si>
    <t>"LA02768|CLA12731|" + 0 + "|"+(Jong +"0"+F6+"0")+"|"+If(S1=0,n,0)</t>
  </si>
  <si>
    <t>CLA04611</t>
  </si>
  <si>
    <t>림프절전이암발생률(최초1회한)|100000000|1|202504</t>
  </si>
  <si>
    <t>"LA02768|CLA13060|" + S5 + "|"+(Jong +"0"+F6+"0")+"|"+(Age+n)</t>
  </si>
  <si>
    <t>특정전이암 발생률(최초1회한)|100000000|1|202504</t>
  </si>
  <si>
    <t>"LA02768|CLA13061|" + S5 + "|"+(Jong +"0"+F6+"0")+"|"+(Age+n)</t>
  </si>
  <si>
    <t>소화기관전이암 발생률(최초1회한)|100000000|1|202504</t>
  </si>
  <si>
    <t>"LA02768|CLA17762|" + S5 + "|"+(Jong +"0"+F6+"0")+"|"+(Age+n)</t>
  </si>
  <si>
    <t>유방전이암 발생률(최초1회한)|100000000|1|202504</t>
  </si>
  <si>
    <t>"LA02768|CLA17768|" + S5 + "|"+(Jong +"0"+F6+"0")+"|"+(Age+n)</t>
  </si>
  <si>
    <t>여성생식기관전이암 발생률(최초1회한)|100000000|1|202504</t>
  </si>
  <si>
    <t>"LA02768|CLA17774|" + S5 + "|"+(Jong +"0"+F6+"0")+"|"+(Age+n)</t>
  </si>
  <si>
    <t>호흡기및흉곽내기관전이암 발생률(최초1회한)|100000000|1|202504</t>
  </si>
  <si>
    <t>"LA02768|CLA17780|" + S5 + "|"+(Jong +"0"+F6+"0")+"|"+(Age+n)</t>
  </si>
  <si>
    <t>관절및피부전이암 발생률(최초1회한)|100000000|1|202504</t>
  </si>
  <si>
    <t>"LA02768|CLA17786|" + S5 + "|"+(Jong +"0"+F6+"0")+"|"+(Age+n)</t>
  </si>
  <si>
    <t>요로전이암 발생률(최초1회한)|100000000|1|202504</t>
  </si>
  <si>
    <t>"LA02768|CLA17792|" + S5 + "|"+(Jong +"0"+F6+"0")+"|"+(Age+n)</t>
  </si>
  <si>
    <t>뇌전이암 발생률(최초1회한)|100000000|1|202504</t>
  </si>
  <si>
    <t>"LA02768|CLA17798|" + S5 + "|"+(Jong +"0"+F6+"0")+"|"+(Age+n)</t>
  </si>
  <si>
    <t>림프및기타특정전이암 발생률(최초1회한)|100000000|1|202504</t>
  </si>
  <si>
    <t>"LA02768|CLA17804|" + S5 + "|"+(Jong +"0"+F6+"0")+"|"+(Age+n)</t>
  </si>
  <si>
    <t>D(0.375)*k1*(1-w/2)</t>
  </si>
  <si>
    <t>남성생식기관전이암 발생률(최초1회한)|100000000|1|202504</t>
  </si>
  <si>
    <t>남성유방전이암 발생률(최초1회한)|100000000|1|202504</t>
  </si>
  <si>
    <t>"LA02768|CLA16802|" + S5 + "|"+(Jong +"0"+F6+"0")+"|"+(Age+n)</t>
  </si>
  <si>
    <t>급여 암 MRI촬영검사 이용률(연간1회한)|100000000|1|202504</t>
  </si>
  <si>
    <t>"LA02768|CLA15398|" + S5 + "|"+(Jong +"0"+F6+"0")+"|"+(Age+n)</t>
  </si>
  <si>
    <t>금여 암 내시경검사 이용률(연간1회한)|100000000|1|202504</t>
  </si>
  <si>
    <t>"LA02768|CLA15399|" + S5 + "|"+(Jong +"0"+F6+"0")+"|"+(Age+n)</t>
  </si>
  <si>
    <t>급여 암 양전자방출단층촬영(PET)검사 이용률(연간1회한)|100000000|1|202504</t>
  </si>
  <si>
    <t>"LA02768|CLA12972|" + S5 + "|"+(Jong +"0"+F6+"0")+"|"+(Age+n)</t>
  </si>
  <si>
    <t>중증질환자(암(4대유사암제외)) 산정특례 등록위험률(최초1회한)|100000000|1|202504</t>
  </si>
  <si>
    <t>"LA02768|CLA12975|" + S5 + "|"+(Jong +"0"+F6+"0")+"|"+(Age+n)</t>
  </si>
  <si>
    <t>뇌혈관질환발생률|100000000|1|202504</t>
  </si>
  <si>
    <t>"LA02768|CLA12686|" + S5 + "|"+(Jong +"0"+F6+"0")+"|"+(Age+n)</t>
  </si>
  <si>
    <t>"LA02768|CLA12687|" + 0 + "|"+(Jong +"0"+F6+"0")+"|"+If(S1=0,n,0)</t>
  </si>
  <si>
    <t>If(Jong=1 or Jong=3, k2, 1 ) * (1-w) * (1-q1*q23*S(3))</t>
  </si>
  <si>
    <t>(1-w)*(1-q1*q23*S(3))</t>
  </si>
  <si>
    <t>q1*q23*(1-w/2)*S(3)*D(0.5)</t>
  </si>
  <si>
    <t>If(t&lt;m,0, 0.5*(W(t)+W(t+1))/2*(1-q1*q23*S(3)/2)*w)</t>
  </si>
  <si>
    <t>If(t&lt;m,0, 0.5*(V(t)+V(t+1))/2*(1-q1*q23*S(3)/2)*w)</t>
  </si>
  <si>
    <t>주요뇌혈관질환발생률|100000000|1|202504</t>
  </si>
  <si>
    <t>"LA02768|CLA16243|" + S5 + "|"+(Jong +"0"+F6+"0")+"|"+(Age+n)</t>
  </si>
  <si>
    <t>"LA02768|CLA12692|" + S5 + "|"+(Jong +"0"+F6+"0")+"|"+(Age+n)</t>
  </si>
  <si>
    <t>"LA02768|CLA12693|" + 0 + "|"+(Jong +"0"+F6+"0")+"|"+If(S1=0,n,0)</t>
  </si>
  <si>
    <t>뇌전증발생률(최초1회한)|100000000|1|202504</t>
  </si>
  <si>
    <t>"LA02768|CLA16481|" + S5 + "|"+(Jong +"0"+F6+"0")+"|"+(Age+n)</t>
  </si>
  <si>
    <t>일과성뇌허혈발작 발생률|100000000|1|202504</t>
  </si>
  <si>
    <t>"LA02768|CLA16483|" + S5 + "|"+(Jong +"0"+F6+"0")+"|"+(Age+n)</t>
  </si>
  <si>
    <t>뇌졸중(뇌출혈제외)발생률|100000000|1|202504</t>
  </si>
  <si>
    <t>"LA02768|CLA16485|" + S5 + "|"+(Jong +"0"+F6+"0")+"|"+(Age+n)</t>
  </si>
  <si>
    <t>뇌출혈발생률|100000000|1|202504</t>
  </si>
  <si>
    <t>"LA02768|CLA16876|" + S5 + "|"+(Jong +"0"+F6+"0")+"|"+(Age+n)</t>
  </si>
  <si>
    <t>뇌혈관특정질환발생률(최초1회한)|100000000|1|202504</t>
  </si>
  <si>
    <t>"LA02768|CLA16878|" + S5 + "|"+(Jong +"0"+F6+"0")+"|"+(Age+n)</t>
  </si>
  <si>
    <t>"LA02768|CLA16880|" + S5 + "|"+(Jong +"0"+F6+"0")+"|"+(Age+n)</t>
  </si>
  <si>
    <t>"LA02768|CLA12866|" + S5 + "|"+(Jong +"0"+F6+"0")+"|"+(Age+n)</t>
  </si>
  <si>
    <t>허혈성심장질환발생률|100000000|1|202504</t>
  </si>
  <si>
    <t>"LA02768|CLA12689|" + S5 + "|"+(Jong +"0"+F6+"0")+"|"+(Age+n)</t>
  </si>
  <si>
    <t>"LA02768|CLA12690|" + 0 + "|"+(Jong +"0"+F6+"0")+"|"+If(S1=0,n,0)</t>
  </si>
  <si>
    <t>"LA02768|CLA12705|" + S5 + "|"+(Jong +"0"+F6+"0")+"|"+(Age+n)</t>
  </si>
  <si>
    <t>주요허혈성심장질환발생률|100000000|1|202504</t>
  </si>
  <si>
    <t>"LA02768|CLA16249|" + S5 + "|"+(Jong +"0"+F6+"0")+"|"+(Age+n)</t>
  </si>
  <si>
    <t>만성류마티스심장질환 발생률|100000000|1|202504</t>
  </si>
  <si>
    <t>"LA02768|CLA16499|" + S5 + "|"+(Jong +"0"+F6+"0")+"|"+(Age+n)</t>
  </si>
  <si>
    <t>특정심장판막질환 발생률|100000000|1|202504</t>
  </si>
  <si>
    <t>"LA02768|CLA16501|" + S5 + "|"+(Jong +"0"+F6+"0")+"|"+(Age+n)</t>
  </si>
  <si>
    <t>특정심장방실및전도장애 발생률|100000000|1|202504</t>
  </si>
  <si>
    <t>"LA02768|CLA16503|" + S5 + "|"+(Jong +"0"+F6+"0")+"|"+(Age+n)</t>
  </si>
  <si>
    <t>주요심장염증질환발생률(최초1회한)|100000000|1|202504</t>
  </si>
  <si>
    <t>"LA02768|CLA16505|" + S5 + "|"+(Jong +"0"+F6+"0")+"|"+(Age+n)</t>
  </si>
  <si>
    <t>심근병증발생률(최초1회한)|100000000|1|202504</t>
  </si>
  <si>
    <t>"LA02768|CLA16507|" + S5 + "|"+(Jong +"0"+F6+"0")+"|"+(Age+n)</t>
  </si>
  <si>
    <t>심혈관특정질환Ⅰ발생률(I49제외, 최초1회한)|100000000|1|202504</t>
  </si>
  <si>
    <t>"LA02768|CLA16509|" + S5 + "|"+(Jong +"0"+F6+"0")+"|"+(Age+n)</t>
  </si>
  <si>
    <t>심혈관특정질환Ⅱ발생률(최초1회한)|100000000|1|202504</t>
  </si>
  <si>
    <t>"LA02768|CLA16511|" + S5 + "|"+(Jong +"0"+F6+"0")+"|"+(Age+n)</t>
  </si>
  <si>
    <t>기타 심장부정맥(I49)발생률(최초1회한)|100000000|1|202504</t>
  </si>
  <si>
    <t>"LA02768|CLA16894|" + S5 + "|"+(Jong +"0"+F6+"0")+"|"+(Age+n)</t>
  </si>
  <si>
    <t>If(Jong=1 or Jong=3, k2, 1 ) * (1-w) * (1-q1*q24*S(3))</t>
  </si>
  <si>
    <t>(1-w)*(1-q1*q24*S(3))</t>
  </si>
  <si>
    <t>q1*q24*(1-w/2)*S(3)*D(0.5)</t>
  </si>
  <si>
    <t>If(t&lt;m,0, 0.5*(W(t)+W(t+1))/2*(1-q1*q24*S(3)/2)*w)</t>
  </si>
  <si>
    <t>If(t&lt;m,0, 0.5*(V(t)+V(t+1))/2*(1-q1*q24*S(3)/2)*w)</t>
  </si>
  <si>
    <t>심혈관특정질환Ⅰ발생률(최초1회한)|100000000|1|202504</t>
  </si>
  <si>
    <t>"LA02768|CLA12710|" + S5 + "|"+(Jong +"0"+F6+"0")+"|"+(Age+n)</t>
  </si>
  <si>
    <t>"LA02768|CLA12711|" + 0 + "|"+(Jong +"0"+F6+"0")+"|"+If(S1=0,n,0)</t>
  </si>
  <si>
    <t>"LA02768|CLA12772|" + S5 + "|"+(Jong +"0"+F6+"0")+"|"+(Age+n)</t>
  </si>
  <si>
    <t>"LA02768|CLA12773|" + 0 + "|"+(Jong +"0"+F6+"0")+"|"+If(S1=0,n,0)</t>
  </si>
  <si>
    <t>"LA02768|CLA12794|" + S5 + "|"+(Jong +"0"+F6+"0")+"|"+(Age+n)</t>
  </si>
  <si>
    <t>"LA02768|CLA12795|" + 0 + "|"+(Jong +"0"+F6+"0")+"|"+If(S1=0,n,0)</t>
  </si>
  <si>
    <t>"LA02768|CLA12768|" + S5 + "|"+(Jong +"0"+F6+"0")+"|"+(Age+n)</t>
  </si>
  <si>
    <t>"LA02768|CLA15819|" + S5 + "|"+(Jong +"0"+F6+"0")+"|"+(Age+n)</t>
  </si>
  <si>
    <t>심장판막협착증(대동맥판막)발생률(최초1회한)|100000000|1|202504</t>
  </si>
  <si>
    <t>"LA02768|CLA12767|" + S5 + "|"+(Jong +"0"+F6+"0")+"|"+(Age+n)</t>
  </si>
  <si>
    <t>특정양성뇌종양발생률|100000000|1|202504</t>
  </si>
  <si>
    <t>"LA02768|CLA12769|" + S5 + "|"+(Jong +"0"+F6+"0")+"|"+(Age+n)</t>
  </si>
  <si>
    <t>급여 특정NGS유전자패널검사 이용률(연간1회한)|100000000|1|202504</t>
  </si>
  <si>
    <t>"LA02768|CLA15400|" + S5 + "|"+(Jong +"0"+F6+"0")+"|"+(Age+n)</t>
  </si>
  <si>
    <t>"LA02768|CLA15759|" + S5 + "|"+(Jong +"0"+F6+"0")+"|"+(Age+n)</t>
  </si>
  <si>
    <t>"LA02768|CLA12897|" + S5 + "|"+(Jong +"0"+F6+"0")+"|"+(Age+n)</t>
  </si>
  <si>
    <t>"LA02768|CLA15760|" + S5 + "|"+(Jong +"0"+F6+"0")+"|"+(Age+n)</t>
  </si>
  <si>
    <t>중대한재생불량성빈혈발생률|100000000|1|202504</t>
  </si>
  <si>
    <t>"LA02768|CLA15761|" + S5 + "|"+(Jong +"0"+F6+"0")+"|"+(Age+n)</t>
  </si>
  <si>
    <t>크론병발생률|100000000|1|202504</t>
  </si>
  <si>
    <t>"LA02768|CLA15774|" + S5 + "|"+(Jong +"0"+F6+"0")+"|"+(Age+n)</t>
  </si>
  <si>
    <t>당뇨병(당화혈색소6.5퍼센트이상)발생률|100000000|1|202504</t>
  </si>
  <si>
    <t>"LA02768|CLA15777|" + 0 + "|"+(Jong +"0"+F6+"0")+"|"+If(S1=0,n,0)</t>
  </si>
  <si>
    <t>특정전염병발생률|100000000|1|202504</t>
  </si>
  <si>
    <t>"LA02768|CLA12872|" + S5 + "|"+(Jong +"0"+F6+"0")+"|"+(Age+n)</t>
  </si>
  <si>
    <t>대상포진발생률|100000000|1|202504</t>
  </si>
  <si>
    <t>"LA02768|CLA12838|" + S5 + "|"+(Jong +"0"+F6+"0")+"|"+(Age+n)</t>
  </si>
  <si>
    <t>대상포진눈병발생률|100000000|1|202504</t>
  </si>
  <si>
    <t>"LA02768|CLA12876|" + S5 + "|"+(Jong +"0"+F6+"0")+"|"+(Age+n)</t>
  </si>
  <si>
    <t>통풍발생률|100000000|1|202504</t>
  </si>
  <si>
    <t>"LA02768|CLA12864|" + S5 + "|"+(Jong +"0"+F6+"0")+"|"+(Age+n)</t>
  </si>
  <si>
    <t>급성신우신염 발생률(최초1회한)|100000000|1|202504</t>
  </si>
  <si>
    <t>"LA02768|CLA15825|" + S5 + "|"+(Jong +"0"+F6+"0")+"|"+(Age+n)</t>
  </si>
  <si>
    <t>골다공증발생률(최초1회한)|100000000|1|202504</t>
  </si>
  <si>
    <t>"LA02768|CLA15878|" + S5 + "|"+(Jong +"0"+F6+"0")+"|"+(Age+n)</t>
  </si>
  <si>
    <t>특정천공 발생률(최초1회한)|100000000|1|202504</t>
  </si>
  <si>
    <t>"LA02768|CLA15872|" + S5 + "|"+(Jong +"0"+F6+"0")+"|"+(Age+n)</t>
  </si>
  <si>
    <t>특정천공동반질병 발생률(최초1회한)|100000000|1|202504</t>
  </si>
  <si>
    <t>"LA02768|CLA15873|" + S5 + "|"+(Jong +"0"+F6+"0")+"|"+(Age+n)</t>
  </si>
  <si>
    <t>특정천공동반게실병 발생률(최초1회한)|100000000|1|202504</t>
  </si>
  <si>
    <t>"LA02768|CLA15874|" + S5 + "|"+(Jong +"0"+F6+"0")+"|"+(Age+n)</t>
  </si>
  <si>
    <t>유방바늘생검조직병리진단 발생률(급여,연간1회한)|100000000|1|202504</t>
  </si>
  <si>
    <t>"LA02768|CLA12863|" + S5 + "|"+(Jong +"0"+F6+"0")+"|"+(Age+n)</t>
  </si>
  <si>
    <t>갑상선바늘생검조직병리진단 발생률(급여,연간1회한)|100000000|1|202504</t>
  </si>
  <si>
    <t>"LA02768|CLA12829|" + S5 + "|"+(Jong +"0"+F6+"0")+"|"+(Age+n)</t>
  </si>
  <si>
    <t>전립선바늘생검조직병리진단 발생률(급여,연간1회한)|100000000|1|202504</t>
  </si>
  <si>
    <t>"LA02768|CLA15844|" + S5 + "|"+(Jong +"0"+F6+"0")+"|"+(Age+n)</t>
  </si>
  <si>
    <t>요로결석 발생률(최초1회한)|100000000|1|202504</t>
  </si>
  <si>
    <t>"LA02768|CLA16303|" + S5 + "|"+(Jong +"0"+F6+"0")+"|"+(Age+n)</t>
  </si>
  <si>
    <t>질병수술률|100000000|1|202504</t>
  </si>
  <si>
    <t>"LA02768|CLA12717|" + S5 + "|"+(Jong +"0"+F6+"0")+"|"+(Age+n)</t>
  </si>
  <si>
    <t>질병수술률(특정5대질병제외)|100000000|1|202504</t>
  </si>
  <si>
    <t>"LA02768|CLA12908|" + S5 + "|"+(Jong +"0"+F6+"0")+"|"+(Age+n)</t>
  </si>
  <si>
    <t>질병수술률(특정9대질병제외)|100000000|1|202504</t>
  </si>
  <si>
    <t>"LA02768|CLA13037|" + S5 + "|"+(Jong +"0"+F6+"0")+"|"+(Age+n)</t>
  </si>
  <si>
    <t>질병수술률Ⅱ(수술1회당)|100000000|1|202504</t>
  </si>
  <si>
    <t>"LA02768|CLA15405|" + S5 + "|"+(Jong +"0"+F6+"0")+"|"+(Age+n)</t>
  </si>
  <si>
    <t>CLA04619</t>
  </si>
  <si>
    <t>질병수술률Ⅳ(1-5종)1종|100000000|1|202211</t>
  </si>
  <si>
    <t>급여특정요실금수술률(연간1회한)|100000000|1|202504</t>
  </si>
  <si>
    <t>제왕절개수술률(수술1회당)|100000000|1|202504</t>
  </si>
  <si>
    <t>직장 및 항문관련질환 수술률(수술1회당)|100000000|1|202504</t>
  </si>
  <si>
    <t>치핵(치질)수술발생률|100000000|1|202504</t>
  </si>
  <si>
    <t>"LA02768|CLA12695|" + S5 + "|"+(Jong +"0"+F6+"0")+"|"+(Age+n)</t>
  </si>
  <si>
    <t>질병수술률Ⅳ(1-5종)2종|100000000|1|202211</t>
  </si>
  <si>
    <t>"LA02768|CLA12697|" + S5 + "|"+(Jong +"0"+F6+"0")+"|"+(Age+n)</t>
  </si>
  <si>
    <t>질병수술률Ⅳ(1-5종)3종|100000000|1|202211</t>
  </si>
  <si>
    <t>"LA02768|CLA12699|" + S5 + "|"+(Jong +"0"+F6+"0")+"|"+(Age+n)</t>
  </si>
  <si>
    <t>질병수술률Ⅳ(1-5종)4종|100000000|1|202211</t>
  </si>
  <si>
    <t>"LA02768|CLA12701|" + S5 + "|"+(Jong +"0"+F6+"0")+"|"+(Age+n)</t>
  </si>
  <si>
    <t>질병수술률Ⅳ(1-5종)5종|100000000|1|202211</t>
  </si>
  <si>
    <t>"LA02768|CLA12703|" + S5 + "|"+(Jong +"0"+F6+"0")+"|"+(Age+n)</t>
  </si>
  <si>
    <t>CLA04631</t>
  </si>
  <si>
    <t>질병수술률(1-5종)Ⅴ(수술1회당)(1종)|100000000|1|202504</t>
  </si>
  <si>
    <t>"LA02768|CLA15957|" + S5 + "|"+(Jong +"0"+F6+"0")+"|"+(Age+n)</t>
  </si>
  <si>
    <t>질병수술률(1-5종)Ⅴ(수술1회당)(2종)|100000000|1|202504</t>
  </si>
  <si>
    <t>"LA02768|CLA15959|" + S5 + "|"+(Jong +"0"+F6+"0")+"|"+(Age+n)</t>
  </si>
  <si>
    <t>질병수술률(1-5종)Ⅴ(수술1회당)(3종)|100000000|1|202504</t>
  </si>
  <si>
    <t>"LA02768|CLA15961|" + S5 + "|"+(Jong +"0"+F6+"0")+"|"+(Age+n)</t>
  </si>
  <si>
    <t>질병수술률(1-5종)Ⅴ(수술1회당)(4종)|100000000|1|202504</t>
  </si>
  <si>
    <t>"LA02768|CLA15963|" + S5 + "|"+(Jong +"0"+F6+"0")+"|"+(Age+n)</t>
  </si>
  <si>
    <t>질병수술률(1-5종)Ⅴ(수술1회당)(5종)|100000000|1|202504</t>
  </si>
  <si>
    <t>"LA02768|CLA15965|" + S5 + "|"+(Jong +"0"+F6+"0")+"|"+(Age+n)</t>
  </si>
  <si>
    <t>CLA04642</t>
  </si>
  <si>
    <t>"LA02768|CLA12852|" + S5 + "|"+(Jong +"0"+F6+"0")+"|"+(Age+n)</t>
  </si>
  <si>
    <t>"LA02768|CLA12853|" + S5 + "|"+(Jong +"0"+F6+"0")+"|"+(Age+n)</t>
  </si>
  <si>
    <t>"LA02768|CLA12854|" + S5 + "|"+(Jong +"0"+F6+"0")+"|"+(Age+n)</t>
  </si>
  <si>
    <t>"LA02768|CLA12855|" + S5 + "|"+(Jong +"0"+F6+"0")+"|"+(Age+n)</t>
  </si>
  <si>
    <t>"LA02768|CLA12856|" + S5 + "|"+(Jong +"0"+F6+"0")+"|"+(Age+n)</t>
  </si>
  <si>
    <t>"LA02768|CLA12857|" + S5 + "|"+(Jong +"0"+F6+"0")+"|"+(Age+n)</t>
  </si>
  <si>
    <t>"LA02768|CLA12858|" + S5 + "|"+(Jong +"0"+F6+"0")+"|"+(Age+n)</t>
  </si>
  <si>
    <t>"LA02768|CLA12859|" + S5 + "|"+(Jong +"0"+F6+"0")+"|"+(Age+n)</t>
  </si>
  <si>
    <t>CLA04504</t>
  </si>
  <si>
    <t>뇌전증 등 6대질병수술률|100000000|1|202504</t>
  </si>
  <si>
    <t>심장질환 등 4대질병수술률|100000000|1|202504</t>
  </si>
  <si>
    <t>"LA02768|CLA12737|" + S5 + "|"+(Jong +"0"+F6+"0")+"|"+(Age+n)</t>
  </si>
  <si>
    <t>수막염 등 7대질병수술률|100000000|1|202504</t>
  </si>
  <si>
    <t>간질환 등 6대질병수술률|100000000|1|202504</t>
  </si>
  <si>
    <t>"LA02768|CLA12740|" + S5 + "|"+(Jong +"0"+F6+"0")+"|"+(Age+n)</t>
  </si>
  <si>
    <t>폐질환 등 13대질병수술률|100000000|1|202504</t>
  </si>
  <si>
    <t>"LA02768|CLA12743|" + S5 + "|"+(Jong +"0"+F6+"0")+"|"+(Age+n)</t>
  </si>
  <si>
    <t>28대경증질병수술률|100000000|1|202504</t>
  </si>
  <si>
    <t>갑상선 질환 및 동맥경화증 수술률|100000000|1|202504</t>
  </si>
  <si>
    <t>"LA02768|CLA12746|" + S5 + "|"+(Jong +"0"+F6+"0")+"|"+(Age+n)</t>
  </si>
  <si>
    <t>50대경증질병수술률|100000000|1|202504</t>
  </si>
  <si>
    <t>"LA02768|CLA12749|" + S5 + "|"+(Jong +"0"+F6+"0")+"|"+(Age+n)</t>
  </si>
  <si>
    <t>4대생활질병수술률|100000000|1|202504</t>
  </si>
  <si>
    <t>수면무호흡증 등 3대질병수술률(수술1회당)|100000000|1|202504</t>
  </si>
  <si>
    <t>"LA02768|CLA12752|" + S5 + "|"+(Jong +"0"+F6+"0")+"|"+(Age+n)</t>
  </si>
  <si>
    <t>"LA02768|CLA12755|" + S5 + "|"+(Jong +"0"+F6+"0")+"|"+(Age+n)</t>
  </si>
  <si>
    <t>기타피부암및갑상선암이외의암수술률|100000000|1|202504</t>
  </si>
  <si>
    <t>"LA02768|CLA12791|" + S5 + "|"+(Jong +"0"+F6+"0")+"|"+(Age+n)</t>
  </si>
  <si>
    <t>"LA02768|CLA12792|" + 0 + "|"+(Jong +"0"+F6+"0")+"|"+If(S1=0,n,0)</t>
  </si>
  <si>
    <t>기타피부암수술률|100000000|1|202504</t>
  </si>
  <si>
    <t>갑상선암수술률|100000000|1|202504</t>
  </si>
  <si>
    <t>제자리암(상피내암)수술률|100000000|1|202504</t>
  </si>
  <si>
    <t>경계성종양수술률|100000000|1|202504</t>
  </si>
  <si>
    <t>"LA02768|CLA12797|" + S5 + "|"+(Jong +"0"+F6+"0")+"|"+(Age+n)</t>
  </si>
  <si>
    <t>"LA02768|CLA12990|" + 0 + "|"+(Jong +"0"+F6+"0")+"|"+If(S1=0,n,0)</t>
  </si>
  <si>
    <t>기타피부암 및 갑상선암 이외의 암 최초수술비율|100000000|0|201903</t>
  </si>
  <si>
    <t>"LA02768|CLA12848|" + S5 + "|"+(Jong +"0"+F6+"0")+"|"+(Age+n)</t>
  </si>
  <si>
    <t>뇌혈관질환수술률|100000000|1|202504</t>
  </si>
  <si>
    <t>"LA02768|CLA12759|" + S5 + "|"+(Jong +"0"+F6+"0")+"|"+(Age+n)</t>
  </si>
  <si>
    <t>뇌졸중수술률|100000000|1|202504</t>
  </si>
  <si>
    <t>"LA02768|CLA12929|" + S5 + "|"+(Jong +"0"+F6+"0")+"|"+(Age+n)</t>
  </si>
  <si>
    <t>허혈성심장질환수술률|100000000|1|202504</t>
  </si>
  <si>
    <t>"LA02768|CLA12762|" + S5 + "|"+(Jong +"0"+F6+"0")+"|"+(Age+n)</t>
  </si>
  <si>
    <t>If(Jong=1 or Jong=3, k2* (1-q1*q2*q26*S(3)+q3*q4*S(3)*q26), (1-q1*q2*q26*S(3)) ) * (1-w)</t>
  </si>
  <si>
    <t>q1*q26*q2*(1-w/2)*S(3)*D(0.5)</t>
  </si>
  <si>
    <t>허혈성심장질환최초수술비율|100000000|0|202504</t>
  </si>
  <si>
    <t>급성심근경색증수술률|100000000|1|202504</t>
  </si>
  <si>
    <t>급성심근경색증최초수술비율|100000000|0|202504</t>
  </si>
  <si>
    <t>"LA02768|CLA12845|" + S5 + "|"+(Jong +"0"+F6+"0")+"|"+(Age+n)</t>
  </si>
  <si>
    <t>"LA02768|CLA12928|" + S5 + "|"+(Jong +"0"+F6+"0")+"|"+(Age+n)</t>
  </si>
  <si>
    <t>CLA04526</t>
  </si>
  <si>
    <t>간관련질병수술률(관혈)(연간1회한)|100000000|1|202504</t>
  </si>
  <si>
    <t>간관련질병수술률(비관혈)(연간1회한)|100000000|1|202504</t>
  </si>
  <si>
    <t>"LA02768|CLA12831|" + S5 + "|"+(Jong +"0"+F6+"0")+"|"+(Age+n)</t>
  </si>
  <si>
    <t>심장관련질병수술률(관혈)(연간1회한)|100000000|1|202504</t>
  </si>
  <si>
    <t>심장관련질병수술률(비관혈)(연간1회한)|100000000|1|202504</t>
  </si>
  <si>
    <t>"LA02768|CLA12832|" + S5 + "|"+(Jong +"0"+F6+"0")+"|"+(Age+n)</t>
  </si>
  <si>
    <t>신부전수술률(관혈)(연간1회한)|100000000|1|202504</t>
  </si>
  <si>
    <t>신부전수술률(비관혈)(연간1회한)|100000000|1|202504</t>
  </si>
  <si>
    <t>"LA02768|CLA12833|" + S5 + "|"+(Jong +"0"+F6+"0")+"|"+(Age+n)</t>
  </si>
  <si>
    <t>특정장질환수술률(관혈)(연간1회한)|100000000|1|202504</t>
  </si>
  <si>
    <t>특정장질환수술률(비관혈)(연간1회한)|100000000|1|202504</t>
  </si>
  <si>
    <t>"LA02768|CLA12834|" + S5 + "|"+(Jong +"0"+F6+"0")+"|"+(Age+n)</t>
  </si>
  <si>
    <t>뇌혈관질환수술률(관혈)(연간1회한)|100000000|1|202504</t>
  </si>
  <si>
    <t>뇌혈관질환수술률(비관혈)(연간1회한)|100000000|1|202504</t>
  </si>
  <si>
    <t>"LA02768|CLA12835|" + S5 + "|"+(Jong +"0"+F6+"0")+"|"+(Age+n)</t>
  </si>
  <si>
    <t>폐질환수술률(관혈)(연간1회한)|100000000|1|202504</t>
  </si>
  <si>
    <t>폐질환수술률(비관혈)(연간1회한)|100000000|1|202504</t>
  </si>
  <si>
    <t>"LA02768|CLA12836|" + S5 + "|"+(Jong +"0"+F6+"0")+"|"+(Age+n)</t>
  </si>
  <si>
    <t>담낭,담도및췌장질환수술률(관혈)(연간1회한)|100000000|1|202504</t>
  </si>
  <si>
    <t>담낭,담도및췌장질환수술률(비관혈)(연간1회한)|100000000|1|202504</t>
  </si>
  <si>
    <t>"LA02768|CLA12837|" + S5 + "|"+(Jong +"0"+F6+"0")+"|"+(Age+n)</t>
  </si>
  <si>
    <t>특정8대기관 양성신생물(폴립포함)수술률(연간1회한)|100000000|1|202504</t>
  </si>
  <si>
    <t>"LA02768|CLA12758|" + S5 + "|"+(Jong +"0"+F6+"0")+"|"+(Age+n)</t>
  </si>
  <si>
    <t>"LA02768|CLA15810|" + 0 + "|"+(Jong +"0"+F6+"0")+"|"+If(S1=0,n,0)</t>
  </si>
  <si>
    <t>남성특정비뇨기계질환수술률|100000000|1|202504</t>
  </si>
  <si>
    <t>"LA02768|CLA15763|" + S5 + "|"+(Jong +"0"+F6+"0")+"|"+(Age+n)</t>
  </si>
  <si>
    <t>호흡기관련질병수술률|100000000|1|202504</t>
  </si>
  <si>
    <t>"LA02768|CLA15764|" + S5 + "|"+(Jong +"0"+F6+"0")+"|"+(Age+n)</t>
  </si>
  <si>
    <t>조혈모세포이식발생률|100000000|1|202504</t>
  </si>
  <si>
    <t>"LA02768|CLA12823|" + S5 + "|"+(Jong +"0"+F6+"0")+"|"+(Age+n)</t>
  </si>
  <si>
    <t>특정부인과질병수술률|100000000|1|202504</t>
  </si>
  <si>
    <t>"LA02768|CLA15786|" + S5 + "|"+(Jong +"0"+F6+"0")+"|"+(Age+n)</t>
  </si>
  <si>
    <t>이비인후과질환수술률(수술1회당)|100000000|1|202504</t>
  </si>
  <si>
    <t>"LA02768|CLA15798|" + S5 + "|"+(Jong +"0"+F6+"0")+"|"+(Age+n)</t>
  </si>
  <si>
    <t>항암방사선치료비(기타피부암및갑상선암이외의암)|100000000|1|202504</t>
  </si>
  <si>
    <t>"LA02768|CLA12708|" + S5 + "|"+(Jong +"0"+F6+"0")+"|"+(Age+n)</t>
  </si>
  <si>
    <t>"LA02768|CLA15775|" + 0 + "|"+(Jong +"0"+F6+"0")+"|"+If(S1=0,n,0)</t>
  </si>
  <si>
    <t>항암약물치료비(기타피부암및갑상선암이외의암)|100000000|1|202504</t>
  </si>
  <si>
    <t>"LA02768|CLA12709|" + S5 + "|"+(Jong +"0"+F6+"0")+"|"+(Age+n)</t>
  </si>
  <si>
    <t>"LA02768|CLA15776|" + 0 + "|"+(Jong +"0"+F6+"0")+"|"+If(S1=0,n,0)</t>
  </si>
  <si>
    <t>항암방사선치료 발생률(기타피부암 및 갑상선암 이외의 암, 치료1회당)|100000000|1|202504</t>
  </si>
  <si>
    <t>항암방사선치료 발생률(기타피부암, 치료1회당)|100000000|1|202504</t>
  </si>
  <si>
    <t>항암방사선치료 발생률(갑상선암, 치료1회당)|100000000|1|202504</t>
  </si>
  <si>
    <t>"LA02768|CLA16409|" + S5 + "|"+(Jong +"0"+F6+"0")+"|"+(Age+n)</t>
  </si>
  <si>
    <t>"LA02768|CLA17520|" + 0 + "|"+(Jong +"0"+F6+"0")+"|"+If(S1=0,n,0)</t>
  </si>
  <si>
    <t>항암약물치료 발생률(기타피부암 및 갑상선암 이외의 암, 연간1회한)(주사제 외)|100000000|1|202504</t>
  </si>
  <si>
    <t>항암약물치료 통원률(기타피부암 및 갑상선암 이외의 암)(주사제)|100000000|1|202504</t>
  </si>
  <si>
    <t>항암약물치료 발생률(기타피부암 및 갑상선암 이외의 암, 입원당)(주사제)|100000000|1|202504</t>
  </si>
  <si>
    <t>항암약물치료 발생률(기타피부암, 연간1회한)(주사제 외)|100000000|1|202504</t>
  </si>
  <si>
    <t>항암약물치료 통원률(기타피부암)(주사제)|100000000|1|202504</t>
  </si>
  <si>
    <t>항암약물치료 발생률(기타피부암, 입원당)(주사제)|100000000|1|202504</t>
  </si>
  <si>
    <t>항암약물치료 발생률(갑상선암, 연간1회한)(주사제 외)|100000000|1|202504</t>
  </si>
  <si>
    <t>항암약물치료 통원률(갑상선암)(주사제)|100000000|1|202504</t>
  </si>
  <si>
    <t>항암약물치료 발생률(갑상선암, 입원당)(주사제)|100000000|1|202504</t>
  </si>
  <si>
    <t>"LA02768|CLA16411|" + S5 + "|"+(Jong +"0"+F6+"0")+"|"+(Age+n)</t>
  </si>
  <si>
    <t>"LA02768|CLA17522|" + 0 + "|"+(Jong +"0"+F6+"0")+"|"+If(S1=0,n,0)</t>
  </si>
  <si>
    <t>항암방사선치료비(갑상선암)|100000000|1|202504</t>
  </si>
  <si>
    <t>항암방사선치료비(기타피부암)|100000000|1|202504</t>
  </si>
  <si>
    <t>"LA02768|CLA12715|" + S5 + "|"+(Jong +"0"+F6+"0")+"|"+(Age+n)</t>
  </si>
  <si>
    <t>항암약물치료비(갑상선암)|100000000|1|202504</t>
  </si>
  <si>
    <t>항암약물치료비(기타피부암)|100000000|1|202504</t>
  </si>
  <si>
    <t>"LA02768|CLA12716|" + S5 + "|"+(Jong +"0"+F6+"0")+"|"+(Age+n)</t>
  </si>
  <si>
    <t>표적항암약물허가치료 발생률(최초1회한)|100000000|1|202504</t>
  </si>
  <si>
    <t>갑상선암 표적항암약물허가치료 발생률(최초1회한)|100000000|1|202504</t>
  </si>
  <si>
    <t>기타피부암 표적항암약물허가치료 발생률(최초1회한)|100000000|1|202504</t>
  </si>
  <si>
    <t>"LA02768|CLA15407|" + S5 + "|"+(Jong +"0"+F6+"0")+"|"+(Age+n)</t>
  </si>
  <si>
    <t>"LA02768|CLA12789|" + 0 + "|"+(Jong +"0"+F6+"0")+"|"+If(S1=0,n,0)</t>
  </si>
  <si>
    <t>표적항암약물허가치료 발생률(연간1회한)|100000000|1|202504</t>
  </si>
  <si>
    <t>"LA02768|CLA15893|" + S5 + "|"+(Jong +"0"+F6+"0")+"|"+(Age+n)</t>
  </si>
  <si>
    <t>"LA02768|CLA15894|" + 0 + "|"+(Jong +"0"+F6+"0")+"|"+If(S1=0,n,0)</t>
  </si>
  <si>
    <t>카티(CAR-T)항암약물허가치료 발생률(최초1회한)|100000000|1|202504</t>
  </si>
  <si>
    <t>"LA02768|CLA15410|" + S5 + "|"+(Jong +"0"+F6+"0")+"|"+(Age+n)</t>
  </si>
  <si>
    <t>"LA02768|CLA12799|" + 0 + "|"+(Jong +"0"+F6+"0")+"|"+If(S1=0,n,0)</t>
  </si>
  <si>
    <t>항암양성자방사선치료 발생률(기타피부암 및 갑상선암 이외의 암)(최초1회한)|100000000|1|202504</t>
  </si>
  <si>
    <t>항암양성자방사선치료 발생률(기타피부암)(최초1회한)|100000000|1|202504</t>
  </si>
  <si>
    <t>항암양성자방사선치료 발생률(갑상선암)(최초1회한)|100000000|1|202504</t>
  </si>
  <si>
    <t>"LA02768|CLA15412|" + S5 + "|"+(Jong +"0"+F6+"0")+"|"+(Age+n)</t>
  </si>
  <si>
    <t>"LA02768|CLA12814|" + 0 + "|"+(Jong +"0"+F6+"0")+"|"+If(S1=0,n,0)</t>
  </si>
  <si>
    <t>항암세기조절방사선치료 발생률(기타피부암 및 갑상선암 이외의 암)(최초1회한)|100000000|1|202504</t>
  </si>
  <si>
    <t>항암세기조절방사선치료 발생률(기타피부암)(최초1회한)|100000000|1|202504</t>
  </si>
  <si>
    <t>항암세기조절방사선치료 발생률(갑상선암)(최초1회한)|100000000|1|202504</t>
  </si>
  <si>
    <t>"LA02768|CLA15411|" + S5 + "|"+(Jong +"0"+F6+"0")+"|"+(Age+n)</t>
  </si>
  <si>
    <t>"LA02768|CLA12812|" + 0 + "|"+(Jong +"0"+F6+"0")+"|"+If(S1=0,n,0)</t>
  </si>
  <si>
    <t>급여 암 특정통증완화치료 발생률(연간1회한)|100000000|1|202504</t>
  </si>
  <si>
    <t>"LA02768|CLA15813|" + S5 + "|"+(Jong +"0"+F6+"0")+"|"+(Age+n)</t>
  </si>
  <si>
    <t>혈전용해치료 발생률(급여,연간1회한)|100000000|1|202504</t>
  </si>
  <si>
    <t>"LA02768|CLA15834|" + S5 + "|"+(Jong +"0"+F6+"0")+"|"+(Age+n)</t>
  </si>
  <si>
    <t>뇌경색증혈전용해치료발생률|100000000|1|202504</t>
  </si>
  <si>
    <t>"LA02768|CLA12714|" + S5 + "|"+(Jong +"0"+F6+"0")+"|"+(Age+n)</t>
  </si>
  <si>
    <t>급성심근경색증혈전용해치료발생률|100000000|1|202504</t>
  </si>
  <si>
    <t>"LA02768|CLA12713|" + S5 + "|"+(Jong +"0"+F6+"0")+"|"+(Age+n)</t>
  </si>
  <si>
    <t>인슐린치료발생률(최초1회한)|100000000|1|202504</t>
  </si>
  <si>
    <t>"LA02768|CLA15778|" + 0 + "|"+(Jong +"0"+F6+"0")+"|"+If(S1=0,n,0)</t>
  </si>
  <si>
    <t>자궁근종 고강도초음파집속술(HIFU) 발생률(최초1회한)|100000000|1|202504</t>
  </si>
  <si>
    <t>"LA02768|CLA13056|" + S5 + "|"+(Jong +"0"+F6+"0")+"|"+(Age+n)</t>
  </si>
  <si>
    <t>특정유방병변 진공흡인 절제치료 발생률(최초1회한)|100000000|1|202504</t>
  </si>
  <si>
    <t>"LA02768|CLA12878|" + S5 + "|"+(Jong +"0"+F6+"0")+"|"+(Age+n)</t>
  </si>
  <si>
    <t>특정뇌동맥질환 혈관색전술 발생률(급여, 연간1회한)|100000000|1|202504</t>
  </si>
  <si>
    <t>"LA02768|CLA12786|" + S5 + "|"+(Jong +"0"+F6+"0")+"|"+(Age+n)</t>
  </si>
  <si>
    <t>관상동맥성형술 발생률(급여,연간1회한)|100000000|1|202504</t>
  </si>
  <si>
    <t>"LA02768|CLA12775|" + S5 + "|"+(Jong +"0"+F6+"0")+"|"+(Age+n)</t>
  </si>
  <si>
    <t>심장부정맥 고주파냉각절제술 발생률(급여,연간1회한)|100000000|1|202504</t>
  </si>
  <si>
    <t>"LA02768|CLA12770|" + S5 + "|"+(Jong +"0"+F6+"0")+"|"+(Age+n)</t>
  </si>
  <si>
    <t>갑상선기능항진증발생률|100000000|1|202504</t>
  </si>
  <si>
    <t>"LA02768|CLA15811|" + S5 + "|"+(Jong +"0"+F6+"0")+"|"+(Age+n)</t>
  </si>
  <si>
    <t>독감(인플루엔자) 항바이러스제 치료 발생률(연간1회한)|100000000|1|202504</t>
  </si>
  <si>
    <t>"LA02768|CLA18829|" + 0 + "|"+(Jong +"0"+F6+"0")+"|"+If(S1=0,n,0)</t>
  </si>
  <si>
    <t>질병입원율(1일이상180일한도)|100000000|1|202504</t>
  </si>
  <si>
    <t>"LA02768|CLA12870|" + S5 + "|"+(Jong +"0"+F6+"0")+"|"+(Age+n)</t>
  </si>
  <si>
    <t>질병입원율(1일이상 10일한도)|100000000|1|202504</t>
  </si>
  <si>
    <t>"LA02768|CLA15883|" + S5 + "|"+(Jong +"0"+F6+"0")+"|"+(Age+n)</t>
  </si>
  <si>
    <t>질병중환자실입원율(1일이상180일한도)|100000000|1|202504</t>
  </si>
  <si>
    <t>"LA02768|CLA12851|" + S5 + "|"+(Jong +"0"+F6+"0")+"|"+(Age+n)</t>
  </si>
  <si>
    <t>질병중환자실입원율(1일이상 30일한도)|100000000|1|202504</t>
  </si>
  <si>
    <t>"LA02768|CLA12736|" + S5 + "|"+(Jong +"0"+F6+"0")+"|"+(Age+n)</t>
  </si>
  <si>
    <t>질병중환자실입원율(1일이상 10일한도)|100000000|1|202504</t>
  </si>
  <si>
    <t>"LA02768|CLA12771|" + S5 + "|"+(Jong +"0"+F6+"0")+"|"+(Age+n)</t>
  </si>
  <si>
    <t>상급종합병원질병입원율(1일이상180일한도)|100000000|1|202504</t>
  </si>
  <si>
    <t>"LA02768|CLA12918|" + S5 + "|"+(Jong +"0"+F6+"0")+"|"+(Age+n)</t>
  </si>
  <si>
    <t>종합병원1인실질병입원율(1일이상30일한도)|100000000|1|202504</t>
  </si>
  <si>
    <t>"LA02768|CLA18382|" + S5 + "|"+(Jong +"0"+F6+"0")+"|"+(Age+n)</t>
  </si>
  <si>
    <t>상급종합병원1인실질병입원율(1일이상 30일한도)|100000000|1|202504</t>
  </si>
  <si>
    <t>"LA02768|CLA18380|" + S5 + "|"+(Jong +"0"+F6+"0")+"|"+(Age+n)</t>
  </si>
  <si>
    <t>질병입원간병인지원발생률Ⅱ(요양병원제외,7만원이상,1일이상180일한도)(간병인)|100000000|1|202504</t>
  </si>
  <si>
    <t>질병입원간병인지원발생률Ⅱ(요양병원제외,7만원미만,1일이상180일한도)(간병인)|100000000|1|202504</t>
  </si>
  <si>
    <t>"LA02768|CLA15495|" + S5 + "|"+(Jong +"0"+F6+"0")+"|"+(Age+n)</t>
  </si>
  <si>
    <t>질병입원간병인지원발생률Ⅱ(요양병원,1일이상180일한도)(간병인)|100000000|1|202504</t>
  </si>
  <si>
    <t>"LA02768|CLA15496|" + S5 + "|"+(Jong +"0"+F6+"0")+"|"+(Age+n)</t>
  </si>
  <si>
    <t>질병입원 간병인지원발생률(1일이상 180일한도)(간호간병)|100000000|1|202504</t>
  </si>
  <si>
    <t>"LA02768|CLA15497|" + S5 + "|"+(Jong +"0"+F6+"0")+"|"+(Age+n)</t>
  </si>
  <si>
    <t>독감(인플루엔자)입원율(1일이상30일한도)|100000000|1|202504</t>
  </si>
  <si>
    <t>"LA02768|CLA12915|" + S5 + "|"+(Jong +"0"+F6+"0")+"|"+(Age+n)</t>
  </si>
  <si>
    <t>상급종합병원 기타피부암 및 갑상선암 이외의 암 통원율|100000000|1|202504</t>
  </si>
  <si>
    <t>상급종합병원 기타피부암 통원율|100000000|1|202504</t>
  </si>
  <si>
    <t>상급종합병원 갑상선암 통원율|100000000|1|202504</t>
  </si>
  <si>
    <t>상급종합병원 제자리암 통원율|100000000|1|202504</t>
  </si>
  <si>
    <t>상급종합병원 경계성종양 통원율|100000000|1|202504</t>
  </si>
  <si>
    <t>"LA02768|CLA12880|" + S5 + "|"+(Jong +"0"+F6+"0")+"|"+(Age+n)</t>
  </si>
  <si>
    <t>기타피부암및갑상선암이외의암통원율(연간30일한)|100000000|1|202504</t>
  </si>
  <si>
    <t>기타피부암통원율(연간30일한)|100000000|1|202504</t>
  </si>
  <si>
    <t>갑상선암 통원율(연간30일한)|100000000|1|202504</t>
  </si>
  <si>
    <t>제자리암통원율(연간30일한)|100000000|1|202504</t>
  </si>
  <si>
    <t>경계성종양통원율(연간30일한)|100000000|1|202504</t>
  </si>
  <si>
    <t>"LA02768|CLA12869|" + S5 + "|"+(Jong +"0"+F6+"0")+"|"+(Age+n)</t>
  </si>
  <si>
    <t>뇌혈관질환 통원율(연간30일한)|100000000|1|202504</t>
  </si>
  <si>
    <t>"LA02768|CLA12900|" + S5 + "|"+(Jong +"0"+F6+"0")+"|"+(Age+n)</t>
  </si>
  <si>
    <t>허혈성심장질환 통원율(연간30일한)|100000000|1|202504</t>
  </si>
  <si>
    <t>"LA02768|CLA12901|" + S5 + "|"+(Jong +"0"+F6+"0")+"|"+(Age+n)</t>
  </si>
  <si>
    <t>특정쇼크(shock)발생률(최초1회한)|100000000|1|202504</t>
  </si>
  <si>
    <t>"LA02768|CLA15877|" + S5 + "|"+(Jong +"0"+F6+"0")+"|"+(Age+n)</t>
  </si>
  <si>
    <t>특정치료후발질환발생률(특정인공삽입장치,이식및조직합병증)(최초1회한)|100000000|1|202504</t>
  </si>
  <si>
    <t>"LA02768|CLA15875|" + S5 + "|"+(Jong +"0"+F6+"0")+"|"+(Age+n)</t>
  </si>
  <si>
    <t>중증질환자(뇌혈관질환)?산정특례 등록위험률(연간1회한)|100000000|1|202504</t>
  </si>
  <si>
    <t>"LA02768|CLA12804|" + S5 + "|"+(Jong +"0"+F6+"0")+"|"+(Age+n)</t>
  </si>
  <si>
    <t>중증질환자(심장질환)?산정특례 등록위험률(연간1회한)|100000000|1|202504</t>
  </si>
  <si>
    <t>"LA02768|CLA12808|" + S5 + "|"+(Jong +"0"+F6+"0")+"|"+(Age+n)</t>
  </si>
  <si>
    <t>안면부창상봉합술치료(1일1회,3㎝이상)발생률|100000000|1|202504</t>
  </si>
  <si>
    <t>"LA02768|CLA15835|" + S5 + "|"+(Jong +"0"+F6+"0")+"|"+(Age+n)</t>
  </si>
  <si>
    <t>창상봉합술(안면부제외,1일1회,5cm이상,연간3회한)발생률|100000000|1|202504</t>
  </si>
  <si>
    <t>"LA02768|CLA12860|" + S5 + "|"+(Jong +"0"+F6+"0")+"|"+(Age+n)</t>
  </si>
  <si>
    <t>디스크질환(추간판탈출증)수술률|100000000|1|202504</t>
  </si>
  <si>
    <t>"LA02768|CLA12807|" + S5 + "|"+(Jong +"0"+F6+"0")+"|"+(Age+n)</t>
  </si>
  <si>
    <t>관절증(엉덩,무릎)수술률(이차성및상세불명제외)|100000000|1|202504</t>
  </si>
  <si>
    <t>"LA02768|CLA12818|" + S5 + "|"+(Jong +"0"+F6+"0")+"|"+(Age+n)</t>
  </si>
  <si>
    <t>인공관절치환(견관절,고관절,슬관절)수술률(연간1회한,급여)|100000000|1|202504</t>
  </si>
  <si>
    <t>"LA02768|CLA15767|" + S5 + "|"+(Jong +"0"+F6+"0")+"|"+(Age+n)</t>
  </si>
  <si>
    <t>5대장기이식발생률|100000000|1|202504</t>
  </si>
  <si>
    <t>"LA02768|CLA12828|" + S5 + "|"+(Jong +"0"+F6+"0")+"|"+(Age+n)</t>
  </si>
  <si>
    <t>각막이식수술발생률|100000000|1|202504</t>
  </si>
  <si>
    <t>"LA02768|CLA12824|" + S5 + "|"+(Jong +"0"+F6+"0")+"|"+(Age+n)</t>
  </si>
  <si>
    <t>팔,다리(손,발제외) 절골 및 체내금속고정수술률(연간1회한)|100000000|1|202504</t>
  </si>
  <si>
    <t>"LA02768|CLA15838|" + S5 + "|"+(Jong +"0"+F6+"0")+"|"+(Age+n)</t>
  </si>
  <si>
    <t>응급실내원율(응급)|100000000|1|202504</t>
  </si>
  <si>
    <t>"LA02768|CLA12825|" + S5 + "|"+(Jong +"0"+F6+"0")+"|"+(Age+n)</t>
  </si>
  <si>
    <t>깁스치료발생률|100000000|1|202504</t>
  </si>
  <si>
    <t>"LA02768|CLA12787|" + S5 + "|"+(Jong +"0"+F6+"0")+"|"+(Age+n)</t>
  </si>
  <si>
    <t>"LA02768|CLA15797|" + S5 + "|"+(Jong +"0"+F6+"0")+"|"+(Age+n)</t>
  </si>
  <si>
    <t>"LA02768|CLA15840|" + S5 + "|"+(Jong +"0"+F6+"0")+"|"+(Age+n)</t>
  </si>
  <si>
    <t>"LA02768|CLA15841|" + S5 + "|"+(Jong +"0"+F6+"0")+"|"+n</t>
  </si>
  <si>
    <t>"LA02768|CLA15843|" + S5 + "|"+(Jong +"0"+F6+"0")+"|"+n</t>
  </si>
  <si>
    <t>"LA02768|CLA15842|" + S5 + "|"+(Jong +"0"+F6+"0")+"|"+n</t>
  </si>
  <si>
    <t>"LA02768|CLA12988|" + S5 + "|"+(Jong +"0"+F6+"0")+"|"+n</t>
  </si>
  <si>
    <t>CLA12842</t>
  </si>
  <si>
    <t>If(Jong=1 or Jong=3, k2* (1-(q1*q2*q26*S(3)-q3*q4*q26*S(3))), (1-q1*q2*q26*S(3)) ) * (1-w)</t>
  </si>
  <si>
    <t>(1-q1*q2*q26*S(3))*(1-w)</t>
  </si>
  <si>
    <t>D(0.5)*q1*q2*q26*S(3)*(1-W/2)</t>
  </si>
  <si>
    <t>뇌혈관질환 최초수술비율|100000000|0|201709</t>
  </si>
  <si>
    <t>뇌졸중 최초수술비율|100000000|0|201903</t>
  </si>
  <si>
    <t>"LA02768|CLA12842|" + S5 + "|"+(Jong +"0"+F6+"0")+"|"+(Age+n)</t>
  </si>
  <si>
    <t>CLA12917</t>
  </si>
  <si>
    <t>상급종합병원일반상해입원율(1일이상180일한도)|110000000|1|202504</t>
  </si>
  <si>
    <t>"LA02768|CLA12917|" + S5 + "|"+(Jong +"0"+F6+"0")+"|"+(Age+n)</t>
  </si>
  <si>
    <t>CLA13057</t>
  </si>
  <si>
    <t>D(0.75)*q1*q26*(1-w/2)*S(3)+0.2*(q2*q26*(1-w/2)*S(3))+0.1*(q3*q26*(1-w/2)*S(3)+q4*q26*(1-w/2)*S(3)+q5*q26*(1-w/2)*S(3))</t>
  </si>
  <si>
    <t>기타피부암및갑상선암이외의암입원율(요양병원제외,1일이상180일한도)|100000000|1|202504</t>
  </si>
  <si>
    <t>갑상선암입원율(요양병원제외,1일이상180일한도)|100000000|1|202504</t>
  </si>
  <si>
    <t>기타피부암입원율(요양병원제외,1일이상180일한도)|100000000|1|202504</t>
  </si>
  <si>
    <t>제자리암입원율(요양병원제외,1일이상180일한도)|100000000|1|202504</t>
  </si>
  <si>
    <t>경계성종양입원율(요양병원제외,1일이상180일한도)|100000000|1|202504</t>
  </si>
  <si>
    <t>고지건강체(암입원조정계수)|100001000|1|202401</t>
  </si>
  <si>
    <t>"LA02768|CLA13057|" + S5 + "|"+(Jong +"0"+F6+"0")+"|"+(Age+n)</t>
  </si>
  <si>
    <t>CLA13058</t>
  </si>
  <si>
    <t>기타피부암및갑상선암이외의암요양병원입원율(1일이상90일한도)|100000000|1|202504</t>
  </si>
  <si>
    <t>갑상선암요양병원입원율(1일이상90일한도)|100000000|1|202504</t>
  </si>
  <si>
    <t>기타피부암요양병원입원율(1일이상90일한도)|100000000|1|202504</t>
  </si>
  <si>
    <t>제자리암요양병원입원율(1일이상90일한도)|100000000|1|202504</t>
  </si>
  <si>
    <t>경계성종양요양병원입원율(1일이상90일한도)|100000000|1|202504</t>
  </si>
  <si>
    <t>"LA02768|CLA13058|" + S5 + "|"+(Jong +"0"+F6+"0")+"|"+(Age+n)</t>
  </si>
  <si>
    <t>CLA12706</t>
  </si>
  <si>
    <t>급성심근경색증진단비(갱신형)</t>
  </si>
  <si>
    <t>"LA02768|CLA12706|" + 0 + "|"+(Jong +"0"+F6+"0")+"|"+If(S1=0,n,0)</t>
  </si>
  <si>
    <t>CLA15408</t>
  </si>
  <si>
    <t>If(Jong=1 or Jong=3, k2, (1-q1*q26*S(3)) ) * (1-w)</t>
  </si>
  <si>
    <t>D(0.375)*q1*q26*S(3)*(1-w/2)</t>
  </si>
  <si>
    <t>특정항암호르몬약물허가치료 발생률(기타피부암 및 갑상선암 이외의 암)(최초1회한)|100000000|1|202504</t>
  </si>
  <si>
    <t>"LA02768|CLA15408|" + S5 + "|"+(Jong +"0"+F6+"0")+"|"+(Age+n)</t>
  </si>
  <si>
    <t>CLA12861</t>
  </si>
  <si>
    <t>암(4대유사암제외)특정항암호르몬약물허가치료비(1회한)(갱신형)</t>
  </si>
  <si>
    <t>"LA02768|CLA12861|" + 0 + "|"+(Jong +"0"+F6+"0")+"|"+If(S1=0,n,0)</t>
  </si>
  <si>
    <t>CLA20527</t>
  </si>
  <si>
    <t>(0.5*q1*q26*S(3)+q2*q26*S(3))*(1-w/2)</t>
  </si>
  <si>
    <t>상해및질병입원 간병인지원발생률Ⅲ(요양병원제외, 공동간병인 포함, 7만원미만, 연간 180일한도)(간병인)|100000000|1|202504</t>
  </si>
  <si>
    <t>상해및질병입원 간병인지원발생률Ⅲ(요양병원제외, 공동간병인 포함, 7만원이상, 연간 180일한도)(간병인)|100000000|1|202504</t>
  </si>
  <si>
    <t>고지건강체(상해질병입원조정계수)|100001000|1|202401</t>
  </si>
  <si>
    <t>"LA02768|CLA20527|" + S5 + "|"+(Jong +"0"+F6+"0")+"|"+(Age+n)</t>
  </si>
  <si>
    <t>CLA20528</t>
  </si>
  <si>
    <t>상해및질병입원 간병인지원발생률Ⅲ(요양병원, 공동간병인 포함, 연간 180일한도)(간병인)|100000000|1|202504</t>
  </si>
  <si>
    <t>"LA02768|CLA20528|" + S5 + "|"+(Jong +"0"+F6+"0")+"|"+(Age+n)</t>
  </si>
  <si>
    <t>CLA22771</t>
  </si>
  <si>
    <t>상해및질병입원 간병인지원발생률Ⅲ(연간 180일한도)(간호간병)|100000000|1|202504</t>
  </si>
  <si>
    <t>"LA02768|CLA22771|" + S5 + "|"+(Jong +"0"+F6+"0")+"|"+(Age+n)</t>
  </si>
  <si>
    <t>CLA21302</t>
  </si>
  <si>
    <t>(0.05*q1+0.1*q2+0.1*q3+0.1*q4+0.15*q5+0.25*q6+0.25*q7)*q26*(1-w/2)*S(3)</t>
  </si>
  <si>
    <t>상해및질병입원 간병인사용비용 발생률(요양병원제외, 연간 200만원 이상)|100000000|1|202504</t>
  </si>
  <si>
    <t>상해및질병입원 간병인사용비용 발생률(요양병원제외, 연간 300만원 이상)|100000000|1|202504</t>
  </si>
  <si>
    <t>상해및질병입원 간병인사용비용 발생률(요양병원제외, 연간 500만원 이상)|100000000|1|202504</t>
  </si>
  <si>
    <t>상해및질병입원 간병인사용비용 발생률(요양병원제외, 연간 700만원 이상)|100000000|1|202504</t>
  </si>
  <si>
    <t>상해및질병입원 간병인사용비용 발생률(요양병원제외, 연간 1000만원 이상)|100000000|1|202504</t>
  </si>
  <si>
    <t>상해및질병입원 간병인사용비용 발생률(요양병원제외, 연간 1500만원 이상)|100000000|1|202504</t>
  </si>
  <si>
    <t>상해및질병입원 간병인사용비용 발생률(요양병원제외, 연간 2000만원 이상)|100000000|1|202504</t>
  </si>
  <si>
    <t>"LA02768|CLA21302|" + S5 + "|"+(Jong +"0"+F6+"0")+"|"+(Age+n)</t>
  </si>
  <si>
    <t>CLA21525</t>
  </si>
  <si>
    <t>상해및질병입원 간병인사용비용 발생률(요양병원, 연간 200만원 이상)|100000000|1|202504</t>
  </si>
  <si>
    <t>상해및질병입원 간병인사용비용 발생률(요양병원, 연간 300만원 이상)|100000000|1|202504</t>
  </si>
  <si>
    <t>상해및질병입원 간병인사용비용 발생률(요양병원, 연간 500만원 이상)|100000000|1|202504</t>
  </si>
  <si>
    <t>상해및질병입원 간병인사용비용 발생률(요양병원, 연간 700만원 이상)|100000000|1|202504</t>
  </si>
  <si>
    <t>상해및질병입원 간병인사용비용 발생률(요양병원, 연간 1000만원 이상)|100000000|1|202504</t>
  </si>
  <si>
    <t>상해및질병입원 간병인사용비용 발생률(요양병원, 연간 1500만원 이상)|100000000|1|202504</t>
  </si>
  <si>
    <t>상해및질병입원 간병인사용비용 발생률(요양병원, 연간 2000만원 이상)|100000000|1|202504</t>
  </si>
  <si>
    <t>"LA02768|CLA21525|" + S5 + "|"+(Jong +"0"+F6+"0")+"|"+(Age+n)</t>
  </si>
  <si>
    <t>CLA20624</t>
  </si>
  <si>
    <t>종합병원2-3인실상해입원율(1일이상 30일한도)|110000000|1|202504</t>
  </si>
  <si>
    <t>"LA02768|CLA20624|" + S5 + "|"+(Jong +"0"+F6+"0")+"|"+(Age+n)</t>
  </si>
  <si>
    <t>CLA20625</t>
  </si>
  <si>
    <t>종합병원2-3인실질병입원율(1일이상 30일한도)|100000000|1|202504</t>
  </si>
  <si>
    <t>"LA02768|CLA20625|" + S5 + "|"+(Jong +"0"+F6+"0")+"|"+(Age+n)</t>
  </si>
  <si>
    <t>CLA20626</t>
  </si>
  <si>
    <t>상급종합병원2-3인실상해입원율(1일이상 30일한도)|110000000|1|202504</t>
  </si>
  <si>
    <t>"LA02768|CLA20626|" + S5 + "|"+(Jong +"0"+F6+"0")+"|"+(Age+n)</t>
  </si>
  <si>
    <t>CLA20627</t>
  </si>
  <si>
    <t>상급종합병원2-3인실질병입원율(1일이상 30일한도)|100000000|1|202504</t>
  </si>
  <si>
    <t>"LA02768|CLA20627|" + S5 + "|"+(Jong +"0"+F6+"0")+"|"+(Age+n)</t>
  </si>
  <si>
    <t>CLA19347</t>
  </si>
  <si>
    <t>종합병원 상해수술률|100000000|1|202504</t>
  </si>
  <si>
    <t>"LA02768|CLA19347|" + S5 + "|"+(Jong +"0"+F6+"0")+"|"+(Age+n)</t>
  </si>
  <si>
    <t>CLA06202</t>
  </si>
  <si>
    <t>상해수술률(상급종합병원)|100000000|1|202504</t>
  </si>
  <si>
    <t>"LA02768|CLA06202|" + S5 + "|"+(Jong +"0"+F6+"0")+"|"+(Age+n)</t>
  </si>
  <si>
    <t>CLA19402</t>
  </si>
  <si>
    <t>종합병원 질병수술률|100000000|1|202504</t>
  </si>
  <si>
    <t>"LA02768|CLA19402|" + S5 + "|"+(Jong +"0"+F6+"0")+"|"+(Age+n)</t>
  </si>
  <si>
    <t>CLA06204</t>
  </si>
  <si>
    <t>질병수술률(상급종합병원)|100000000|1|202504</t>
  </si>
  <si>
    <t>"LA02768|CLA06204|" + S5 + "|"+(Jong +"0"+F6+"0")+"|"+(Age+n)</t>
  </si>
  <si>
    <t>CLA20638</t>
  </si>
  <si>
    <t>상급종합병원 질병수술률(특정9대질병제외)|100000000|1|202504</t>
  </si>
  <si>
    <t>"LA02768|CLA20638|" + S5 + "|"+(Jong +"0"+F6+"0")+"|"+(Age+n)</t>
  </si>
  <si>
    <t>CLA19407</t>
  </si>
  <si>
    <t>종합병원 질병수술률(수술1회당)|100000000|1|202504</t>
  </si>
  <si>
    <t>"LA02768|CLA19407|" + S5 + "|"+(Jong +"0"+F6+"0")+"|"+(Age+n)</t>
  </si>
  <si>
    <t>CLA19408</t>
  </si>
  <si>
    <t>상급종합병원 질병수술률(수술1회당)|100000000|1|202504</t>
  </si>
  <si>
    <t>"LA02768|CLA19408|" + S5 + "|"+(Jong +"0"+F6+"0")+"|"+(Age+n)</t>
  </si>
  <si>
    <t>CLA20649</t>
  </si>
  <si>
    <t>뇌혈관질환및특정양성뇌종양스텐트삽입술및풍선혈관성형수술률(연간1회한,급여)|100000000|1|202504</t>
  </si>
  <si>
    <t>심장질환스텐트삽입술및풍선혈관성형수술률(연간1회한,급여)|100000000|1|202504</t>
  </si>
  <si>
    <t>"LA02768|CLA20649|" + S5 + "|"+(Jong +"0"+F6+"0")+"|"+(Age+n)</t>
  </si>
  <si>
    <t>CLA20650</t>
  </si>
  <si>
    <t>뇌졸중혈전용해치료발생률(연간1회한)|100000000|1|202504</t>
  </si>
  <si>
    <t>"LA02768|CLA20650|" + S5 + "|"+(Jong +"0"+F6+"0")+"|"+(Age+n)</t>
  </si>
  <si>
    <t>CLA20652</t>
  </si>
  <si>
    <t>(1-q1*q26*S(3))*(1-w)</t>
  </si>
  <si>
    <t>뇌졸중혈전용해치료발생률(최초1회한)|100000000|1|202504</t>
  </si>
  <si>
    <t>"LA02768|CLA20652|" + S5 + "|"+(Jong +"0"+F6+"0")+"|"+(Age+n)</t>
  </si>
  <si>
    <t>CLA21521</t>
  </si>
  <si>
    <t>급성심근경색증혈전용해치료발생률(연간1회한)|100000000|1|202504</t>
  </si>
  <si>
    <t>"LA02768|CLA21521|" + S5 + "|"+(Jong +"0"+F6+"0")+"|"+(Age+n)</t>
  </si>
  <si>
    <t>CLA20654</t>
  </si>
  <si>
    <t>(q1*q26+q2*q27)*(1-w/2)*S(3)*D(0.5)</t>
  </si>
  <si>
    <t>뇌졸중혈전제거술발생률(연간1회한,급여)|100000000|1|202504</t>
  </si>
  <si>
    <t>특정심장질환혈전제거술발생률(연간1회한,급여)|100000000|1|202504</t>
  </si>
  <si>
    <t>"LA02768|CLA20654|" + S5 + "|"+(Jong +"0"+F6+"0")+"|"+(Age+n)</t>
  </si>
  <si>
    <t>CLA20657</t>
  </si>
  <si>
    <t>상해MRI 이용률(연간1회한,급여)|100000000|1|202504</t>
  </si>
  <si>
    <t>"LA02768|CLA20657|" + S5 + "|"+(Jong +"0"+F6+"0")+"|"+(Age+n)</t>
  </si>
  <si>
    <t>CLA20658</t>
  </si>
  <si>
    <t>상해CT 이용률(연간1회한,급여)|100000000|1|202504</t>
  </si>
  <si>
    <t>"LA02768|CLA20658|" + S5 + "|"+(Jong +"0"+F6+"0")+"|"+(Age+n)</t>
  </si>
  <si>
    <t>CLA20659</t>
  </si>
  <si>
    <t>질병MRI 이용률(연간1회한,급여)|100000000|1|202504</t>
  </si>
  <si>
    <t>"LA02768|CLA20659|" + S5 + "|"+(Jong +"0"+F6+"0")+"|"+(Age+n)</t>
  </si>
  <si>
    <t>CLA20660</t>
  </si>
  <si>
    <t>질병CT 이용률(연간1회한,급여)|100000000|1|202504</t>
  </si>
  <si>
    <t>"LA02768|CLA20660|" + S5 + "|"+(Jong +"0"+F6+"0")+"|"+(Age+n)</t>
  </si>
  <si>
    <t>CLA20276</t>
  </si>
  <si>
    <t>D(0.75)*q1*(1-w/2)*q22*S(3)*k1</t>
  </si>
  <si>
    <t>Ax("CLA20351", Age+t, 10)</t>
  </si>
  <si>
    <t>"LA02768|CLA20276|" + S5 + "|"+(Jong +"0"+F6+"0")+"|"+(Age+n)</t>
  </si>
  <si>
    <t>CLA20277</t>
  </si>
  <si>
    <t>If(Jong=1 or Jong=3, k2, (1-(q2+q3)*q22*S(3))) * (1-w)</t>
  </si>
  <si>
    <t>If(t&lt;m,0, 0.5*(W(t)+W(t+1))/2*(1-((q2+q3)*q22*S(3))/2)*w)</t>
  </si>
  <si>
    <t>If(t&lt;m,0, 0.5*(V(t)+V(t+1))/2*(1-((q2+q3)*q22*S(3))/2)*w)</t>
  </si>
  <si>
    <t>Ax("CLA20352", Age+t, 10)</t>
  </si>
  <si>
    <t>"LA02768|CLA20277|" + S5 + "|"+(Jong +"0"+F6+"0")+"|"+(Age+n)</t>
  </si>
  <si>
    <t>CLA20351</t>
  </si>
  <si>
    <t>q1/FindQ(11,Age)</t>
  </si>
  <si>
    <t>암(기타피부암 및 갑상선암 제외) 진단 후 암직접치료 발생률(진단후10년, 연간1회한)|100010000|2|202408</t>
  </si>
  <si>
    <t>1|000000000|1|202504</t>
  </si>
  <si>
    <t>"LA02768|CLA20351|" + S5 + "|"+(Jong +"0"+F6+"0")+"|"+(Age+n)</t>
  </si>
  <si>
    <t>CLA20352</t>
  </si>
  <si>
    <t>q1/(FindQ(2,Age)+FindQ(3,Age))</t>
  </si>
  <si>
    <t>갑상선암 및 기타피부암 진단 후 암직접치료 발생률(진단후10년, 연간1회한)|100010000|2|202408</t>
  </si>
  <si>
    <t>"LA02768|CLA20352|" + S5 + "|"+(Jong +"0"+F6+"0")+"|"+(Age+n)</t>
  </si>
  <si>
    <t>CLA04290</t>
  </si>
  <si>
    <t>CLA20493</t>
  </si>
  <si>
    <t>D(0.75)*q1*q26*(1-w/2)*S(3)</t>
  </si>
  <si>
    <t>항암방사선치료 발생률(일부본인부담급여, 기타피부암 및 갑상선암 이외의 암,연간1회한)|100000000|1|202504</t>
  </si>
  <si>
    <t>"LA02768|CLA20493|" + S5 + "|"+(Jong +"0"+F6+"0")+"|"+(Age+n)</t>
  </si>
  <si>
    <t>CLA20494</t>
  </si>
  <si>
    <t>항암방사선치료 발생률(비급여및전액본인부담급여, 기타피부암 및 갑상선암 이외의 암,연간1회한)|100000000|1|202504</t>
  </si>
  <si>
    <t>"LA02768|CLA20494|" + S5 + "|"+(Jong +"0"+F6+"0")+"|"+(Age+n)</t>
  </si>
  <si>
    <t>CLA20495</t>
  </si>
  <si>
    <t>항암방사선치료 발생률(일부본인부담급여, 기타피부암 및 갑상선암,연간1회한)|100000000|1|202504</t>
  </si>
  <si>
    <t>"LA02768|CLA20495|" + S5 + "|"+(Jong +"0"+F6+"0")+"|"+(Age+n)</t>
  </si>
  <si>
    <t>CLA20496</t>
  </si>
  <si>
    <t>항암방사선치료 발생률(비급여및전액본인부담급여, 기타피부암 및 갑상선암,연간1회한)|100000000|1|202504</t>
  </si>
  <si>
    <t>"LA02768|CLA20496|" + S5 + "|"+(Jong +"0"+F6+"0")+"|"+(Age+n)</t>
  </si>
  <si>
    <t>CLA20497</t>
  </si>
  <si>
    <t>항암약물치료 발생률(일부본인부담급여, 기타피부암 및 갑상선암 이외의 암,연간1회한)|100000000|1|202504</t>
  </si>
  <si>
    <t>"LA02768|CLA20497|" + S5 + "|"+(Jong +"0"+F6+"0")+"|"+(Age+n)</t>
  </si>
  <si>
    <t>CLA20498</t>
  </si>
  <si>
    <t>항암약물치료 발생률(비급여및전액본인부담급여, 기타피부암 및 갑상선암 이외의 암,연간1회한)|100000000|1|202504</t>
  </si>
  <si>
    <t>"LA02768|CLA20498|" + S5 + "|"+(Jong +"0"+F6+"0")+"|"+(Age+n)</t>
  </si>
  <si>
    <t>CLA20499</t>
  </si>
  <si>
    <t>항암약물치료 발생률(일부본인부담급여, 기타피부암 및 갑상선암,연간1회한)|100000000|1|202504</t>
  </si>
  <si>
    <t>"LA02768|CLA20499|" + S5 + "|"+(Jong +"0"+F6+"0")+"|"+(Age+n)</t>
  </si>
  <si>
    <t>CLA20500</t>
  </si>
  <si>
    <t>항암약물치료 발생률(비급여및전액본인부담급여, 기타피부암 및 갑상선암,연간1회한)|100000000|1|202504</t>
  </si>
  <si>
    <t>"LA02768|CLA20500|" + S5 + "|"+(Jong +"0"+F6+"0")+"|"+(Age+n)</t>
  </si>
  <si>
    <t>CLA04302</t>
  </si>
  <si>
    <t>암(특정유사암포함)항암방사선약물치료비Ⅱ(세부보장별연간1회한)(갱신형)</t>
  </si>
  <si>
    <t>"LA02768|CLA04302|" + 0 + "|"+(Jong +"0"+F6+"0")+"|"+If(S1=0,n,0)</t>
  </si>
  <si>
    <t>CLA20661</t>
  </si>
  <si>
    <t>암(4대유사암제외)항암방사선치료비(일부본인부담급여,연간1회한)(갱신형)</t>
  </si>
  <si>
    <t>"LA02768|CLA20661|" + 0 + "|"+(Jong +"0"+F6+"0")+"|"+If(S1=0,n,0)</t>
  </si>
  <si>
    <t>CLA20662</t>
  </si>
  <si>
    <t>암(4대유사암제외)항암방사선치료비(비급여및전액본인부담급여,연간1회한)(갱신형)</t>
  </si>
  <si>
    <t>"LA02768|CLA20662|" + 0 + "|"+(Jong +"0"+F6+"0")+"|"+If(S1=0,n,0)</t>
  </si>
  <si>
    <t>CLA20671</t>
  </si>
  <si>
    <t>특정유사암항암방사선치료비(일부본인부담급여,연간1회한)(갱신형)</t>
  </si>
  <si>
    <t>"LA02768|CLA20671|" + 0 + "|"+(Jong +"0"+F6+"0")+"|"+If(S1=0,n,0)</t>
  </si>
  <si>
    <t>CLA20672</t>
  </si>
  <si>
    <t>특정유사암항암방사선치료비(비급여및전액본인부담급여,연간1회한)(갱신형)</t>
  </si>
  <si>
    <t>"LA02768|CLA20672|" + 0 + "|"+(Jong +"0"+F6+"0")+"|"+If(S1=0,n,0)</t>
  </si>
  <si>
    <t>CLA20665</t>
  </si>
  <si>
    <t>암(4대유사암제외)항암약물치료비(일부본인부담급여,연간1회한)(갱신형)</t>
  </si>
  <si>
    <t>"LA02768|CLA20665|" + 0 + "|"+(Jong +"0"+F6+"0")+"|"+If(S1=0,n,0)</t>
  </si>
  <si>
    <t>CLA20666</t>
  </si>
  <si>
    <t>암(4대유사암제외)항암약물치료비(비급여및전액본인부담급여,연간1회한)(갱신형)</t>
  </si>
  <si>
    <t>"LA02768|CLA20666|" + 0 + "|"+(Jong +"0"+F6+"0")+"|"+If(S1=0,n,0)</t>
  </si>
  <si>
    <t>CLA20675</t>
  </si>
  <si>
    <t>특정유사암항암약물치료비(일부본인부담급여,연간1회한)(갱신형)</t>
  </si>
  <si>
    <t>"LA02768|CLA20675|" + 0 + "|"+(Jong +"0"+F6+"0")+"|"+If(S1=0,n,0)</t>
  </si>
  <si>
    <t>CLA20676</t>
  </si>
  <si>
    <t>특정유사암항암약물치료비(비급여및전액본인부담급여,연간1회한)(갱신형)</t>
  </si>
  <si>
    <t>"LA02768|CLA20676|" + 0 + "|"+(Jong +"0"+F6+"0")+"|"+If(S1=0,n,0)</t>
  </si>
  <si>
    <t>CLA04291</t>
  </si>
  <si>
    <t>"LA02768|CLA04291|" + S5 + "|"+(Jong +"0"+F6+"0")+"|"+(Age+n)</t>
  </si>
  <si>
    <t>CLA20501</t>
  </si>
  <si>
    <t>If(Jong=1 or Jong=3, k2,(1-q1*q26*S(3))) * (1-w)</t>
  </si>
  <si>
    <t>항암방사선치료 발생률(일부본인부담급여, 기타피부암 및 갑상선암 이외의 암,1회한)|100000000|1|202504</t>
  </si>
  <si>
    <t>"LA02768|CLA20501|" + S5 + "|"+(Jong +"0"+F6+"0")+"|"+(Age+n)</t>
  </si>
  <si>
    <t>CLA20502</t>
  </si>
  <si>
    <t>항암방사선치료 발생률(비급여및전액본인부담급여, 기타피부암 및 갑상선암 이외의 암,1회한)|100000000|1|202504</t>
  </si>
  <si>
    <t>"LA02768|CLA20502|" + S5 + "|"+(Jong +"0"+F6+"0")+"|"+(Age+n)</t>
  </si>
  <si>
    <t>CLA20503</t>
  </si>
  <si>
    <t>항암방사선치료 발생률(일부본인부담급여, 기타피부암 및 갑상선암,1회한)|100000000|1|202504</t>
  </si>
  <si>
    <t>(1-D(0.75)*q18*S(3)*q22*r1-q1*q26*S(3)) * ( (1-q11*q21*r1) * (1-q12*S(3)*q21*r1) * (1-q13*S(3)*q23*r1) * (1-q14*S(3)*q24*r1) * (1-q15*S(3)*q25*r1) * (1-q16*S(3)*q25*r1) * (1-q17*S(3)*q25*r1) )</t>
  </si>
  <si>
    <t>"LA02768|CLA20503|" + S5 + "|"+(Jong +"0"+F6+"0")+"|"+(Age+n)</t>
  </si>
  <si>
    <t>CLA20504</t>
  </si>
  <si>
    <t>항암방사선치료 발생률(비급여및전액본인부담급여, 기타피부암 및 갑상선암,1회한)|100000000|1|202504</t>
  </si>
  <si>
    <t>"LA02768|CLA20504|" + S5 + "|"+(Jong +"0"+F6+"0")+"|"+(Age+n)</t>
  </si>
  <si>
    <t>CLA20505</t>
  </si>
  <si>
    <t>항암약물치료 발생률(일부본인부담급여, 기타피부암 및 갑상선암 이외의 암,1회한)|100000000|1|202504</t>
  </si>
  <si>
    <t>"LA02768|CLA20505|" + S5 + "|"+(Jong +"0"+F6+"0")+"|"+(Age+n)</t>
  </si>
  <si>
    <t>CLA20506</t>
  </si>
  <si>
    <t>항암약물치료 발생률(비급여및전액본인부담급여, 기타피부암 및 갑상선암 이외의 암,1회한)|100000000|1|202504</t>
  </si>
  <si>
    <t>"LA02768|CLA20506|" + S5 + "|"+(Jong +"0"+F6+"0")+"|"+(Age+n)</t>
  </si>
  <si>
    <t>CLA20507</t>
  </si>
  <si>
    <t>항암약물치료 발생률(일부본인부담급여, 기타피부암 및 갑상선암,1회한)|100000000|1|202504</t>
  </si>
  <si>
    <t>"LA02768|CLA20507|" + S5 + "|"+(Jong +"0"+F6+"0")+"|"+(Age+n)</t>
  </si>
  <si>
    <t>CLA20508</t>
  </si>
  <si>
    <t>항암약물치료 발생률(비급여및전액본인부담급여, 기타피부암 및 갑상선암,1회한)|100000000|1|202504</t>
  </si>
  <si>
    <t>"LA02768|CLA20508|" + S5 + "|"+(Jong +"0"+F6+"0")+"|"+(Age+n)</t>
  </si>
  <si>
    <t>CLA20525</t>
  </si>
  <si>
    <t>특정항암호르몬약물허가치료 발생률(기타피부암 및 갑상선암 이외의 암)(연간1회한)|100000000|1|202504</t>
  </si>
  <si>
    <t>"LA02768|CLA20525|" + S5 + "|"+(Jong +"0"+F6+"0")+"|"+(Age+n)</t>
  </si>
  <si>
    <t>CLA20693</t>
  </si>
  <si>
    <t>암(4대유사암제외)특정항암호르몬약물허가치료비(연간1회한)(갱신형)</t>
  </si>
  <si>
    <t>"LA02768|CLA20693|" + 0 + "|"+(Jong +"0"+F6+"0")+"|"+If(S1=0,n,0)</t>
  </si>
  <si>
    <t>CLA20530</t>
  </si>
  <si>
    <t>상해및질병입원율(연간180일한도)|100000000|1|202504</t>
  </si>
  <si>
    <t>"LA02768|CLA20530|" + S5 + "|"+(Jong +"0"+F6+"0")+"|"+(Age+n)</t>
  </si>
  <si>
    <t>CLA22040</t>
  </si>
  <si>
    <t>종합병원 상해및질병입원율(연간180일한도)|100000000|1|202504</t>
  </si>
  <si>
    <t>"LA02768|CLA22040|" + S5 + "|"+(Jong +"0"+F6+"0")+"|"+(Age+n)</t>
  </si>
  <si>
    <t>CLA21943</t>
  </si>
  <si>
    <t>상급종합병원 상해및질병입원율(연간180일한도)|100000000|1|202504</t>
  </si>
  <si>
    <t>"LA02768|CLA21943|" + S5 + "|"+(Jong +"0"+F6+"0")+"|"+(Age+n)</t>
  </si>
  <si>
    <t>CLA21944</t>
  </si>
  <si>
    <t>(q1+0.5*q2)*q26*(1-w/2)</t>
  </si>
  <si>
    <t>종합병원 1인실 상해및질병입원율(연간30일한도)|100000000|1|202504</t>
  </si>
  <si>
    <t>종합병원 2-3인실 상해및질병입원율(연간30일한도)|100000000|1|202504</t>
  </si>
  <si>
    <t>"LA02768|CLA21944|" + S5 + "|"+(Jong +"0"+F6+"0")+"|"+(Age+n)</t>
  </si>
  <si>
    <t>CLA21945</t>
  </si>
  <si>
    <t>상급종합병원 1인실 상해및질병입원율(연간30일한도)|100000000|1|202504</t>
  </si>
  <si>
    <t>상급종합병원 2-3인실 상해및질병입원율(연간30일한도)|100000000|1|202504</t>
  </si>
  <si>
    <t>"LA02768|CLA21945|" + S5 + "|"+(Jong +"0"+F6+"0")+"|"+(Age+n)</t>
  </si>
  <si>
    <t>CLA20844</t>
  </si>
  <si>
    <t>뇌혈관질환 후유장해 지급률(3-100%)|100000000|1|202504</t>
  </si>
  <si>
    <t>"LA02768|CLA20844|" + S5 + "|"+(Jong +"0"+F6+"0")+"|"+(Age+n)</t>
  </si>
  <si>
    <t>CLA20634</t>
  </si>
  <si>
    <t>종합병원 질병수술률(특정9대질병제외)|100000000|1|202504</t>
  </si>
  <si>
    <t>"LA02768|CLA20634|" + S5 + "|"+(Jong +"0"+F6+"0")+"|"+(Age+n)</t>
  </si>
  <si>
    <t>CLA22316</t>
  </si>
  <si>
    <t>상해및질병입원율(요양,정신,한방병원제외,연간181일이상365일한도)|100000000|1|202504</t>
  </si>
  <si>
    <t>"LA02768|CLA22316|" + S5 + "|"+(Jong +"0"+F6+"0")+"|"+(Age+n)</t>
  </si>
  <si>
    <t>CLA22320</t>
  </si>
  <si>
    <t>종합병원 상해및질병입원율(연간181일이상365일한도)|100000000|1|202504</t>
  </si>
  <si>
    <t>"LA02768|CLA22320|" + S5 + "|"+(Jong +"0"+F6+"0")+"|"+(Age+n)</t>
  </si>
  <si>
    <t>CLA22398</t>
  </si>
  <si>
    <t>상해및질병입원 간병인지원발생률Ⅲ(연간 181일이상365일한도)(간호간병)|100000000|1|202504</t>
  </si>
  <si>
    <t>"LA02768|CLA22398|" + S5 + "|"+(Jong +"0"+F6+"0")+"|"+(Age+n)</t>
  </si>
  <si>
    <t>CLA22336</t>
  </si>
  <si>
    <t>(0.5*q1+q2)*q26*(1-w/2)*S(3)</t>
  </si>
  <si>
    <t>상해및질병입원 간병인지원발생률Ⅲ(요양,정신,한방병원제외, 공동간병인 포함, 7만원미만, 연간 181일이상365일한도)(간병인)|100000000|1|202504</t>
  </si>
  <si>
    <t>상해및질병입원 간병인지원발생률Ⅲ(요양,정신,한방병원제외, 공동간병인 포함, 7만원이상, 연간 181일이상365일한도)(간병인)|100000000|1|202504</t>
  </si>
  <si>
    <t>"LA02768|CLA22336|" + S5 + "|"+(Jong +"0"+F6+"0")+"|"+(Age+n)</t>
  </si>
  <si>
    <t>CLA22394</t>
  </si>
  <si>
    <t>상해및질병입원 간병인지원발생률Ⅲ(요양병원, 공동간병인 포함, 연간 181일이상365일한도)(간병인)|100000000|1|202504</t>
  </si>
  <si>
    <t>"LA02768|CLA22394|" + S5 + "|"+(Jong +"0"+F6+"0")+"|"+(Age+n)</t>
  </si>
  <si>
    <t>CLA22402</t>
  </si>
  <si>
    <t>상해및질병입원 간병인지원발생률Ⅲ(요양,정신,한방병원제외, 연간 181일이상365일한도)(간병인)|100000000|1|202504</t>
  </si>
  <si>
    <t>"LA02768|CLA22402|" + S5 + "|"+(Jong +"0"+F6+"0")+"|"+(Age+n)</t>
  </si>
  <si>
    <t>CLA22406</t>
  </si>
  <si>
    <t>상해및질병입원 간병인지원발생률Ⅲ(요양병원, 연간 181일이상365일초과한도)(간병인)|100000000|1|202504</t>
  </si>
  <si>
    <t>"LA02768|CLA22406|" + S5 + "|"+(Jong +"0"+F6+"0")+"|"+(Age+n)</t>
  </si>
  <si>
    <t>CLA22418</t>
  </si>
  <si>
    <t>상해및질병입원 간병인지원발생률Ⅲ(요양병원, 연간 180일한도)(간병인)|100000000|1|202504</t>
  </si>
  <si>
    <t>"LA02768|CLA22418|" + S5 + "|"+(Jong +"0"+F6+"0")+"|"+(Age+n)</t>
  </si>
  <si>
    <t>CLA22414</t>
  </si>
  <si>
    <t>상해및질병입원 간병인지원발생률Ⅲ(요양병원제외, 연간 180일한도)(간병인)|100000000|1|202504</t>
  </si>
  <si>
    <t>"LA02768|CLA22414|" + S5 + "|"+(Jong +"0"+F6+"0")+"|"+(Age+n)</t>
  </si>
  <si>
    <t>CLA22787</t>
  </si>
  <si>
    <t>질병수술률(특정2대경증질병제외)|100000000|1|202504</t>
  </si>
  <si>
    <t>"LA02768|CLA22787|" + S5 + "|"+(Jong +"0"+F6+"0")+"|"+(Age+n)</t>
  </si>
  <si>
    <t>CLA22788</t>
  </si>
  <si>
    <t>질병수술률(특정2대경증질병제외)(수술1회당)|100000000|1|202504</t>
  </si>
  <si>
    <t>"LA02768|CLA22788|" + S5 + "|"+(Jong +"0"+F6+"0")+"|"+(Age+n)</t>
  </si>
  <si>
    <t>CLA22804</t>
  </si>
  <si>
    <t>상해수술률(치아파절및치아탈구제외)|100000000|1|202504</t>
  </si>
  <si>
    <t>"LA02768|CLA22804|" + S5 + "|"+(Jong +"0"+F6+"0")+"|"+(Age+n)</t>
  </si>
  <si>
    <t>CLA22863</t>
  </si>
  <si>
    <t>질병수술률(특정10대질병제외)|100000000|1|202504</t>
  </si>
  <si>
    <t>"LA02768|CLA22863|" + S5 + "|"+(Jong +"0"+F6+"0")+"|"+(Age+n)</t>
  </si>
  <si>
    <t>CLA22864</t>
  </si>
  <si>
    <t>질병수술률(특정2대경증질병,백내장,대장용종,결막의기타장애제외)|100000000|1|202504</t>
  </si>
  <si>
    <t>"LA02768|CLA22864|" + S5 + "|"+(Jong +"0"+F6+"0")+"|"+(Age+n)</t>
  </si>
  <si>
    <t>CLA22865</t>
  </si>
  <si>
    <t>상급종합병원질병수술률(특정10대질병제외)|100000000|1|202504</t>
  </si>
  <si>
    <t>"LA02768|CLA22865|" + S5 + "|"+(Jong +"0"+F6+"0")+"|"+(Age+n)</t>
  </si>
  <si>
    <t>CLA22899</t>
  </si>
  <si>
    <t>폐렴발생률|100000000|1|202504</t>
  </si>
  <si>
    <t>"LA02768|CLA22899|" + S5 + "|"+(Jong +"0"+F6+"0")+"|"+(Age+n)</t>
  </si>
  <si>
    <t>CLA22900</t>
  </si>
  <si>
    <t>천식발생률|100000000|1|202504</t>
  </si>
  <si>
    <t>"LA02768|CLA22900|" + S5 + "|"+(Jong +"0"+F6+"0")+"|"+(Age+n)</t>
  </si>
  <si>
    <t>CLA22901</t>
  </si>
  <si>
    <t>패혈증발생률|100000000|1|202504</t>
  </si>
  <si>
    <t>"LA02768|CLA22901|" + S5 + "|"+(Jong +"0"+F6+"0")+"|"+(Age+n)</t>
  </si>
  <si>
    <t>CLA22902</t>
  </si>
  <si>
    <t>주요폐질환발생률|100000000|1|202504</t>
  </si>
  <si>
    <t>"LA02768|CLA22902|" + S5 + "|"+(Jong +"0"+F6+"0")+"|"+(Age+n)</t>
  </si>
  <si>
    <t>CLA22903</t>
  </si>
  <si>
    <t>외부요인으로인한폐질환발생률|100000000|1|202504</t>
  </si>
  <si>
    <t>"LA02768|CLA22903|" + S5 + "|"+(Jong +"0"+F6+"0")+"|"+(Age+n)</t>
  </si>
  <si>
    <t>CLA22904</t>
  </si>
  <si>
    <t>폐렴발생률(연간1회한)|100000000|1|202504</t>
  </si>
  <si>
    <t>"LA02768|CLA22904|" + S5 + "|"+(Jong +"0"+F6+"0")+"|"+(Age+n)</t>
  </si>
  <si>
    <t>CLA22905</t>
  </si>
  <si>
    <t>패혈증발생률(연간1회한)|100000000|1|202504</t>
  </si>
  <si>
    <t>"LA02768|CLA22905|" + S5 + "|"+(Jong +"0"+F6+"0")+"|"+(Age+n)</t>
  </si>
  <si>
    <t>CLA22906</t>
  </si>
  <si>
    <t>주요폐질환발생률(연간1회한)|100000000|1|202504</t>
  </si>
  <si>
    <t>"LA02768|CLA22906|" + S5 + "|"+(Jong +"0"+F6+"0")+"|"+(Age+n)</t>
  </si>
  <si>
    <t>CLA22907</t>
  </si>
  <si>
    <t>외부요인으로인한폐질환발생률(연간1회한)|100000000|1|202504</t>
  </si>
  <si>
    <t>"LA02768|CLA22907|" + S5 + "|"+(Jong +"0"+F6+"0")+"|"+(Age+n)</t>
  </si>
  <si>
    <t>산방에 없음</t>
  </si>
  <si>
    <t>CLA22944</t>
  </si>
  <si>
    <t>CLA23067</t>
  </si>
  <si>
    <t>CLA22957</t>
  </si>
  <si>
    <t>2대질병특정치료발생률(요양병원제외,연간1회한)|100000000|1|202504</t>
  </si>
  <si>
    <t>"LA02768|CLA22957|" + S5 + "|"+(Jong +"0"+F6+"0")+"|"+(Age+n)</t>
  </si>
  <si>
    <t>CLA22958</t>
  </si>
  <si>
    <t>경증순환계질환특정치료발생률(요양병원제외,연간1회한)|100000000|1|202504</t>
  </si>
  <si>
    <t>"LA02768|CLA22958|" + S5 + "|"+(Jong +"0"+F6+"0")+"|"+(Age+n)</t>
  </si>
  <si>
    <t>CLA22959</t>
  </si>
  <si>
    <t>중등증순환계질환특정치료발생률(요양병원제외,연간1회한)|100000000|1|202504</t>
  </si>
  <si>
    <t>"LA02768|CLA22959|" + S5 + "|"+(Jong +"0"+F6+"0")+"|"+(Age+n)</t>
  </si>
  <si>
    <t>CLA22960</t>
  </si>
  <si>
    <t>중증순환계질환특정치료발생률(요양병원제외,연간1회한)|100000000|1|202504</t>
  </si>
  <si>
    <t>"LA02768|CLA22960|" + S5 + "|"+(Jong +"0"+F6+"0")+"|"+(Age+n)</t>
  </si>
  <si>
    <t>CLA22961</t>
  </si>
  <si>
    <t>중등증Ⅱ순환계질환특정치료발생률(요양병원제외,연간1회한)|100000000|1|202504</t>
  </si>
  <si>
    <t>"LA02768|CLA22961|" + S5 + "|"+(Jong +"0"+F6+"0")+"|"+(Age+n)</t>
  </si>
  <si>
    <t>CLA04485</t>
  </si>
  <si>
    <t>"LA02768|CLA04485|" + S5 + "|"+(Jong +"0"+F6+"0")+"|"+(Age+n)</t>
  </si>
  <si>
    <t>CLA22466</t>
  </si>
  <si>
    <t xml:space="preserve">If(Jong=1 or Jong=3, k2, (1-q1*q26*S(3))) * (1-w) </t>
  </si>
  <si>
    <t>난소암발생률 |100000000|1|202504</t>
  </si>
  <si>
    <t>(1-D(0.75)*q18*S(3)*q22*r1-(1-D(0.75))*q1*q26*S(3)) * ( (1-q11*q21*r1) * (1-q12*S(3)*q21*r1) * (1-q13*S(3)*q23*r1) * (1-q14*S(3)*q24*r1) * (1-q15*S(3)*q25*r1) * (1-q16*S(3)*q25*r1) * (1-q17*S(3)*q25*r1) )</t>
  </si>
  <si>
    <t>"LA02768|CLA22466|" + S5 + "|"+(Jong +"0"+F6+"0")+"|"+(Age+n)</t>
  </si>
  <si>
    <t>CLA22506</t>
  </si>
  <si>
    <t>남성생식기관및유방암 발생률|100000000|1|202504</t>
  </si>
  <si>
    <t>"LA02768|CLA22506|" + S5 + "|"+(Jong +"0"+F6+"0")+"|"+(Age+n)</t>
  </si>
  <si>
    <t>CLA22498</t>
  </si>
  <si>
    <t>눈,뇌 및 중추신경계통의 기타부분, 기타 내분비선의 악성신생물(암) 발생률|100000000|1|202504</t>
  </si>
  <si>
    <t>"LA02768|CLA22498|" + S5 + "|"+(Jong +"0"+F6+"0")+"|"+(Age+n)</t>
  </si>
  <si>
    <t>CLA22454</t>
  </si>
  <si>
    <t>대장암 발생률(최초1회한)|100000000|1|202504</t>
  </si>
  <si>
    <t>"LA02768|CLA22454|" + S5 + "|"+(Jong +"0"+F6+"0")+"|"+(Age+n)</t>
  </si>
  <si>
    <t>CLA22502</t>
  </si>
  <si>
    <t>림프및조혈관련특정암발생률|100000000|1|202504</t>
  </si>
  <si>
    <t>"LA02768|CLA22502|" + S5 + "|"+(Jong +"0"+F6+"0")+"|"+(Age+n)</t>
  </si>
  <si>
    <t>CLA22494</t>
  </si>
  <si>
    <t>요로의악성신생물(암)발생률|100000000|1|202504</t>
  </si>
  <si>
    <t>"LA02768|CLA22494|" + S5 + "|"+(Jong +"0"+F6+"0")+"|"+(Age+n)</t>
  </si>
  <si>
    <t>CLA22490</t>
  </si>
  <si>
    <t>뼈 및 관절연골, 피부의 악성흑색종, 중피성 및 연조직의 악성신생물(암) 발생률|100000000|1|202504</t>
  </si>
  <si>
    <t>"LA02768|CLA22490|" + S5 + "|"+(Jong +"0"+F6+"0")+"|"+(Age+n)</t>
  </si>
  <si>
    <t>CLA22462</t>
  </si>
  <si>
    <t>유방의악성신생물(암)발생률|100000000|1|202504</t>
  </si>
  <si>
    <t>"LA02768|CLA22462|" + S5 + "|"+(Jong +"0"+F6+"0")+"|"+(Age+n)</t>
  </si>
  <si>
    <t>CLA22478</t>
  </si>
  <si>
    <t>입술, 구강 및 인두의 악성신생물(암) 발생률|100000000|1|202504</t>
  </si>
  <si>
    <t>"LA02768|CLA22478|" + S5 + "|"+(Jong +"0"+F6+"0")+"|"+(Age+n)</t>
  </si>
  <si>
    <t>CLA22470</t>
  </si>
  <si>
    <t>자궁관련암발생률|100000000|1|202504</t>
  </si>
  <si>
    <t>"LA02768|CLA22470|" + S5 + "|"+(Jong +"0"+F6+"0")+"|"+(Age+n)</t>
  </si>
  <si>
    <t>CLA22458</t>
  </si>
  <si>
    <t>특정소화기관암 발생률(최초1회한)|100000000|1|202504</t>
  </si>
  <si>
    <t>"LA02768|CLA22458|" + S5 + "|"+(Jong +"0"+F6+"0")+"|"+(Age+n)</t>
  </si>
  <si>
    <t>CLA22474</t>
  </si>
  <si>
    <t>특정여성생식기관암발생률|100000000|1|202504</t>
  </si>
  <si>
    <t>"LA02768|CLA22474|" + S5 + "|"+(Jong +"0"+F6+"0")+"|"+(Age+n)</t>
  </si>
  <si>
    <t>CLA22486</t>
  </si>
  <si>
    <t>특정호흡기및흉곽내기관암 발생률(최초1회한)|100000000|1|202504</t>
  </si>
  <si>
    <t>"LA02768|CLA22486|" + S5 + "|"+(Jong +"0"+F6+"0")+"|"+(Age+n)</t>
  </si>
  <si>
    <t>CLA22482</t>
  </si>
  <si>
    <t>폐암 발생률(최초1회한)|100000000|1|202504</t>
  </si>
  <si>
    <t>"LA02768|CLA22482|" + S5 + "|"+(Jong +"0"+F6+"0")+"|"+(Age+n)</t>
  </si>
  <si>
    <t>CLA04484</t>
  </si>
  <si>
    <t>통합암(4대유사암제외)진단비Ⅲ(갱신형)</t>
  </si>
  <si>
    <t>"LA02768|CLA04484|" + S5 + "|"+(Jong +"0"+F6+"0")+"|"+(Age+n)</t>
  </si>
  <si>
    <t>CLA22465</t>
  </si>
  <si>
    <t>통합암(4대유사암제외)진단비Ⅲ(난소암)(갱신형)</t>
  </si>
  <si>
    <t>"LA02768|CLA22465|" + 0 + "|"+(Jong +"0"+F6+"0")+"|"+If(S1=0,n,0)</t>
  </si>
  <si>
    <t>CLA22505</t>
  </si>
  <si>
    <t>통합암(4대유사암제외)진단비Ⅲ(남성생식기관및유방암)(갱신형)</t>
  </si>
  <si>
    <t>"LA02768|CLA22505|" + 0 + "|"+(Jong +"0"+F6+"0")+"|"+If(S1=0,n,0)</t>
  </si>
  <si>
    <t>CLA22497</t>
  </si>
  <si>
    <t>통합암(4대유사암제외)진단비Ⅲ(눈,뇌,중추신경계통및내분비선암)(갱신형)</t>
  </si>
  <si>
    <t>"LA02768|CLA22497|" + 0 + "|"+(Jong +"0"+F6+"0")+"|"+If(S1=0,n,0)</t>
  </si>
  <si>
    <t>CLA22453</t>
  </si>
  <si>
    <t>통합암(4대유사암제외)진단비Ⅲ(대장암)(갱신형)</t>
  </si>
  <si>
    <t>"LA02768|CLA22453|" + 0 + "|"+(Jong +"0"+F6+"0")+"|"+If(S1=0,n,0)</t>
  </si>
  <si>
    <t>CLA22501</t>
  </si>
  <si>
    <t>통합암(4대유사암제외)진단비Ⅲ(림프및조혈관련특정암)(갱신형)</t>
  </si>
  <si>
    <t>"LA02768|CLA22501|" + 0 + "|"+(Jong +"0"+F6+"0")+"|"+If(S1=0,n,0)</t>
  </si>
  <si>
    <t>CLA22493</t>
  </si>
  <si>
    <t>통합암(4대유사암제외)진단비Ⅲ(비뇨기관암(요로암))(갱신형)</t>
  </si>
  <si>
    <t>"LA02768|CLA22493|" + 0 + "|"+(Jong +"0"+F6+"0")+"|"+If(S1=0,n,0)</t>
  </si>
  <si>
    <t>CLA22489</t>
  </si>
  <si>
    <t>통합암(4대유사암제외)진단비Ⅲ(뼈,관절,악성흑색종,중피성및연조직암)(갱신형)</t>
  </si>
  <si>
    <t>"LA02768|CLA22489|" + 0 + "|"+(Jong +"0"+F6+"0")+"|"+If(S1=0,n,0)</t>
  </si>
  <si>
    <t>CLA22461</t>
  </si>
  <si>
    <t>통합암(4대유사암제외)진단비Ⅲ(유방암)(갱신형)</t>
  </si>
  <si>
    <t>"LA02768|CLA22461|" + 0 + "|"+(Jong +"0"+F6+"0")+"|"+If(S1=0,n,0)</t>
  </si>
  <si>
    <t>CLA22477</t>
  </si>
  <si>
    <t>통합암(4대유사암제외)진단비Ⅲ(입술,구강및인두암)(갱신형)</t>
  </si>
  <si>
    <t>"LA02768|CLA22477|" + 0 + "|"+(Jong +"0"+F6+"0")+"|"+If(S1=0,n,0)</t>
  </si>
  <si>
    <t>CLA22469</t>
  </si>
  <si>
    <t>통합암(4대유사암제외)진단비Ⅲ(자궁관련암)(갱신형)</t>
  </si>
  <si>
    <t>"LA02768|CLA22469|" + 0 + "|"+(Jong +"0"+F6+"0")+"|"+If(S1=0,n,0)</t>
  </si>
  <si>
    <t>CLA22457</t>
  </si>
  <si>
    <t>통합암(4대유사암제외)진단비Ⅲ(특정소화기관암)(갱신형)</t>
  </si>
  <si>
    <t>"LA02768|CLA22457|" + 0 + "|"+(Jong +"0"+F6+"0")+"|"+If(S1=0,n,0)</t>
  </si>
  <si>
    <t>CLA22473</t>
  </si>
  <si>
    <t>통합암(4대유사암제외)진단비Ⅲ(특정여성생식기관암)(갱신형)</t>
  </si>
  <si>
    <t>"LA02768|CLA22473|" + 0 + "|"+(Jong +"0"+F6+"0")+"|"+If(S1=0,n,0)</t>
  </si>
  <si>
    <t>CLA22485</t>
  </si>
  <si>
    <t>통합암(4대유사암제외)진단비Ⅲ(특정호흡기및흉곽내기관암)(갱신형)</t>
  </si>
  <si>
    <t>"LA02768|CLA22485|" + 0 + "|"+(Jong +"0"+F6+"0")+"|"+If(S1=0,n,0)</t>
  </si>
  <si>
    <t>CLA22481</t>
  </si>
  <si>
    <t>통합암(4대유사암제외)진단비Ⅲ(폐암)(갱신형)</t>
  </si>
  <si>
    <t>"LA02768|CLA22481|" + 0 + "|"+(Jong +"0"+F6+"0")+"|"+If(S1=0,n,0)</t>
  </si>
  <si>
    <t>CLA04489</t>
  </si>
  <si>
    <t>CLA22522</t>
  </si>
  <si>
    <t>난소암(전이암포함) 발생률(최초1회한)|100000000|1|202504</t>
  </si>
  <si>
    <t>"LA02768|CLA22522|" + S5 + "|"+(Jong +"0"+F6+"0")+"|"+(Age+n)</t>
  </si>
  <si>
    <t>CLA22562</t>
  </si>
  <si>
    <t>남성생식기관및유방암(전이암포함) 발생률(최초1회한)|100000000|1|202504</t>
  </si>
  <si>
    <t>"LA02768|CLA22562|" + S5 + "|"+(Jong +"0"+F6+"0")+"|"+(Age+n)</t>
  </si>
  <si>
    <t>CLA22554</t>
  </si>
  <si>
    <t>눈,뇌 및 중추신경계통의 기타부분, 기타 내분비선의 암(전이암포함) 발생률(최초1회한)|100000000|1|202504</t>
  </si>
  <si>
    <t>"LA02768|CLA22554|" + S5 + "|"+(Jong +"0"+F6+"0")+"|"+(Age+n)</t>
  </si>
  <si>
    <t>CLA22510</t>
  </si>
  <si>
    <t>대장암(전이암포함) 발생률(최초1회한)|100000000|1|202504</t>
  </si>
  <si>
    <t>"LA02768|CLA22510|" + S5 + "|"+(Jong +"0"+F6+"0")+"|"+(Age+n)</t>
  </si>
  <si>
    <t>CLA22550</t>
  </si>
  <si>
    <t>요로암(전이암포함) 발생률(최초1회한)|100000000|1|202504</t>
  </si>
  <si>
    <t>"LA02768|CLA22550|" + S5 + "|"+(Jong +"0"+F6+"0")+"|"+(Age+n)</t>
  </si>
  <si>
    <t>CLA22546</t>
  </si>
  <si>
    <t>뼈 및 관절연골, 피부의 악성흑색종, 중피성 및 연조직의 암(전이암포함) 발생률(최초1회한)|100000000|1|202504</t>
  </si>
  <si>
    <t>"LA02768|CLA22546|" + S5 + "|"+(Jong +"0"+F6+"0")+"|"+(Age+n)</t>
  </si>
  <si>
    <t>CLA22518</t>
  </si>
  <si>
    <t>유방암(전이암포함) 발생률(최초1회한)|100000000|1|202504</t>
  </si>
  <si>
    <t>"LA02768|CLA22518|" + S5 + "|"+(Jong +"0"+F6+"0")+"|"+(Age+n)</t>
  </si>
  <si>
    <t>CLA22534</t>
  </si>
  <si>
    <t>"LA02768|CLA22534|" + S5 + "|"+(Jong +"0"+F6+"0")+"|"+(Age+n)</t>
  </si>
  <si>
    <t>CLA22526</t>
  </si>
  <si>
    <t>"LA02768|CLA22526|" + S5 + "|"+(Jong +"0"+F6+"0")+"|"+(Age+n)</t>
  </si>
  <si>
    <t>CLA22514</t>
  </si>
  <si>
    <t>특정소화기관암(전이암포함) 발생률(최초1회한)|100000000|1|202504</t>
  </si>
  <si>
    <t>"LA02768|CLA22514|" + S5 + "|"+(Jong +"0"+F6+"0")+"|"+(Age+n)</t>
  </si>
  <si>
    <t>CLA22530</t>
  </si>
  <si>
    <t>특정여성생식기관암(전이암포함) 발생률(최초1회한)|100000000|1|202504</t>
  </si>
  <si>
    <t>"LA02768|CLA22530|" + S5 + "|"+(Jong +"0"+F6+"0")+"|"+(Age+n)</t>
  </si>
  <si>
    <t>CLA22542</t>
  </si>
  <si>
    <t>특정호흡기및흉곽내기관암(전이암포함) 발생률(최초1회한)|100000000|1|202504</t>
  </si>
  <si>
    <t>"LA02768|CLA22542|" + S5 + "|"+(Jong +"0"+F6+"0")+"|"+(Age+n)</t>
  </si>
  <si>
    <t>CLA22538</t>
  </si>
  <si>
    <t>폐암(전이암포함) 발생률(최초1회한)|100000000|1|202504</t>
  </si>
  <si>
    <t>"LA02768|CLA22538|" + S5 + "|"+(Jong +"0"+F6+"0")+"|"+(Age+n)</t>
  </si>
  <si>
    <t>CLA22558</t>
  </si>
  <si>
    <t>혈액암 발생률(최초1회한)|100000000|1|202504</t>
  </si>
  <si>
    <t>"LA02768|CLA22558|" + S5 + "|"+(Jong +"0"+F6+"0")+"|"+(Age+n)</t>
  </si>
  <si>
    <t>CLA04488</t>
  </si>
  <si>
    <t>통합암(4대유사암제외,전이암포함)진단비Ⅱ(갱신형)</t>
  </si>
  <si>
    <t>CLA22521</t>
  </si>
  <si>
    <t>통합암(4대유사암제외,전이암포함)진단비Ⅱ(난소암)(갱신형)</t>
  </si>
  <si>
    <t>"LA02768|CLA22521|" + 0 + "|"+(Jong +"0"+F6+"0")+"|"+If(S1=0,n,0)</t>
  </si>
  <si>
    <t>CLA22561</t>
  </si>
  <si>
    <t>통합암(4대유사암제외,전이암포함)진단비Ⅱ(남성생식기관및유방암)(갱신형)</t>
  </si>
  <si>
    <t>"LA02768|CLA22561|" + 0 + "|"+(Jong +"0"+F6+"0")+"|"+If(S1=0,n,0)</t>
  </si>
  <si>
    <t>CLA22553</t>
  </si>
  <si>
    <t>통합암(4대유사암제외,전이암포함)진단비Ⅱ(눈,뇌,중추신경계통및내분비선암)(갱신형)</t>
  </si>
  <si>
    <t>"LA02768|CLA22553|" + 0 + "|"+(Jong +"0"+F6+"0")+"|"+If(S1=0,n,0)</t>
  </si>
  <si>
    <t>CLA22509</t>
  </si>
  <si>
    <t>통합암(4대유사암제외,전이암포함)진단비Ⅱ(대장암)(갱신형)</t>
  </si>
  <si>
    <t>"LA02768|CLA22509|" + 0 + "|"+(Jong +"0"+F6+"0")+"|"+If(S1=0,n,0)</t>
  </si>
  <si>
    <t>CLA22549</t>
  </si>
  <si>
    <t>통합암(4대유사암제외,전이암포함)진단비Ⅱ(비뇨기관암(요로암))(갱신형)</t>
  </si>
  <si>
    <t>"LA02768|CLA22549|" + 0 + "|"+(Jong +"0"+F6+"0")+"|"+If(S1=0,n,0)</t>
  </si>
  <si>
    <t>CLA22545</t>
  </si>
  <si>
    <t>통합암(4대유사암제외,전이암포함)진단비Ⅱ(뼈,관절,악성흑색종,중피성및연조직암)(갱신형)</t>
  </si>
  <si>
    <t>"LA02768|CLA22545|" + 0 + "|"+(Jong +"0"+F6+"0")+"|"+If(S1=0,n,0)</t>
  </si>
  <si>
    <t>CLA22517</t>
  </si>
  <si>
    <t>통합암(4대유사암제외,전이암포함)진단비Ⅱ(유방암)(갱신형)</t>
  </si>
  <si>
    <t>"LA02768|CLA22517|" + 0 + "|"+(Jong +"0"+F6+"0")+"|"+If(S1=0,n,0)</t>
  </si>
  <si>
    <t>CLA22533</t>
  </si>
  <si>
    <t>통합암(4대유사암제외,전이암포함)진단비Ⅱ(입술,구강및인두암)(갱신형)</t>
  </si>
  <si>
    <t>"LA02768|CLA22533|" + 0 + "|"+(Jong +"0"+F6+"0")+"|"+If(S1=0,n,0)</t>
  </si>
  <si>
    <t>CLA22525</t>
  </si>
  <si>
    <t>통합암(4대유사암제외,전이암포함)진단비Ⅱ(자궁관련암)(갱신형)</t>
  </si>
  <si>
    <t>"LA02768|CLA22525|" + 0 + "|"+(Jong +"0"+F6+"0")+"|"+If(S1=0,n,0)</t>
  </si>
  <si>
    <t>CLA22513</t>
  </si>
  <si>
    <t>통합암(4대유사암제외,전이암포함)진단비Ⅱ(특정소화기관암)(갱신형)</t>
  </si>
  <si>
    <t>"LA02768|CLA22513|" + 0 + "|"+(Jong +"0"+F6+"0")+"|"+If(S1=0,n,0)</t>
  </si>
  <si>
    <t>CLA22529</t>
  </si>
  <si>
    <t>통합암(4대유사암제외,전이암포함)진단비Ⅱ(특정여성생식기관암)(갱신형)</t>
  </si>
  <si>
    <t>"LA02768|CLA22529|" + 0 + "|"+(Jong +"0"+F6+"0")+"|"+If(S1=0,n,0)</t>
  </si>
  <si>
    <t>CLA22541</t>
  </si>
  <si>
    <t>통합암(4대유사암제외,전이암포함)진단비Ⅱ(특정호흡기및흉곽내기관암)(갱신형)</t>
  </si>
  <si>
    <t>"LA02768|CLA22541|" + 0 + "|"+(Jong +"0"+F6+"0")+"|"+If(S1=0,n,0)</t>
  </si>
  <si>
    <t>CLA22537</t>
  </si>
  <si>
    <t>통합암(4대유사암제외,전이암포함)진단비Ⅱ(폐암)(갱신형)</t>
  </si>
  <si>
    <t>"LA02768|CLA22537|" + 0 + "|"+(Jong +"0"+F6+"0")+"|"+If(S1=0,n,0)</t>
  </si>
  <si>
    <t>CLA22557</t>
  </si>
  <si>
    <t>통합암(4대유사암제외,전이암포함)진단비Ⅱ(혈액암)(갱신형)</t>
  </si>
  <si>
    <t>"LA02768|CLA22557|" + 0 + "|"+(Jong +"0"+F6+"0")+"|"+If(S1=0,n,0)</t>
  </si>
  <si>
    <t>CLA04656</t>
  </si>
  <si>
    <t>CLA23055</t>
  </si>
  <si>
    <t>항암방사선약물치료비 발생률(난소암(전이암포함))(최초1회한)|100000000|1|202504</t>
  </si>
  <si>
    <t>(1-D(0.75)*q18*S(3)*q22*r1-(1-D(0.75))*q2*q22*S(3)) * ( (1-q11*q21*r1) * (1-q12*S(3)*q21*r1) * (1-q13*S(3)*q23*r1) * (1-q14*S(3)*q24*r1) * (1-q15*S(3)*q25*r1) * (1-q16*S(3)*q25*r1) * (1-q17*S(3)*q25*r1) )</t>
  </si>
  <si>
    <t>"LA02768|CLA23055|" + S5 + "|"+(Jong +"0"+F6+"0")+"|"+(Age+n)</t>
  </si>
  <si>
    <t>CLA23065</t>
  </si>
  <si>
    <t>항암방사선약물치료비 발생률(남성생식기관및유방암(전이암포함))(최초1회한)|100000000|1|202504</t>
  </si>
  <si>
    <t>"LA02768|CLA23065|" + S5 + "|"+(Jong +"0"+F6+"0")+"|"+(Age+n)</t>
  </si>
  <si>
    <t>CLA23063</t>
  </si>
  <si>
    <t>항암방사선약물치료비 발생률(눈,뇌 및 중추신경계통의 기타부분, 기타 내분비선의 암(전이암포함))(최초1회한)|100000000|1|202504</t>
  </si>
  <si>
    <t>"LA02768|CLA23063|" + S5 + "|"+(Jong +"0"+F6+"0")+"|"+(Age+n)</t>
  </si>
  <si>
    <t>CLA23052</t>
  </si>
  <si>
    <t>항암방사선약물치료비 발생률(대장암(전이암포함))(최초1회한)|100000000|1|202504</t>
  </si>
  <si>
    <t>"LA02768|CLA23052|" + S5 + "|"+(Jong +"0"+F6+"0")+"|"+(Age+n)</t>
  </si>
  <si>
    <t>CLA23062</t>
  </si>
  <si>
    <t>항암방사선약물치료비 발생률(요로암(전이암포함))(최초1회한)|100000000|1|202504</t>
  </si>
  <si>
    <t>"LA02768|CLA23062|" + S5 + "|"+(Jong +"0"+F6+"0")+"|"+(Age+n)</t>
  </si>
  <si>
    <t>CLA23061</t>
  </si>
  <si>
    <t>항암방사선약물치료비 발생률(뼈 및 관절연골, 피부의 악성흑색종, 중피성 및 연조직의 암(전이암포함))(최초1회한)|100000000|1|202504</t>
  </si>
  <si>
    <t>"LA02768|CLA23061|" + S5 + "|"+(Jong +"0"+F6+"0")+"|"+(Age+n)</t>
  </si>
  <si>
    <t>CLA23054</t>
  </si>
  <si>
    <t>항암방사선약물치료비 발생률(유방암(전이암포함))(최초1회한)|100000000|1|202504</t>
  </si>
  <si>
    <t>"LA02768|CLA23054|" + S5 + "|"+(Jong +"0"+F6+"0")+"|"+(Age+n)</t>
  </si>
  <si>
    <t>CLA23058</t>
  </si>
  <si>
    <t>항암방사선약물치료비 발생률(입술,구강및인두의악성신생물(암))(최초1회한)|100000000|1|202504</t>
  </si>
  <si>
    <t>"LA02768|CLA23058|" + S5 + "|"+(Jong +"0"+F6+"0")+"|"+(Age+n)</t>
  </si>
  <si>
    <t>CLA23056</t>
  </si>
  <si>
    <t>항암방사선약물치료비 발생률(자궁관련암)(최초1회한)|100000000|1|202504</t>
  </si>
  <si>
    <t>"LA02768|CLA23056|" + S5 + "|"+(Jong +"0"+F6+"0")+"|"+(Age+n)</t>
  </si>
  <si>
    <t>CLA23053</t>
  </si>
  <si>
    <t>항암방사선약물치료비 발생률(특정소화기관암(전이암포함))(최초1회한)|100000000|1|202504</t>
  </si>
  <si>
    <t>"LA02768|CLA23053|" + S5 + "|"+(Jong +"0"+F6+"0")+"|"+(Age+n)</t>
  </si>
  <si>
    <t>CLA23057</t>
  </si>
  <si>
    <t>항암방사선약물치료비 발생률(특정여성생식기관암(전이암포함))(최초1회한)|100000000|1|202504</t>
  </si>
  <si>
    <t>"LA02768|CLA23057|" + S5 + "|"+(Jong +"0"+F6+"0")+"|"+(Age+n)</t>
  </si>
  <si>
    <t>CLA23060</t>
  </si>
  <si>
    <t>항암방사선약물치료비 발생률(특정호흡기및흉곽내기관암(전이암포함))(최초1회한)|100000000|1|202504</t>
  </si>
  <si>
    <t>"LA02768|CLA23060|" + S5 + "|"+(Jong +"0"+F6+"0")+"|"+(Age+n)</t>
  </si>
  <si>
    <t>CLA23059</t>
  </si>
  <si>
    <t>항암방사선약물치료비 발생률(폐암(전이암포함))(최초1회한)|100000000|1|202504</t>
  </si>
  <si>
    <t>"LA02768|CLA23059|" + S5 + "|"+(Jong +"0"+F6+"0")+"|"+(Age+n)</t>
  </si>
  <si>
    <t>CLA23064</t>
  </si>
  <si>
    <t>항암방사선약물치료비 발생률(혈액암)(최초1회한)|100000000|1|202504</t>
  </si>
  <si>
    <t>"LA02768|CLA23064|" + S5 + "|"+(Jong +"0"+F6+"0")+"|"+(Age+n)</t>
  </si>
  <si>
    <t>CLA04657</t>
  </si>
  <si>
    <t>통합암(4대유사암제외,전이암포함)항암방사선약물치료비Ⅱ(세부보장별각1회한)(갱신형)</t>
  </si>
  <si>
    <t>CLA23102</t>
  </si>
  <si>
    <t>통합암(4대유사암제외,전이암포함)항암방사선약물치료비Ⅱ(난소암)(1회한)(갱신형)</t>
  </si>
  <si>
    <t>"LA02768|CLA23102|" + 0 + "|"+(Jong +"0"+F6+"0")+"|"+If(S1=0,n,0)</t>
  </si>
  <si>
    <t>CLA23112</t>
  </si>
  <si>
    <t>통합암(4대유사암제외,전이암포함)항암방사선약물치료비Ⅱ(남성생식기관및유방암)(1회한)(갱신형)</t>
  </si>
  <si>
    <t>"LA02768|CLA23112|" + 0 + "|"+(Jong +"0"+F6+"0")+"|"+If(S1=0,n,0)</t>
  </si>
  <si>
    <t>CLA23110</t>
  </si>
  <si>
    <t>통합암(4대유사암제외,전이암포함)항암방사선약물치료비Ⅱ(눈,뇌,중추신경계통및내분비선암)(1회한)(갱신형)</t>
  </si>
  <si>
    <t>"LA02768|CLA23110|" + 0 + "|"+(Jong +"0"+F6+"0")+"|"+If(S1=0,n,0)</t>
  </si>
  <si>
    <t>CLA23099</t>
  </si>
  <si>
    <t>통합암(4대유사암제외,전이암포함)항암방사선약물치료비Ⅱ(대장암)(1회한)(갱신형)</t>
  </si>
  <si>
    <t>"LA02768|CLA23099|" + 0 + "|"+(Jong +"0"+F6+"0")+"|"+If(S1=0,n,0)</t>
  </si>
  <si>
    <t>CLA23109</t>
  </si>
  <si>
    <t>통합암(4대유사암제외,전이암포함)항암방사선약물치료비Ⅱ(비뇨기관암(요로암))(1회한)(갱신형)</t>
  </si>
  <si>
    <t>"LA02768|CLA23109|" + 0 + "|"+(Jong +"0"+F6+"0")+"|"+If(S1=0,n,0)</t>
  </si>
  <si>
    <t>CLA23108</t>
  </si>
  <si>
    <t>통합암(4대유사암제외,전이암포함)항암방사선약물치료비Ⅱ(뼈,관절,악성흑색종,중피성및연조직암)(1회한)(갱신형)</t>
  </si>
  <si>
    <t>"LA02768|CLA23108|" + 0 + "|"+(Jong +"0"+F6+"0")+"|"+If(S1=0,n,0)</t>
  </si>
  <si>
    <t>CLA23101</t>
  </si>
  <si>
    <t>통합암(4대유사암제외,전이암포함)항암방사선약물치료비Ⅱ(유방암)(1회한)(갱신형)</t>
  </si>
  <si>
    <t>"LA02768|CLA23101|" + 0 + "|"+(Jong +"0"+F6+"0")+"|"+If(S1=0,n,0)</t>
  </si>
  <si>
    <t>CLA23105</t>
  </si>
  <si>
    <t>통합암(4대유사암제외,전이암포함)항암방사선약물치료비Ⅱ(입술,구강및인두암)(1회한)(갱신형)</t>
  </si>
  <si>
    <t>"LA02768|CLA23105|" + 0 + "|"+(Jong +"0"+F6+"0")+"|"+If(S1=0,n,0)</t>
  </si>
  <si>
    <t>CLA23103</t>
  </si>
  <si>
    <t>통합암(4대유사암제외,전이암포함)항암방사선약물치료비Ⅱ(자궁관련암)(1회한)(갱신형)</t>
  </si>
  <si>
    <t>"LA02768|CLA23103|" + 0 + "|"+(Jong +"0"+F6+"0")+"|"+If(S1=0,n,0)</t>
  </si>
  <si>
    <t>CLA23100</t>
  </si>
  <si>
    <t>통합암(4대유사암제외,전이암포함)항암방사선약물치료비Ⅱ(특정소화기관암)(1회한)(갱신형)</t>
  </si>
  <si>
    <t>"LA02768|CLA23100|" + 0 + "|"+(Jong +"0"+F6+"0")+"|"+If(S1=0,n,0)</t>
  </si>
  <si>
    <t>CLA23104</t>
  </si>
  <si>
    <t>통합암(4대유사암제외,전이암포함)항암방사선약물치료비Ⅱ(특정여성생식기관암)(1회한)(갱신형)</t>
  </si>
  <si>
    <t>"LA02768|CLA23104|" + 0 + "|"+(Jong +"0"+F6+"0")+"|"+If(S1=0,n,0)</t>
  </si>
  <si>
    <t>CLA23107</t>
  </si>
  <si>
    <t>통합암(4대유사암제외,전이암포함)항암방사선약물치료비Ⅱ(특정호흡기및흉곽내기관암)(1회한)(갱신형)</t>
  </si>
  <si>
    <t>"LA02768|CLA23107|" + 0 + "|"+(Jong +"0"+F6+"0")+"|"+If(S1=0,n,0)</t>
  </si>
  <si>
    <t>CLA23106</t>
  </si>
  <si>
    <t>통합암(4대유사암제외,전이암포함)항암방사선약물치료비Ⅱ(폐암)(1회한)(갱신형)</t>
  </si>
  <si>
    <t>"LA02768|CLA23106|" + 0 + "|"+(Jong +"0"+F6+"0")+"|"+If(S1=0,n,0)</t>
  </si>
  <si>
    <t>CLA23111</t>
  </si>
  <si>
    <t>통합암(4대유사암제외,전이암포함)항암방사선약물치료비Ⅱ(혈액암)(1회한)(갱신형)</t>
  </si>
  <si>
    <t>"LA02768|CLA23111|" + 0 + "|"+(Jong +"0"+F6+"0")+"|"+If(S1=0,n,0)</t>
  </si>
  <si>
    <t>CLA22308</t>
  </si>
  <si>
    <t>If(Jong=1 or Jong=3, k2,1-(1-(1-q2*q23*S(3))*(1-q3*q24*S(3)))) * (1-w)</t>
  </si>
  <si>
    <t>(1-(1-(1-q2*q23*S(3))*(1-q3*q24*S(3))))*(1-w)</t>
  </si>
  <si>
    <t>(1-(1-q2*q23*S(3))*(1-q3*q24*S(3)))*(1-w/2)*k1</t>
  </si>
  <si>
    <t>If(t&lt;m,0, 0.5*(W(t)+W(t+1))/2*(1-k3/2)*w)</t>
  </si>
  <si>
    <t>If(t&lt;m,0, 0.5*(V(t)+V(t+1))/2*(1-k3/2)*w)</t>
  </si>
  <si>
    <t>상해80%이상후유장해(1804)(1급)|100000000|1|202401</t>
  </si>
  <si>
    <t>Ax("CLA22312", Age+t, 10)</t>
  </si>
  <si>
    <t>(1-D(0.75)*q18*S(3)*q22*r1)*(1-(1-(1-q2*q23*S(3))*(1-q3*q24*S(3)))) * ( (1-q11*q21*r1) * (1-q12*S(3)*q21*r1) * (1-q15*S(3)*q25*r1) * (1-q16*S(3)*q25*r1) * (1-q17*S(3)*q25*r1) )</t>
  </si>
  <si>
    <t>(1-(1-q2*q23*S(3))*(1-q3*q24*S(3)))</t>
  </si>
  <si>
    <t>"LA02768|CLA22308|" + S5 + "|"+(Jong +"0"+F6+"0")+"|"+(Age+n)</t>
  </si>
  <si>
    <t>CLA22312</t>
  </si>
  <si>
    <t>(q1*S(3))/(k2)</t>
  </si>
  <si>
    <t>2대질병 진단 후 2대질병특정치료 발생률(진단후10년, 연간1회한)|100010000|2|202504</t>
  </si>
  <si>
    <t>1-(1-FindQ(2,Age)*S(3)*FindQ(21,Age)/FindQ(19,Age))*(1-FindQ(3,Age)*S(3)*FindQ(22,Age)/FindQ(20,Age))</t>
  </si>
  <si>
    <t>"LA02768|CLA22312|" + S5 + "|"+(Jong +"0"+F6+"0")+"|"+(Age+n)</t>
  </si>
  <si>
    <t>CLA22827</t>
  </si>
  <si>
    <t>Ax("CLA22847", Age+t, 10)</t>
  </si>
  <si>
    <t>"LA02768|CLA22827|" + S5 + "|"+(Jong +"0"+F6+"0")+"|"+(Age+n)</t>
  </si>
  <si>
    <t>CLA22847</t>
  </si>
  <si>
    <t>2대질병 진단후 상급종합및권역심뇌센터 2대질병특정치료 발생률(진단후10년,연간1회한)|100010000|2|202504</t>
  </si>
  <si>
    <t>"LA02768|CLA22847|" + S5 + "|"+(Jong +"0"+F6+"0")+"|"+(Age+n)</t>
  </si>
  <si>
    <t>CLA22824</t>
  </si>
  <si>
    <t>Ax("CLA22845", Age+t, 10)</t>
  </si>
  <si>
    <t>"LA02768|CLA22824|" + S5 + "|"+(Jong +"0"+F6+"0")+"|"+(Age+n)</t>
  </si>
  <si>
    <t>CLA22845</t>
  </si>
  <si>
    <t>q1/FindQ(2,Age)</t>
  </si>
  <si>
    <t>암(기타피부암 및 갑상선암 제외) 진단후 상급종합및국립암센터 암치료 발생률(진단후10년,연간1회한)|100010000|2|202504</t>
  </si>
  <si>
    <t>"LA02768|CLA22845|" + S5 + "|"+(Jong +"0"+F6+"0")+"|"+(Age+n)</t>
  </si>
  <si>
    <t>CLA22825</t>
  </si>
  <si>
    <t>Ax("CLA22846", Age+t, 10)</t>
  </si>
  <si>
    <t>"LA02768|CLA22825|" + S5 + "|"+(Jong +"0"+F6+"0")+"|"+(Age+n)</t>
  </si>
  <si>
    <t>CLA22846</t>
  </si>
  <si>
    <t>갑상선암 및 기타피부암 진단후 상급종합병원 및 국립암센터 암치료 발생률(진단후10년,연간1회한)|100010000|2|202504</t>
  </si>
  <si>
    <t>"LA02768|CLA22846|" + S5 + "|"+(Jong +"0"+F6+"0")+"|"+(Age+n)</t>
  </si>
  <si>
    <t>독립특약</t>
  </si>
  <si>
    <t>간병인지원상해입원비(1일이상180일한도)(건강고지Ⅱ,3년갱신형)</t>
  </si>
  <si>
    <t>간병인지원상해입원비(1일이상180일한도)(건강고지Ⅱ,5년갱신형)</t>
  </si>
  <si>
    <t>간병인지원상해입원비(1일이상180일한도)(건강고지Ⅱ,10년갱신형)</t>
  </si>
  <si>
    <t>상해입원비(1일이상180일한도)(전환용)(건강고지Ⅱ,갱신형)</t>
  </si>
  <si>
    <t>간병인지원질병입원비(1일이상180일한도)(건강고지Ⅱ,3년갱신형)</t>
  </si>
  <si>
    <t>간병인지원질병입원비(1일이상180일한도)(건강고지Ⅱ,5년갱신형)</t>
  </si>
  <si>
    <t>간병인지원질병입원비(1일이상180일한도)(건강고지Ⅱ,10년갱신형)</t>
  </si>
  <si>
    <t>질병입원비(1일이상180일한도)(전환용)(건강고지Ⅱ,갱신형)</t>
  </si>
  <si>
    <t>암(갑상선암및전립선암제외)다빈치로봇수술비(1회한)(건강고지Ⅱ,갱신형)</t>
  </si>
  <si>
    <t>암(갑상선암및전립선암제외)다빈치로봇수술비(1회한)(건강고지Ⅱ,갱신용)</t>
  </si>
  <si>
    <t>갑상선암및전립선암다빈치로봇수술비(1회한)(건강고지Ⅱ,갱신형)</t>
  </si>
  <si>
    <t>갑상선암및전립선암다빈치로봇수술비(1회한)(건강고지Ⅱ,갱신용)</t>
  </si>
  <si>
    <t>자궁및난소특정질환다빈치로봇수술비(1회한)(건강고지Ⅱ,갱신형)</t>
  </si>
  <si>
    <t>자궁및난소특정질환다빈치로봇수술비(1회한)(건강고지Ⅱ,갱신용)</t>
  </si>
  <si>
    <t>CLA23114</t>
  </si>
  <si>
    <t>"LA02768|CLA23114|" + S5 + "|"+(Jong +"0"+F6+"0")+"|"+(Age+n)</t>
  </si>
  <si>
    <t>CLA23115</t>
  </si>
  <si>
    <t>"LA02768|CLA23115|" + S5 + "|"+(Jong +"0"+F6+"0")+"|"+(Age+n)</t>
  </si>
  <si>
    <t>"LA02768|CLA12902|" + S5 + "|"+(Jong +"0"+F6+"0")+"|"+(Age+n)</t>
  </si>
  <si>
    <t>"LA02768|CLA15809|" + 0 + "|"+(Jong +"0"+F6+"0")+"|"+If(S1=0,n,0)</t>
  </si>
  <si>
    <t>보통약관(상해80%이상후유장해(간편,갱신형))</t>
  </si>
  <si>
    <t>보통약관(상해80%이상후유장해(갱신형))</t>
  </si>
  <si>
    <t>상해중환자실입원비(1일이상180일한도)(간편,갱신형)</t>
  </si>
  <si>
    <t>상해중환자실입원비(1일이상180일한도)(갱신형)</t>
  </si>
  <si>
    <t>상해수술비(간편,갱신형)</t>
  </si>
  <si>
    <t>상해성뇌출혈수술비(수술1회당)(간편,갱신형)</t>
  </si>
  <si>
    <t>상해성뇌출혈수술비(수술1회당)(갱신형)</t>
  </si>
  <si>
    <t>골절(치아파절제외)진단비(간편,갱신형)</t>
  </si>
  <si>
    <t>골절(치아파절제외)진단비(갱신형)</t>
  </si>
  <si>
    <t>5대골절진단비(간편,갱신형)</t>
  </si>
  <si>
    <t>5대골절진단비(갱신형)</t>
  </si>
  <si>
    <t>화상진단비(간편,갱신형)</t>
  </si>
  <si>
    <t>화상진단비(갱신형)</t>
  </si>
  <si>
    <t>질병입원비(1일이상180일한도)(간편,갱신형)</t>
  </si>
  <si>
    <t>질병중환자실입원비(1일이상180일한도)(간편,갱신형)</t>
  </si>
  <si>
    <t>질병중환자실입원비(1일이상180일한도)(갱신형)</t>
  </si>
  <si>
    <t>질병수술비(간편,갱신형)</t>
  </si>
  <si>
    <t>암(4대유사암제외)진단비(간편,갱신형)</t>
  </si>
  <si>
    <t>상해입원비(1일이상180일한도)(간편,갱신형)</t>
  </si>
  <si>
    <t>상해입원비(1일이상180일한도)(갱신형)</t>
  </si>
  <si>
    <t>암(4대유사암제외)항암방사선치료비(1회한)(간편,갱신형)</t>
  </si>
  <si>
    <t>암(4대유사암제외)항암약물치료비(1회한)(간편,갱신형)</t>
  </si>
  <si>
    <t>4대유사암진단비(기타피부암)(간편,갱신형)</t>
  </si>
  <si>
    <t>4대유사암진단비(갑상선암)(간편,갱신형)</t>
  </si>
  <si>
    <t>4대유사암진단비(제자리암)(간편,갱신형)</t>
  </si>
  <si>
    <t>4대유사암진단비(경계성종양)(간편,갱신형)</t>
  </si>
  <si>
    <t>암(4대유사암제외)수술비(1회한)(간편,갱신형)</t>
  </si>
  <si>
    <t>암(4대유사암제외)수술비(1회한)(갱신형)</t>
  </si>
  <si>
    <t>암(4대유사암포함)직접치료입원비Ⅱ(요양병원제외,4일이상120일한도)(간편,갱신형)</t>
  </si>
  <si>
    <t>암(4대유사암포함)직접치료입원비Ⅱ(요양병원제외,4일이상120일한도)(갱신형)</t>
  </si>
  <si>
    <t>암(4대유사암포함)요양병원입원비Ⅱ(4일이상90일한도)(간편,갱신형)</t>
  </si>
  <si>
    <t>암(4대유사암포함)요양병원입원비Ⅱ(4일이상90일한도)(갱신형)</t>
  </si>
  <si>
    <t>뇌혈관질환진단비(간편,갱신형)</t>
  </si>
  <si>
    <t>뇌졸중진단비(간편,갱신형)</t>
  </si>
  <si>
    <t>뇌출혈진단비(간편,갱신형)</t>
  </si>
  <si>
    <t>뇌출혈진단비(갱신형)</t>
  </si>
  <si>
    <t>뇌혈관질환수술비(수술1회당)(간편,갱신형)</t>
  </si>
  <si>
    <t>뇌혈관질환수술비(수술1회당)(갱신형)</t>
  </si>
  <si>
    <t>뇌졸중수술비(수술1회당)(간편,갱신형)</t>
  </si>
  <si>
    <t>뇌졸중수술비(수술1회당)(갱신형)</t>
  </si>
  <si>
    <t>뇌혈관질환수술비(1회한)(간편,갱신형)</t>
  </si>
  <si>
    <t>뇌혈관질환수술비(1회한)(갱신형)</t>
  </si>
  <si>
    <t>뇌경색증혈전용해치료비(1회한)(간편,갱신형)</t>
  </si>
  <si>
    <t>뇌경색증혈전용해치료비(1회한)(갱신형)</t>
  </si>
  <si>
    <t>허혈성심장질환진단비(간편,갱신형)</t>
  </si>
  <si>
    <t>급성심근경색증진단비(간편,갱신형)</t>
  </si>
  <si>
    <t>허혈성심장질환수술비(수술1회당)(간편,갱신형)</t>
  </si>
  <si>
    <t>허혈성심장질환수술비(수술1회당)(갱신형)</t>
  </si>
  <si>
    <t>급성심근경색증수술비(수술1회당)(간편,갱신형)</t>
  </si>
  <si>
    <t>급성심근경색증수술비(수술1회당)(갱신형)</t>
  </si>
  <si>
    <t>허혈성심장질환수술비(1회한)(간편,갱신형)</t>
  </si>
  <si>
    <t>허혈성심장질환수술비(1회한)(갱신형)</t>
  </si>
  <si>
    <t>특정급성심근경색증혈전용해치료비(1회한)(간편,갱신형)</t>
  </si>
  <si>
    <t>특정급성심근경색증혈전용해치료비(1회한)(갱신형)</t>
  </si>
  <si>
    <t>암(4대유사암제외)항암방사선약물치료비(연간1회한,급여)(간편,갱신형)</t>
  </si>
  <si>
    <t>상해사망(간편,갱신형)</t>
  </si>
  <si>
    <t>상해사망(갱신형)</t>
  </si>
  <si>
    <t>질병사망(간편,갱신형)</t>
  </si>
  <si>
    <t>질병80%이상후유장해(간편,갱신형)</t>
  </si>
  <si>
    <t>질병80%이상후유장해(갱신형)</t>
  </si>
  <si>
    <t>특정유사암항암방사선치료비(세부보장별각1회한)(간편,갱신형)</t>
  </si>
  <si>
    <t>특정유사암항암방사선치료비(세부보장별각1회한)(갱신형)</t>
  </si>
  <si>
    <t>특정유사암항암약물치료비(세부보장별각1회한)(간편,갱신형)</t>
  </si>
  <si>
    <t>특정유사암항암약물치료비(세부보장별각1회한)(갱신형)</t>
  </si>
  <si>
    <t>암(특정유사암포함)표적항암약물허가치료비(1회한)(간편,갱신형)</t>
  </si>
  <si>
    <t>통풍진단비(간편,갱신형)</t>
  </si>
  <si>
    <t>통풍진단비(갱신형)</t>
  </si>
  <si>
    <t>특정8대기관양성종양및폴립수술비(연간1회한,급여)(간편,갱신형)</t>
  </si>
  <si>
    <t>124대질병(특정10대질병)수술비(간편,갱신형)</t>
  </si>
  <si>
    <t>124대질병(특정13대질병A)수술비(간편,갱신형)</t>
  </si>
  <si>
    <t>124대질병(특정13대질병B)수술비(간편,갱신형)</t>
  </si>
  <si>
    <t>124대질병(30대경증질병)수술비(간편,갱신형)</t>
  </si>
  <si>
    <t>124대질병(50대경증질병)수술비(간편,갱신형)</t>
  </si>
  <si>
    <t>124대질병(7대생활질병)수술비(간편,갱신형)</t>
  </si>
  <si>
    <t>124대질병(치핵)수술비(간편,갱신형)</t>
  </si>
  <si>
    <t>상해1-5종수술비Ⅲ(1종)(간편,갱신형)</t>
  </si>
  <si>
    <t>상해1-5종수술비Ⅲ(1종)(갱신형)</t>
  </si>
  <si>
    <t>상해1-5종수술비Ⅲ(2종)(간편,갱신형)</t>
  </si>
  <si>
    <t>상해1-5종수술비Ⅲ(2종)(갱신형)</t>
  </si>
  <si>
    <t>상해1-5종수술비Ⅲ(3종)(간편,갱신형)</t>
  </si>
  <si>
    <t>상해1-5종수술비Ⅲ(3종)(갱신형)</t>
  </si>
  <si>
    <t>상해1-5종수술비Ⅲ(4종)(간편,갱신형)</t>
  </si>
  <si>
    <t>상해1-5종수술비Ⅲ(4종)(갱신형)</t>
  </si>
  <si>
    <t>상해1-5종수술비Ⅲ(5종)(간편,갱신형)</t>
  </si>
  <si>
    <t>상해1-5종수술비Ⅲ(5종)(갱신형)</t>
  </si>
  <si>
    <t>질병1-5종수술비Ⅲ(1종)(간편,갱신형)</t>
  </si>
  <si>
    <t>질병1-5종수술비Ⅲ(1종)(갱신형)</t>
  </si>
  <si>
    <t>질병1-5종수술비Ⅲ(2종)(간편,갱신형)</t>
  </si>
  <si>
    <t>질병1-5종수술비Ⅲ(2종)(갱신형)</t>
  </si>
  <si>
    <t>질병1-5종수술비Ⅲ(3종)(간편,갱신형)</t>
  </si>
  <si>
    <t>질병1-5종수술비Ⅲ(3종)(갱신형)</t>
  </si>
  <si>
    <t>질병1-5종수술비Ⅲ(4종)(간편,갱신형)</t>
  </si>
  <si>
    <t>질병1-5종수술비Ⅲ(4종)(갱신형)</t>
  </si>
  <si>
    <t>질병1-5종수술비Ⅲ(5종)(간편,갱신형)</t>
  </si>
  <si>
    <t>질병1-5종수술비Ⅲ(5종)(갱신형)</t>
  </si>
  <si>
    <t>암(특정유사암포함)항암양성자방사선치료비(1회한)(간편,갱신형)</t>
  </si>
  <si>
    <t>암(특정유사암포함)항암세기조절방사선치료비(1회한)(간편,갱신형)</t>
  </si>
  <si>
    <t>암(4대유사암제외)특정항암호르몬약물허가치료비(1회한)(간편,갱신형)</t>
  </si>
  <si>
    <t>갑상선암호르몬약물허가치료비(1회한)(간편,갱신형)</t>
  </si>
  <si>
    <t>갑상선암호르몬약물허가치료비(1회한)(갱신형)</t>
  </si>
  <si>
    <t>상해중환자실입원비(1일이상30일한도)(간편,갱신형)</t>
  </si>
  <si>
    <t>상해중환자실입원비(1일이상30일한도)(갱신형)</t>
  </si>
  <si>
    <t>질병중환자실입원비(1일이상30일한도)(간편,갱신형)</t>
  </si>
  <si>
    <t>질병중환자실입원비(1일이상30일한도)(갱신형)</t>
  </si>
  <si>
    <t>암(4대유사암포함)직접치료통원비(1일1회,연간30일한)(간편,갱신형)</t>
  </si>
  <si>
    <t>암(4대유사암포함)직접치료통원비(1일1회,연간30일한)(갱신형)</t>
  </si>
  <si>
    <t>화상진단비(표재성포함2도이상,연간1회한)(간편,갱신형)</t>
  </si>
  <si>
    <t>화상진단비(표재성포함2도이상,연간1회한)(갱신형)</t>
  </si>
  <si>
    <t>암(4대유사암제외)수술비Ⅱ(수술1회당)(간편,갱신형)</t>
  </si>
  <si>
    <t>4대유사암수술비Ⅱ(수술1회당)(간편,갱신형)</t>
  </si>
  <si>
    <t>골절(치아파절포함)진단비(간편,갱신형)</t>
  </si>
  <si>
    <t>골절(치아파절포함)진단비(갱신형)</t>
  </si>
  <si>
    <t>카티(CAR-T)항암약물허가치료비(1회한)(간편,갱신형)</t>
  </si>
  <si>
    <t>특정상해성뇌출혈진단비(간편,갱신형)</t>
  </si>
  <si>
    <t>특정상해성뇌출혈진단비(갱신형)</t>
  </si>
  <si>
    <t>뇌혈관질환(90일면책)진단비(간편,갱신형)</t>
  </si>
  <si>
    <t>뇌혈관질환(90일면책)진단비(갱신형)</t>
  </si>
  <si>
    <t>허혈성심장질환(90일면책)진단비(간편,갱신형)</t>
  </si>
  <si>
    <t>허혈성심장질환(90일면책)진단비(갱신형)</t>
  </si>
  <si>
    <t>암(특정유사암포함)표적항암약물허가치료비(연간1회한)(간편,갱신형)</t>
  </si>
  <si>
    <t>깁스치료비(간편,갱신형)</t>
  </si>
  <si>
    <t>깁스치료비(갱신형)</t>
  </si>
  <si>
    <t>응급실내원치료비(응급)(간편,갱신형)</t>
  </si>
  <si>
    <t>응급실내원치료비(응급)(갱신형)</t>
  </si>
  <si>
    <t>상해1-5종수술비Ⅳ(수술1회당)(1종)(간편,갱신형)</t>
  </si>
  <si>
    <t>상해1-5종수술비Ⅳ(수술1회당)(2종)(간편,갱신형)</t>
  </si>
  <si>
    <t>상해1-5종수술비Ⅳ(수술1회당)(3종)(간편,갱신형)</t>
  </si>
  <si>
    <t>상해1-5종수술비Ⅳ(수술1회당)(4종)(간편,갱신형)</t>
  </si>
  <si>
    <t>상해1-5종수술비Ⅳ(수술1회당)(5종)(간편,갱신형)</t>
  </si>
  <si>
    <t>질병1-5종수술비Ⅳ(수술1회당)(1종)(간편,갱신형)</t>
  </si>
  <si>
    <t>질병1-5종수술비Ⅳ(수술1회당)(2종)(간편,갱신형)</t>
  </si>
  <si>
    <t>질병1-5종수술비Ⅳ(수술1회당)(3종)(간편,갱신형)</t>
  </si>
  <si>
    <t>질병1-5종수술비Ⅳ(수술1회당)(4종)(간편,갱신형)</t>
  </si>
  <si>
    <t>질병1-5종수술비Ⅳ(수술1회당)(5종)(간편,갱신형)</t>
  </si>
  <si>
    <t>암(특정유사암포함)항암방사선치료비(치료1회당)(간편,갱신형)</t>
  </si>
  <si>
    <t>암(특정유사암포함)항암약물치료비(치료1회당)(간편,갱신형)</t>
  </si>
  <si>
    <t>입원생활비(연간180일한도)(간편,갱신형)</t>
  </si>
  <si>
    <t>입원생활비(연간180일한도)(갱신형)</t>
  </si>
  <si>
    <t>종합병원입원생활비(연간180일한도)(간편,갱신형)</t>
  </si>
  <si>
    <t>종합병원입원생활비(연간180일한도)(갱신형)</t>
  </si>
  <si>
    <t>상급종합병원입원생활비(연간180일한도)(간편,갱신형)</t>
  </si>
  <si>
    <t>상급종합병원입원생활비(연간180일한도)(갱신형)</t>
  </si>
  <si>
    <t>종합병원1인실,2-3인실입원생활비(각연간30일한도)(간편,갱신형)</t>
  </si>
  <si>
    <t>종합병원1인실,2-3인실입원생활비(각연간30일한도)(갱신형)</t>
  </si>
  <si>
    <t>상급종합병원1인실,2-3인실입원생활비(각연간30일한도)(간편,갱신형)</t>
  </si>
  <si>
    <t>상급종합병원1인실,2-3인실입원생활비(각연간30일한도)(갱신형)</t>
  </si>
  <si>
    <t>간병인사용입원생활비(요양병원제외,연간180일한도)(간편,갱신형)</t>
  </si>
  <si>
    <t>간병인사용입원생활비(요양병원제외,연간180일한도)(갱신형)</t>
  </si>
  <si>
    <t>간병인사용입원생활비(요양병원,연간180일한도)(간편,갱신형)</t>
  </si>
  <si>
    <t>간병인사용입원생활비(요양병원,연간180일한도)(갱신형)</t>
  </si>
  <si>
    <t>간호간병통합서비스입원생활비(요양병원제외,연간180일한도)(간편,갱신형)</t>
  </si>
  <si>
    <t>간호간병통합서비스입원생활비(요양병원제외,연간180일한도)(갱신형)</t>
  </si>
  <si>
    <t>2대주요기관질병스텐트삽입술및풍선혈관성형수술비(연간1회한,급여)(간편,갱신형)</t>
  </si>
  <si>
    <t>2대주요기관질병스텐트삽입술및풍선혈관성형수술비(연간1회한,급여)(갱신형)</t>
  </si>
  <si>
    <t>뇌졸중혈전용해치료비(연간1회한)(간편,갱신형)</t>
  </si>
  <si>
    <t>뇌졸중혈전용해치료비(연간1회한)(갱신형)</t>
  </si>
  <si>
    <t>뇌졸중혈전용해치료비(1회한)(간편,갱신형)</t>
  </si>
  <si>
    <t>뇌졸중혈전용해치료비(1회한)(갱신형)</t>
  </si>
  <si>
    <t>특정급성심근경색증혈전용해치료비(연간1회한)(간편,갱신형)</t>
  </si>
  <si>
    <t>특정급성심근경색증혈전용해치료비(연간1회한)(갱신형)</t>
  </si>
  <si>
    <t>혈전제거치료비(연간1회한,급여)(간편,갱신형)</t>
  </si>
  <si>
    <t>혈전제거치료비(연간1회한,급여)(갱신형)</t>
  </si>
  <si>
    <t>암(4대유사암제외)특정항암호르몬약물허가치료비(연간1회한)(간편,갱신형)</t>
  </si>
  <si>
    <t>암(4대유사암제외)진단후특정치료비(진단후10년,연간1회한)(간편,갱신형)</t>
  </si>
  <si>
    <t>암(4대유사암제외)진단후특정치료비(진단후10년,연간1회한)(갱신형)</t>
  </si>
  <si>
    <t>특정유사암진단후특정치료비(진단후10년,연간1회한)(간편,갱신형)</t>
  </si>
  <si>
    <t>특정유사암진단후특정치료비(진단후10년,연간1회한)(갱신형)</t>
  </si>
  <si>
    <t>암(4대유사암제외)진단후특정치료비(진단후10년,연간1회한)(발생자용)(간편,갱신형)</t>
  </si>
  <si>
    <t>암(4대유사암제외)진단후특정치료비(진단후10년,연간1회한)(발생자용)(갱신형)</t>
  </si>
  <si>
    <t>특정유사암진단후특정치료비(진단후10년,연간1회한)(발생자용)(간편,갱신형)</t>
  </si>
  <si>
    <t>특정유사암진단후특정치료비(진단후10년,연간1회한)(발생자용)(갱신형)</t>
  </si>
  <si>
    <t>입원생활비(요양,정신,한방병원제외,연간181일이상)(간편,갱신형)</t>
  </si>
  <si>
    <t>입원생활비(요양,정신,한방병원제외,연간181일이상)(갱신형)</t>
  </si>
  <si>
    <t>종합병원입원생활비(연간181일이상)(간편,갱신형)</t>
  </si>
  <si>
    <t>종합병원입원생활비(연간181일이상)(갱신형)</t>
  </si>
  <si>
    <t>간호간병통합서비스입원생활비(요양,정신,한방병원제외,연간181일이상)(간편,갱신형)</t>
  </si>
  <si>
    <t>간호간병통합서비스입원생활비(요양,정신,한방병원제외,연간181일이상)(갱신형)</t>
  </si>
  <si>
    <t>간병인사용입원생활비(요양,정신,한방병원제외,연간181일이상)(간편,갱신형)</t>
  </si>
  <si>
    <t>간병인사용입원생활비(요양,정신,한방병원제외,연간181일이상)(갱신형)</t>
  </si>
  <si>
    <t>간병인사용입원생활비(요양병원,연간181일이상)(간편,갱신형)</t>
  </si>
  <si>
    <t>간병인사용입원생활비(요양병원,연간181일이상)(갱신형)</t>
  </si>
  <si>
    <t>질병수술비(특정10대질병제외)(갱신형)</t>
  </si>
  <si>
    <t>질병수술비(특정10대질병제외)(간편,갱신형)</t>
  </si>
  <si>
    <t>질병수술비(특정4대질병Ⅱ제외)(갱신형)</t>
  </si>
  <si>
    <t>질병수술비(특정4대질병Ⅱ제외)(간편,갱신형)</t>
  </si>
  <si>
    <t>2대질병진단후특정치료비(진단후10년,연간1회한)(갱신형)</t>
  </si>
  <si>
    <t>2대질병진단후특정치료비(상급종합병원,권역심뇌혈관질환센터)(진단후10년,연간1회한)(갱신형)</t>
  </si>
  <si>
    <t>2대질병진단후특정치료비(진단후10년,연간1회한)(간편,갱신형)</t>
  </si>
  <si>
    <t>2대질병진단후특정치료비(상급종합병원,권역심뇌혈관질환센터)(진단후10년,연간1회한)(간편,갱신형)</t>
  </si>
  <si>
    <t>2대질병진단후특정치료비(진단후10년,연간1회한)(발생자용)(갱신형)</t>
  </si>
  <si>
    <t>2대질병진단후특정치료비(상급종합병원,권역심뇌혈관질환센터)(진단후10년,연간1회한)(발생자용)(갱신형)</t>
  </si>
  <si>
    <t>2대질병진단후특정치료비(진단후10년,연간1회한)(발생자용)(간편,갱신형)</t>
  </si>
  <si>
    <t>2대질병진단후특정치료비(상급종합병원,권역심뇌혈관질환센터)(진단후10년,연간1회한)(발생자용)(간편,갱신형)</t>
  </si>
  <si>
    <t>2대질병특정치료비(요양병원제외,연간1회한)(갱신형)</t>
  </si>
  <si>
    <t>2대질병특정치료비(요양병원제외,연간1회한)(간편,갱신형)</t>
  </si>
  <si>
    <t>경증순환계질환특정치료비(요양병원제외,연간1회한)(갱신형)</t>
  </si>
  <si>
    <t>중등증순환계질환특정치료비(요양병원제외,연간1회한)(갱신형)</t>
  </si>
  <si>
    <t>중증순환계질환특정치료비(요양병원제외,연간1회한)(갱신형)</t>
  </si>
  <si>
    <t>중등증Ⅱ순환계질환특정치료비(요양병원제외,연간1회한)(갱신형)</t>
  </si>
  <si>
    <t>경증순환계질환특정치료비(요양병원제외,연간1회한)(간편,갱신형)</t>
  </si>
  <si>
    <t>중등증순환계질환특정치료비(요양병원제외,연간1회한)(간편,갱신형)</t>
  </si>
  <si>
    <t>중증순환계질환특정치료비(요양병원제외,연간1회한)(간편,갱신형)</t>
  </si>
  <si>
    <t>중등증Ⅱ순환계질환특정치료비(요양병원제외,연간1회한)(간편,갱신형)</t>
  </si>
  <si>
    <t>폐렴진단비(갱신형)</t>
  </si>
  <si>
    <t>폐렴진단비(연간1회한)(갱신형)</t>
  </si>
  <si>
    <t>폐렴진단비(간편,갱신형)</t>
  </si>
  <si>
    <t>폐렴진단비(연간1회한)(간편,갱신형)</t>
  </si>
  <si>
    <t>천식진단비(갱신형)</t>
  </si>
  <si>
    <t>천식진단비(간편,갱신형)</t>
  </si>
  <si>
    <t>패혈증진단비(갱신형)</t>
  </si>
  <si>
    <t>패혈증진단비(연간1회한)(갱신형)</t>
  </si>
  <si>
    <t>패혈증진단비(간편,갱신형)</t>
  </si>
  <si>
    <t>패혈증진단비(연간1회한)(간편,갱신형)</t>
  </si>
  <si>
    <t>웰엔딩장례서비스Ⅰ(상해사망체증형) 특별약관(갱신형)</t>
  </si>
  <si>
    <t>웰엔딩장례서비스Ⅱ(질병사망체증형) 특별약관(갱신형)</t>
  </si>
  <si>
    <t>통합상해진단비Ⅱ(갱신형)</t>
  </si>
  <si>
    <t>보통약관(상해사망)(갱신형)</t>
  </si>
  <si>
    <t>상해80%이상후유장해(갱신형)</t>
  </si>
  <si>
    <t>뇌혈관질환진단비-1라인오차(갱신형)</t>
  </si>
  <si>
    <t>심장판막협착증(대동맥판막)진단비(갱신형)</t>
  </si>
  <si>
    <t>심근병증진단비(갱신형)</t>
  </si>
  <si>
    <t>특정양성뇌종양진단비(갱신형)</t>
  </si>
  <si>
    <t>심장부정맥고주파·냉각절제술치료비(연간1회한,급여) - 안맞음(1차이)(갱신형)</t>
  </si>
  <si>
    <t>질병중환자실입원비(1일이상10일한도)(갱신형)</t>
  </si>
  <si>
    <t>관상동맥성형술치료비(연간1회한,급여)(갱신형)</t>
  </si>
  <si>
    <t>특정뇌동맥질환혈관색전술치료비(연간1회한,급여)(갱신형)</t>
  </si>
  <si>
    <t>상해후유장해(3-100%)(갱신형)</t>
  </si>
  <si>
    <t>추간판장애수술비(갱신형)</t>
  </si>
  <si>
    <t>관절증(엉덩,무릎)수술비(수술1회당)(갱신형)</t>
  </si>
  <si>
    <t>상해중환자실입원비(1일이상10일한도)(갱신형)</t>
  </si>
  <si>
    <t>조혈모세포이식수술비(1회한)(갱신형)</t>
  </si>
  <si>
    <t>각막이식수술비(1회한)(갱신형)</t>
  </si>
  <si>
    <t>5대장기이식수술비(1회한)(갱신형)</t>
  </si>
  <si>
    <t>갑상선바늘생검조직병리검사비(연간1회한,급여)(갱신형)</t>
  </si>
  <si>
    <t>7대기관질병수술비(간관련질병)(관혈,비관혈)(연간1회한)(갱신형)</t>
  </si>
  <si>
    <t>7대기관질병수술비(심장관련질병)(관혈,비관혈)(연간1회한)(갱신형)</t>
  </si>
  <si>
    <t>7대기관질병수술비(신부전)(관혈,비관혈)(연간1회한)(갱신형)</t>
  </si>
  <si>
    <t>7대기관질병수술비(특정장질환)(관혈,비관혈)(연간1회한)(갱신형)</t>
  </si>
  <si>
    <t>7대기관질병수술비(뇌혈관질환)(관혈,비관혈)(연간1회한)(갱신형)</t>
  </si>
  <si>
    <t>7대기관질병수술비(폐질환)(관혈,비관혈)(연간1회한)(갱신형)</t>
  </si>
  <si>
    <t>7대기관질병수술비(담낭,담도및췌장질환)(관혈,비관혈)(연간1회한)(갱신형)</t>
  </si>
  <si>
    <t>대상포진진단비(갱신형)</t>
  </si>
  <si>
    <t>질병1-8종수술비Ⅲ(급여,시술포함,연간3회한)(1종)(갱신형)</t>
  </si>
  <si>
    <t>질병1-8종수술비Ⅲ(급여,시술포함,연간3회한)(2종)(갱신형)</t>
  </si>
  <si>
    <t>질병1-8종수술비Ⅲ(급여,시술포함,연간3회한)(3종)(갱신형)</t>
  </si>
  <si>
    <t>질병1-8종수술비Ⅲ(급여,시술포함,연간3회한)(4종)(갱신형)</t>
  </si>
  <si>
    <t>질병1-8종수술비Ⅲ(급여,시술포함,연간3회한)(5종)(갱신형)</t>
  </si>
  <si>
    <t>질병1-8종수술비Ⅲ(급여,시술포함,연간3회한)(6종)(갱신형)</t>
  </si>
  <si>
    <t>질병1-8종수술비Ⅲ(급여,시술포함,연간3회한)(7종)(갱신형)</t>
  </si>
  <si>
    <t>질병1-8종수술비Ⅲ(급여,시술포함,연간3회한)(8종)(갱신형)</t>
  </si>
  <si>
    <t>창상봉합술치료발생금(안면부제외,1일1회,5cm이상,연간3회한,급여)(갱신형)</t>
  </si>
  <si>
    <t>유방바늘생검조직병리검사비(연간1회한,급여)(갱신형)</t>
  </si>
  <si>
    <t>뇌전증진단비(갱신형)</t>
  </si>
  <si>
    <t>특정전염병발생금(갱신형)</t>
  </si>
  <si>
    <t>대상포진눈병진단비(갱신형)</t>
  </si>
  <si>
    <t>특정유방병변진공흡인절제치료비(1회한)(갱신형)</t>
  </si>
  <si>
    <t>암(4대유사암포함)직접치료상급종합병원통원비(갱신형)</t>
  </si>
  <si>
    <t>상해1-8종수술비Ⅲ(급여,시술포함,연간3회한)(1종)(갱신형)</t>
  </si>
  <si>
    <t>상해1-8종수술비Ⅲ(급여,시술포함,연간3회한)(2종)(갱신형)</t>
  </si>
  <si>
    <t>상해1-8종수술비Ⅲ(급여,시술포함,연간3회한)(3종)(갱신형)</t>
  </si>
  <si>
    <t>상해1-8종수술비Ⅲ(급여,시술포함,연간3회한)(4종)(갱신형)</t>
  </si>
  <si>
    <t>상해1-8종수술비Ⅲ(급여,시술포함,연간3회한)(5종)(갱신형)</t>
  </si>
  <si>
    <t>상해1-8종수술비Ⅲ(급여,시술포함,연간3회한)(6종)(갱신형)</t>
  </si>
  <si>
    <t>상해1-8종수술비Ⅲ(급여,시술포함,연간3회한)(7종)(갱신형)</t>
  </si>
  <si>
    <t>상해1-8종수술비Ⅲ(급여,시술포함,연간3회한)(8종)(갱신형)</t>
  </si>
  <si>
    <t>말기폐질환진단비(갱신형)</t>
  </si>
  <si>
    <t>뇌혈관질환직접치료통원비(1일1회,연간30일한)(갱신형)</t>
  </si>
  <si>
    <t>허혈성심장질환직접치료통원비(1일1회,연간30일한)(갱신형)</t>
  </si>
  <si>
    <t>질병간호간병통합서비스입원비(요양병원제외,1일이상180일한도)(갱신형)</t>
  </si>
  <si>
    <t>독감(인플루엔자)입원비(1일이상30일한도)(갱신형)</t>
  </si>
  <si>
    <t>상해간호간병통합서비스입원비(요양병원제외,1일이상180일한도)(갱신형)</t>
  </si>
  <si>
    <t>질병상급종합병원입원비(1일이상180일한도)(갱신형)</t>
  </si>
  <si>
    <t>허혈성심장질환직접치료종합병원통원비(1일1회,연간30일한)(갱신형)</t>
  </si>
  <si>
    <t>뇌혈관질환직접치료종합병원통원비(1일1회,연간30일한)(갱신형)</t>
  </si>
  <si>
    <t>암(4대유사암포함)검사(PET)지원비(연간1회한,급여)(갱신형)</t>
  </si>
  <si>
    <t>투석치료비(최초1회한,급여)(갱신형)</t>
  </si>
  <si>
    <t>투석치료비(연간1회한,급여)(갱신형)</t>
  </si>
  <si>
    <t>보장보험료50%납입지원Ⅱ(4대유사암)(갱신형)</t>
  </si>
  <si>
    <t>상해사망추가(갱신형)</t>
  </si>
  <si>
    <t>질병수술비(특정9대질병제외)(갱신형)</t>
  </si>
  <si>
    <t>자궁근종고강도초음파집속술(HIFU)치료비(1회한)(갱신형)</t>
  </si>
  <si>
    <t>암(4대유사암포함)MRI촬영검사지원비(연간1회한,급여)(갱신형)</t>
  </si>
  <si>
    <t>암(4대유사암포함)내시경검사지원비(연간1회한,급여)(갱신형)</t>
  </si>
  <si>
    <t>특정NGS유전자패널검사지원비(연간1회한,급여)(갱신형)</t>
  </si>
  <si>
    <t>질병수술비(수술1회당)(갱신형)</t>
  </si>
  <si>
    <t>상해간호간병통합서비스입원비(요양병원제외,1일이상30일한도)(갱신형)</t>
  </si>
  <si>
    <t>질병간호간병통합서비스입원비(요양병원제외,1일이상30일한도)(갱신형)</t>
  </si>
  <si>
    <t>상해간호간병통합서비스입원비(종합병원,1일이상30일한도)(갱신형)</t>
  </si>
  <si>
    <t>질병간호간병통합서비스입원비(종합병원,1일이상30일한도)(갱신형)</t>
  </si>
  <si>
    <t>상해간호간병통합서비스입원비(종합병원,1일이상180일한도)(갱신형)</t>
  </si>
  <si>
    <t>질병간호간병통합서비스입원비(종합병원,1일이상180일한도)(갱신형)</t>
  </si>
  <si>
    <t>상해간호간병통합서비스입원비(상급종합병원,1일이상30일한도)(갱신형)</t>
  </si>
  <si>
    <t>질병간호간병통합서비스입원비(상급종합병원,1일이상30일한도)(갱신형)</t>
  </si>
  <si>
    <t>상해간호간병통합서비스입원비(상급종합병원,1일이상180일한도)(갱신형)</t>
  </si>
  <si>
    <t>질병간호간병통합서비스입원비(상급종합병원,1일이상180일한도)(갱신형)</t>
  </si>
  <si>
    <t>간병인사용질병입원비Ⅱ(요양병원제외,1일이상180일한도)(갱신형)</t>
  </si>
  <si>
    <t>간병인사용질병입원비Ⅱ(요양병원,1일이상180일한도)(갱신형)</t>
  </si>
  <si>
    <t>간병인사용질병입원비Ⅱ(간호간병통합서비스,1일이상180일한도)(갱신형)</t>
  </si>
  <si>
    <t>간병인사용상해입원비Ⅱ(요양병원제외,1일이상180일한도)(갱신형)</t>
  </si>
  <si>
    <t>간병인사용상해입원비Ⅱ(요양병원,1일이상180일한도)(갱신형)</t>
  </si>
  <si>
    <t>간병인사용상해입원비Ⅱ(간호간병통합서비스,1일이상180일한도)(갱신형)</t>
  </si>
  <si>
    <t>상해사망(연만기)(갱신형)</t>
  </si>
  <si>
    <t>중증화상및부식진단비(갱신형)</t>
  </si>
  <si>
    <t>상해흉터복원수술비Ⅱ(갱신형)</t>
  </si>
  <si>
    <t>질병사망(연만기)(갱신형)</t>
  </si>
  <si>
    <t>말기신부전증진단비(갱신형)</t>
  </si>
  <si>
    <t>말기간경화진단비(갱신형)</t>
  </si>
  <si>
    <t>중대한재생불량성빈혈진단비(갱신형)</t>
  </si>
  <si>
    <t>남성특정비뇨기계질환수술비(수술1회당)(갱신형)</t>
  </si>
  <si>
    <t>호흡기질환수술비(수술1회당)(갱신형)</t>
  </si>
  <si>
    <t>인공관절치환수술비(견관절,고관절,슬관절)(연간1회한,급여)(갱신형)</t>
  </si>
  <si>
    <t>크론병진단비(갱신형)</t>
  </si>
  <si>
    <t>특정부인과질병수술비(수술1회당)(갱신형)</t>
  </si>
  <si>
    <t>신깁스치료비(급여)(갱신형)</t>
  </si>
  <si>
    <t>이비인후과질환수술비(수술1회당)(갱신형)</t>
  </si>
  <si>
    <t>갑상선기능항진증치료비(1회한,급여)(갱신형)</t>
  </si>
  <si>
    <t>암(특정유사암포함)특정재활치료비(1일1회,연간10회한,급여)(갱신형)</t>
  </si>
  <si>
    <t>암(4대유사암제외)특정통증완화치료비(연간1회한,급여)(갱신형)</t>
  </si>
  <si>
    <t>주요심장염증질환진단비(갱신형)</t>
  </si>
  <si>
    <t>특정상해성뇌손상진단비(갱신형)</t>
  </si>
  <si>
    <t>특정상해성장기손상진단비(갱신형)</t>
  </si>
  <si>
    <t>급성신우신염진단비(갱신형)</t>
  </si>
  <si>
    <t>혈전용해치료비(연간1회한,급여)(갱신형)</t>
  </si>
  <si>
    <t>안면부창상봉합술치료발생금(1일1회,3㎝이상,급여)(갱신형)</t>
  </si>
  <si>
    <t>상하지(손,발제외)절골술및체내금속고정수술비(연간1회한,급여)(갱신형)</t>
  </si>
  <si>
    <t>보장보험료납입면제대상보장(8대사유)(갱신형)</t>
  </si>
  <si>
    <t>보장보험료납입면제지원(암(4대유사암제외),뇌혈관질환,허혈성심장질환,80%이상후유장해및말기3대질병)(갱신형)</t>
  </si>
  <si>
    <t>보장보험료납입면제지원(암(4대유사암제외))(갱신형)</t>
  </si>
  <si>
    <t>보장보험료납입면제지원(암(4대유사암제외),뇌졸중,급성심근경색증)(갱신형)</t>
  </si>
  <si>
    <t>전립선바늘생검조직병리검사비(연간1회한,급여)(갱신형)</t>
  </si>
  <si>
    <t>교통상해사망(갱신형)</t>
  </si>
  <si>
    <t>교통상해사망(연만기)(갱신형)</t>
  </si>
  <si>
    <t>특정천공진단비(갱신형)</t>
  </si>
  <si>
    <t>특정천공동반질병진단비(갱신형)</t>
  </si>
  <si>
    <t>특정천공동반게실병진단비(갱신형)</t>
  </si>
  <si>
    <t>특정치료합병증진단비(심장및혈관인공삽입장치,이식기관및조직)(갱신형)</t>
  </si>
  <si>
    <t>특정쇼크(shock)진단비(갱신형)</t>
  </si>
  <si>
    <t>골다공증진단비(갱신형)</t>
  </si>
  <si>
    <t>특정화상처치비(연간5회한,급여)(갱신형)</t>
  </si>
  <si>
    <t>질병입원비(1일이상10일한도)(갱신형)</t>
  </si>
  <si>
    <t>웰엔딩장례지원금Ⅰ(상해사망체증형)  --안맞음(갱신형)</t>
  </si>
  <si>
    <t>웰엔딩장례지원금Ⅱ(질병사망체증형)(갱신형)</t>
  </si>
  <si>
    <t>상해1-5종수술비Ⅳ(수술1회당)(1종) (갱신형)</t>
  </si>
  <si>
    <t>상해질병치료지원금(치과포함)(중위소득50%이상,최초1회한,급여)(갱신형)</t>
  </si>
  <si>
    <t>상해질병치료지원금(치과포함)(중위소득100%이상,최초1회한,급여)(갱신형)</t>
  </si>
  <si>
    <t>상해질병치료지원금(치과포함)(중위소득200%이상,최초1회한,급여)(갱신형)</t>
  </si>
  <si>
    <t>상해질병치료지원금(치과포함)(중위소득300%이상,최초1회한,급여)(갱신형)</t>
  </si>
  <si>
    <t>주요뇌혈관질환진단비(갱신형)</t>
  </si>
  <si>
    <t>주요허혈성심장질환진단비(갱신형)</t>
  </si>
  <si>
    <t>요로결석진단비-안맞음(갱신형)</t>
  </si>
  <si>
    <t>상해재활치료비(1일1회,연간15회한,급여)(갱신형)</t>
  </si>
  <si>
    <t>상해재활치료비(1일1회,연간30회한,급여)(갱신형)</t>
  </si>
  <si>
    <t>질병재활치료비(1일1회,연간15회한,급여)(갱신형)</t>
  </si>
  <si>
    <t>질병재활치료비(1일1회,연간30회한,급여)(갱신형)</t>
  </si>
  <si>
    <t>암(4대유사암제외)항암약물치료비(1회한,급여)(갱신형)</t>
  </si>
  <si>
    <t>상해질병치료지원금(치과포함)(중위소득50%이상,연간1회한,급여)(갱신형)</t>
  </si>
  <si>
    <t>상해질병치료지원금(치과포함)(중위소득100%이상,연간1회한,급여)(갱신형)</t>
  </si>
  <si>
    <t>상해질병치료지원금(치과포함)(중위소득200%이상,연간1회한,급여)(갱신형)</t>
  </si>
  <si>
    <t>상해질병치료지원금(치과포함)(중위소득300%이상,연간1회한,급여)(갱신형)</t>
  </si>
  <si>
    <t>통합암(4대유사암제외)진단비Ⅱ(림프및조혈관련특정암)-안맞음(갱신형)</t>
  </si>
  <si>
    <t>(감액및면책없음)암(4대유사암제외)수술비(1회한)(갱신형)</t>
  </si>
  <si>
    <t>(감액및면책없음)암(4대유사암제외)항암약물치료비(1회한,급여)(갱신형)</t>
  </si>
  <si>
    <t>(감액및면책없음)암(4대유사암포함)MRI촬영검사지원비(연간1회한,급여)(갱신형)</t>
  </si>
  <si>
    <t>(감액및면책없음)암(4대유사암포함)내시경검사지원비(연간1회한,급여)(갱신형)</t>
  </si>
  <si>
    <t>(감액및면책없음)암(4대유사암포함)직접치료상급종합병원통원비(갱신형)</t>
  </si>
  <si>
    <t>(감액및면책없음)암(4대유사암포함)직접치료통원비(1일1회,연간30일한)(갱신형)</t>
  </si>
  <si>
    <t>통합상해진단비Ⅱ(경증상해)(갱신형)</t>
  </si>
  <si>
    <t>통합상해진단비Ⅱ(중등증상해)(갱신형)</t>
  </si>
  <si>
    <t>통합상해진단비Ⅱ(중증상해)(갱신형)</t>
  </si>
  <si>
    <t>(감액및면책없음)통합암(4대유사암제외)진단비Ⅱ(림프및조혈관련특정암)-안맞음(갱신형)</t>
  </si>
  <si>
    <t>(감액및면책없음)암(특정유사암포함)특정재활치료비(1일1회,연간10회한,급여)(갱신형)</t>
  </si>
  <si>
    <t>(감액및면책없음)암(4대유사암제외)특정통증완화치료비(연간1회한,급여)(갱신형)</t>
  </si>
  <si>
    <t>특정뇌및심장질환특정재활치료비(1일1회,연간90회한,급여)(갱신형)</t>
  </si>
  <si>
    <t>웰엔딩장례지원금Ⅰ(상해사망체증형)(갱신형)</t>
  </si>
  <si>
    <t>통합상해진단비Ⅱ(상해부위별 연간1회한)(갱신형)</t>
  </si>
  <si>
    <t>통합상해진단비Ⅱ(경증상해,상해부위별 연간1회한)(갱신형)</t>
  </si>
  <si>
    <t>통합상해진단비Ⅱ(중등증상해,상해부위별 연간1회한)(갱신형)</t>
  </si>
  <si>
    <t>통합상해진단비Ⅱ(중증상해,상해부위별 연간1회한)(갱신형)</t>
  </si>
  <si>
    <t>상해1-5종수술비Ⅲ(갱신형)</t>
  </si>
  <si>
    <t>상해1-5종수술비Ⅳ(수술1회당)(갱신형)</t>
  </si>
  <si>
    <t>상해1-8종수술비Ⅲ(급여,시술포함,연간3회한)(갱신형)</t>
  </si>
  <si>
    <t>간병인사용상해입원비Ⅱ(1일이상180일한도)(갱신형)</t>
  </si>
  <si>
    <t>전이암진단비(갱신형)</t>
  </si>
  <si>
    <t>요로결석진단비(갱신형)</t>
  </si>
  <si>
    <t>질병1-5종수술비Ⅲ(갱신형)</t>
  </si>
  <si>
    <t>질병1-5종수술비Ⅳ(수술1회당)(갱신형)</t>
  </si>
  <si>
    <t>질병1-8종수술비Ⅲ(급여,시술포함,연간3회한)(갱신형)</t>
  </si>
  <si>
    <t>124대질병수술비(갱신형)</t>
  </si>
  <si>
    <t>7대기관질병수술비(관혈,비관혈)(연간1회한)(갱신형)</t>
  </si>
  <si>
    <t>심장부정맥고주파·냉각절제술치료비(연간1회한,급여)(갱신형)</t>
  </si>
  <si>
    <t>간병인사용질병입원비Ⅱ(1일이상180일한도)(갱신형)</t>
  </si>
  <si>
    <t>보험료납입면제대상보장(8대사유)(갱신형)</t>
  </si>
  <si>
    <t>상해상급종합병원입원비(1일이상180일한도)(갱신형)</t>
  </si>
  <si>
    <t>암(4대유사암포함)직접치료입원비Ⅱ(요양병원제외,1일이상180일한도)(갱신형)</t>
  </si>
  <si>
    <t>암(4대유사암포함)요양병원입원비Ⅱ(1일이상90일한도)(갱신형)</t>
  </si>
  <si>
    <t>간병인사용입원지원금(간병인비용연간200만원이상)(갱신형)</t>
  </si>
  <si>
    <t>간병인사용입원지원금(요양병원제외,간병인비용연간200만원이상)(갱신형)</t>
  </si>
  <si>
    <t>간병인사용입원지원금(요양병원,간병인비용연간200만원이상)(갱신형)</t>
  </si>
  <si>
    <t>상해종합병원2-3인실입원비(1일이상30일한도)(갱신형)</t>
  </si>
  <si>
    <t>질병종합병원2-3인실입원비(1일이상30일한도)(갱신형)</t>
  </si>
  <si>
    <t>상해상급종합병원2-3인실입원비(1일이상30일한도)(갱신형)</t>
  </si>
  <si>
    <t>질병상급종합병원2-3인실입원비(1일이상30일한도)(갱신형)</t>
  </si>
  <si>
    <t>상해종합병원수술비(갱신형)</t>
  </si>
  <si>
    <t>상해상급종합병원수술비(갱신형)</t>
  </si>
  <si>
    <t>질병종합병원수술비(갱신형)</t>
  </si>
  <si>
    <t>질병상급종합병원수술비(갱신형)</t>
  </si>
  <si>
    <t>질병상급종합병원수술비(특정9대질병제외)(갱신형)</t>
  </si>
  <si>
    <t>질병종합병원수술비(수술1회당)(갱신형)</t>
  </si>
  <si>
    <t>질병상급종합병원수술비(수술1회당)(갱신형)</t>
  </si>
  <si>
    <t>상해MRI촬영검사지원비(연간1회한,급여)(갱신형)</t>
  </si>
  <si>
    <t>상해CT촬영검사지원비(연간1회한,급여)(갱신형)</t>
  </si>
  <si>
    <t>질병MRI촬영검사지원비(연간1회한,급여)(갱신형)</t>
  </si>
  <si>
    <t>질병CT촬영검사지원비(연간1회한,급여)(갱신형)</t>
  </si>
  <si>
    <t>암(특정유사암포함)항암방사선약물치료비Ⅱ(세부보장별각1회한)(갱신형)</t>
  </si>
  <si>
    <t>암(4대유사암제외)항암방사선치료비(일부본인부담급여,1회한)(갱신형)</t>
  </si>
  <si>
    <t>암(4대유사암제외)항암방사선치료비(비급여및전액본인부담급여,1회한)(갱신형)</t>
  </si>
  <si>
    <t>특정유사암항암방사선치료비(일부본인부담급여,1회한)(갱신형)</t>
  </si>
  <si>
    <t>특정유사암항암방사선치료비(비급여및전액본인부담급여,1회한)(갱신형)</t>
  </si>
  <si>
    <t>암(4대유사암제외)항암약물치료비(일부본인부담급여,1회한)(갱신형)</t>
  </si>
  <si>
    <t>암(4대유사암제외)항암약물치료비(비급여및전액본인부담급여,1회한)(갱신형)</t>
  </si>
  <si>
    <t>특정유사암항암약물치료비(일부본인부담급여,1회한)(갱신형)</t>
  </si>
  <si>
    <t>특정유사암항암약물치료비(비급여및전액본인부담급여,1회한)(갱신형)</t>
  </si>
  <si>
    <t>뇌혈관질환후유장해(3-100%)(갱신형)</t>
  </si>
  <si>
    <t>질병종합병원수술비(특정9대질병제외)(갱신형)</t>
  </si>
  <si>
    <t>간병인사용입원생활비Ⅱ(요양,정신,한방병원제외,연간181일이상)(갱신형)</t>
  </si>
  <si>
    <t>간병인사용입원생활비Ⅱ(요양병원,연간181일이상)(갱신형)</t>
  </si>
  <si>
    <t>간병인사용입원생활비Ⅱ(요양병원,연간180일한도)(갱신형)</t>
  </si>
  <si>
    <t>간병인사용입원생활비Ⅱ(요양병원제외,연간180일한도)(갱신형)</t>
  </si>
  <si>
    <t>질병수술비(특정2대경증질병제외)(갱신형)</t>
  </si>
  <si>
    <t>질병수술비(특정2대경증질병제외,수술1회당)(갱신형)</t>
  </si>
  <si>
    <t>상해수술비(치아파절및치아탈구제외)(갱신형)</t>
  </si>
  <si>
    <t>질병수술비(특정2대경증질병,백내장,대장용종,결막의기타장애제외)(갱신형)</t>
  </si>
  <si>
    <t>질병상급종합병원수술비(특정10대질병제외)(갱신형)</t>
  </si>
  <si>
    <t>주요폐질환진단비(갱신형)</t>
  </si>
  <si>
    <t>외부요인으로인한폐질환진단비(갱신형)</t>
  </si>
  <si>
    <t>주요폐질환진단비(연간1회한) (갱신형)</t>
  </si>
  <si>
    <t>외부요인으로인한폐질환진단비(연간1회한)(갱신형)</t>
  </si>
  <si>
    <t>암(4대유사암및특정소액암제외,전이암포함)주요치료비(연간1회한)(갱신형)</t>
  </si>
  <si>
    <t>암(4대유사암및특정소액암제외,전이암포함)주요치료비(상급종합병원,국립암센터)(연간1회한)(갱신형)</t>
  </si>
  <si>
    <t>암(4대유사암제외)진단후특정치료비(상급종합병원,국립암센터)(진단후10년,연간1회한)(갱신형)</t>
  </si>
  <si>
    <t>암(4대유사암제외)진단후특정치료비(상급종합병원,국립암센터)(진단후10년,연간1회한)(발생자용)(갱신형)</t>
  </si>
  <si>
    <t>특정유사암진단후특정치료비(상급종합병원,국립암센터)(진단후10년,연간1회한)(갱신형)</t>
  </si>
  <si>
    <t>특정유사암진단후특정치료비(상급종합병원,국립암센터)(진단후10년,연간1회한)(발생자용)(갱신형)</t>
  </si>
  <si>
    <t>나눔의행복(상해사망)(갱신형)</t>
  </si>
  <si>
    <t>나눔의행복(질병사망)(갱신형)</t>
  </si>
  <si>
    <t>If(Jong=1 or Jong=3, k2, 1 ) * (1-w)</t>
    <phoneticPr fontId="1" type="noConversion"/>
  </si>
  <si>
    <t>1-w</t>
    <phoneticPr fontId="1" type="noConversion"/>
  </si>
  <si>
    <t>q1*q26*(1-w/2)</t>
    <phoneticPr fontId="1" type="noConversion"/>
  </si>
  <si>
    <t>상해수술률|100000000|1|202401</t>
    <phoneticPr fontId="1" type="noConversion"/>
  </si>
  <si>
    <t>상해80%이상후유장해(1804)|110000000|1|202401</t>
    <phoneticPr fontId="1" type="noConversion"/>
  </si>
  <si>
    <t>질병80%이상후유장해(1804)|100000000|1|202401</t>
    <phoneticPr fontId="1" type="noConversion"/>
  </si>
  <si>
    <t>뇌졸중 발생률|100000000|1|202401</t>
    <phoneticPr fontId="1" type="noConversion"/>
  </si>
  <si>
    <t>급성심근경색증 발생률|100000000|1|202401</t>
    <phoneticPr fontId="1" type="noConversion"/>
  </si>
  <si>
    <t>말기간경화 발생률|100000000|1|202401</t>
    <phoneticPr fontId="1" type="noConversion"/>
  </si>
  <si>
    <t>말기폐질환 발생률|100000000|1|202401</t>
    <phoneticPr fontId="1" type="noConversion"/>
  </si>
  <si>
    <t>말기신부전증 발생률|100000000|1|202401</t>
    <phoneticPr fontId="1" type="noConversion"/>
  </si>
  <si>
    <t>기타피부암및갑상선암이외의암발생률|100000000|1|202401</t>
    <phoneticPr fontId="1" type="noConversion"/>
  </si>
  <si>
    <t>고지건강체(상해질병사망후유조정계수)|100001000|1|202401</t>
    <phoneticPr fontId="1" type="noConversion"/>
  </si>
  <si>
    <t>고지건강체(암진단조정계수)|100001000|1|202401</t>
    <phoneticPr fontId="1" type="noConversion"/>
  </si>
  <si>
    <t>고지건강체(뇌진단조정계수)|100001000|1|202401</t>
    <phoneticPr fontId="1" type="noConversion"/>
  </si>
  <si>
    <t>고지건강체(심진단조정계수)|100001000|1|202401</t>
    <phoneticPr fontId="1" type="noConversion"/>
  </si>
  <si>
    <t>고지건강체(질병진단조정계수)|100001000|1|202401</t>
    <phoneticPr fontId="1" type="noConversion"/>
  </si>
  <si>
    <t>고지건강체(상해치료조정계수)|100001000|1|202401</t>
    <phoneticPr fontId="1" type="noConversion"/>
  </si>
  <si>
    <t>(1-D(0.75)*q18*S(3)*q22*r1) * ( (1-q11*q21*r1) * (1-q12*S(3)*q21*r1) * (1-q13*S(3)*q23*r1) * (1-q14*S(3)*q24*r1) * (1-q15*S(3)*q25*r1) * (1-q16*S(3)*q25*r1) * (1-q17*S(3)*q25*r1) )</t>
    <phoneticPr fontId="1" type="noConversion"/>
  </si>
  <si>
    <t>"XA02593|CLA12765|" + S5 + "|"+(Jong +"0"+F6+"0")+"|"+(Age+n)</t>
    <phoneticPr fontId="1" type="noConversion"/>
  </si>
  <si>
    <t>q1*q26*(1-w/2)*S(3)</t>
    <phoneticPr fontId="1" type="noConversion"/>
  </si>
  <si>
    <t>질병입원률(1일이상180일)|100000000|1|202401</t>
    <phoneticPr fontId="1" type="noConversion"/>
  </si>
  <si>
    <t>고지건강체(질병입원조정계수)|100001000|1|202401</t>
    <phoneticPr fontId="1" type="noConversion"/>
  </si>
  <si>
    <t>"XA02593|CLA12870|" + S5 + "|"+(Jong +"0"+F6+"0")+"|"+(Age+n)</t>
    <phoneticPr fontId="1" type="noConversion"/>
  </si>
  <si>
    <t>질병수술률|100000000|1|202401</t>
    <phoneticPr fontId="1" type="noConversion"/>
  </si>
  <si>
    <t>고지건강체(질병치료조정계수)|100001000|1|202401</t>
    <phoneticPr fontId="1" type="noConversion"/>
  </si>
  <si>
    <t>"XA02593|CLA12717|" + S5 + "|"+(Jong +"0"+F6+"0")+"|"+(Age+n)</t>
    <phoneticPr fontId="1" type="noConversion"/>
  </si>
  <si>
    <t>If(Jong=1 or Jong=3, k2, 1 ) * (1-w) * (1-q1*q26*S(3))</t>
    <phoneticPr fontId="1" type="noConversion"/>
  </si>
  <si>
    <t>(1-w)*(1-q1*q26*S(3))</t>
    <phoneticPr fontId="1" type="noConversion"/>
  </si>
  <si>
    <t>q1*q26*(1-w/2)*S(3)*D(0.375)</t>
    <phoneticPr fontId="1" type="noConversion"/>
  </si>
  <si>
    <t>( (1-q11*q21*r1) * (1-q12*S(3)*q21*r1) * (1-q13*S(3)*q23*r1) * (1-q14*S(3)*q24*r1) * (1-q15*S(3)*q25*r1) * (1-q16*S(3)*q25*r1) * (1-q17*S(3)*q25*r1) )</t>
    <phoneticPr fontId="1" type="noConversion"/>
  </si>
  <si>
    <t>"XA02593|CLA12733|" + S5 + "|"+(Jong +"0"+F6+"0")+"|"+(Age+n)</t>
    <phoneticPr fontId="1" type="noConversion"/>
  </si>
  <si>
    <t>If(Jong=1 or Jong=3, k2, 1-q1*q26*S(3) ) * (1-w)</t>
    <phoneticPr fontId="1" type="noConversion"/>
  </si>
  <si>
    <t>q1*q26*(1-w/2)*S(3)*D(0.75)</t>
    <phoneticPr fontId="1" type="noConversion"/>
  </si>
  <si>
    <t>항암방사선치료비(기타피부암및갑상선암이외의암)|100000000|1|202401</t>
    <phoneticPr fontId="1" type="noConversion"/>
  </si>
  <si>
    <t>고지건강체(암치료조정계수)|100001000|1|202401</t>
    <phoneticPr fontId="1" type="noConversion"/>
  </si>
  <si>
    <t>(1-q18*S(3)*q22*r1) * ( (1-q11*q21*r1) * (1-q12*S(3)*q21*r1) * (1-q13*S(3)*q23*r1) * (1-q14*S(3)*q24*r1) * (1-q15*S(3)*q25*r1) * (1-q16*S(3)*q25*r1) * (1-q17*S(3)*q25*r1) )</t>
    <phoneticPr fontId="1" type="noConversion"/>
  </si>
  <si>
    <t>"XA02593|CLA12708|" + S5 + "|"+(Jong +"0"+F6+"0")+"|"+(Age+n)</t>
    <phoneticPr fontId="1" type="noConversion"/>
  </si>
  <si>
    <t>항암약물치료비(기타피부암및갑상선암이외의암)|100000000|1|202401</t>
    <phoneticPr fontId="1" type="noConversion"/>
  </si>
  <si>
    <t>"XA02593|CLA12709|" + S5 + "|"+(Jong +"0"+F6+"0")+"|"+(Age+n)</t>
    <phoneticPr fontId="1" type="noConversion"/>
  </si>
  <si>
    <t>If(Jong=1 or Jong=3, k2, 1-q1*q22*S(3) ) * (1-w)</t>
    <phoneticPr fontId="1" type="noConversion"/>
  </si>
  <si>
    <t>(1-w)*(1-q1*q22*S(3))</t>
    <phoneticPr fontId="1" type="noConversion"/>
  </si>
  <si>
    <t>q1*q22*(1-w/2)*S(3)*D(0.5)</t>
    <phoneticPr fontId="1" type="noConversion"/>
  </si>
  <si>
    <t>(1-q1*q22*S(3))*(1-w)</t>
    <phoneticPr fontId="1" type="noConversion"/>
  </si>
  <si>
    <t>기타피부암 발생률|100000000|1|202401</t>
    <phoneticPr fontId="1" type="noConversion"/>
  </si>
  <si>
    <t>갑상선암 발생률|100000000|1|202401</t>
    <phoneticPr fontId="1" type="noConversion"/>
  </si>
  <si>
    <t>제자리암 발생률|100000000|1|202401</t>
    <phoneticPr fontId="1" type="noConversion"/>
  </si>
  <si>
    <t>경계성종양 발생률|100000000|1|202401</t>
    <phoneticPr fontId="1" type="noConversion"/>
  </si>
  <si>
    <t>(1-D(0.75)*q18*S(3)*q22*r1-q1*q22*S(3)) * ( (1-q11*q21*r1) * (1-q12*S(3)*q21*r1) * (1-q13*S(3)*q23*r1) * (1-q14*S(3)*q24*r1) * (1-q15*S(3)*q25*r1) * (1-q16*S(3)*q25*r1) * (1-q17*S(3)*q25*r1) )</t>
    <phoneticPr fontId="1" type="noConversion"/>
  </si>
  <si>
    <t>"XA02593|CLA12721|" + S5 + "|"+(Jong +"0"+F6+"0")+"|"+(Age+n)</t>
    <phoneticPr fontId="1" type="noConversion"/>
  </si>
  <si>
    <t>If(Jong=1 or Jong=3, k2, 1-q2*q22*S(3)) * (1-w)</t>
    <phoneticPr fontId="1" type="noConversion"/>
  </si>
  <si>
    <t>(1-w)*(1-q2*q22*S(3))</t>
    <phoneticPr fontId="1" type="noConversion"/>
  </si>
  <si>
    <t>q2*q22*(1-w/2)*S(3)*D(0.5)</t>
    <phoneticPr fontId="1" type="noConversion"/>
  </si>
  <si>
    <t>(1-q2*q22*S(3))*(1-w)</t>
    <phoneticPr fontId="1" type="noConversion"/>
  </si>
  <si>
    <t>(1-D(0.75)*q18*S(3)*q22*r1-q2*q22*S(3)) * ( (1-q11*q21*r1) * (1-q12*S(3)*q21*r1) * (1-q13*S(3)*q23*r1) * (1-q14*S(3)*q24*r1) * (1-q15*S(3)*q25*r1) * (1-q16*S(3)*q25*r1) * (1-q17*S(3)*q25*r1) )</t>
    <phoneticPr fontId="1" type="noConversion"/>
  </si>
  <si>
    <t>"XA02593|CLA12724|" + S5 + "|"+(Jong +"0"+F6+"0")+"|"+(Age+n)</t>
    <phoneticPr fontId="1" type="noConversion"/>
  </si>
  <si>
    <t>If(Jong=1 or Jong=3, k2, 1 ) * (1-w) * (1-q3*q22*S(3))</t>
    <phoneticPr fontId="1" type="noConversion"/>
  </si>
  <si>
    <t>(1-w)*(1-q3*q22*S(3))</t>
    <phoneticPr fontId="1" type="noConversion"/>
  </si>
  <si>
    <t>q3*q22*(1-w/2)*S(3)*D(0.5)</t>
    <phoneticPr fontId="1" type="noConversion"/>
  </si>
  <si>
    <t>(1-q3*q22*S(3))*(1-w)</t>
    <phoneticPr fontId="1" type="noConversion"/>
  </si>
  <si>
    <t>"XA02593|CLA12727|" + S5 + "|"+(Jong +"0"+F6+"0")+"|"+(Age+n)</t>
    <phoneticPr fontId="1" type="noConversion"/>
  </si>
  <si>
    <t>If(Jong=1 or Jong=3, k2, 1 ) * (1-w) * (1-q4*q22*S(3))</t>
    <phoneticPr fontId="1" type="noConversion"/>
  </si>
  <si>
    <t>(1-w)*(1-q4*q22*S(3))</t>
    <phoneticPr fontId="1" type="noConversion"/>
  </si>
  <si>
    <t>q4*q22*(1-w/2)*S(3)*D(0.5)</t>
    <phoneticPr fontId="1" type="noConversion"/>
  </si>
  <si>
    <t>(1-q4*q22*S(3))*(1-w)</t>
    <phoneticPr fontId="1" type="noConversion"/>
  </si>
  <si>
    <t>"XA02593|CLA12730|" + S5 + "|"+(Jong +"0"+F6+"0")+"|"+(Age+n)</t>
    <phoneticPr fontId="1" type="noConversion"/>
  </si>
  <si>
    <t>q1*q26*(1-w/2)*S(3)*D(0.5)</t>
    <phoneticPr fontId="1" type="noConversion"/>
  </si>
  <si>
    <t>뇌혈관질환 발생률|100000000|1|202401</t>
    <phoneticPr fontId="1" type="noConversion"/>
  </si>
  <si>
    <t>(1-D(0.75)*q18*S(3)*q22*r1) * ( (1-q11*q21*r1) * (1-q12*S(3)*q21*r1)* (1-q14*S(3)*q24*r1) * (1-q15*S(3)*q25*r1) * (1-q16*S(3)*q25*r1) * (1-q17*S(3)*q25*r1) )</t>
    <phoneticPr fontId="1" type="noConversion"/>
  </si>
  <si>
    <t>"XA02593|CLA12687|" + 0 + "|"+(Jong +"0"+F6+"0")+"|"+If(S1=0,n,0)</t>
    <phoneticPr fontId="1" type="noConversion"/>
  </si>
  <si>
    <t>(1-D(0.75)*q18*S(3)*q22*r1) * ( (1-q11*q21*r1) * (1-q12*q21*S(3)*r1)* (1-q14*S(3)*q24*r1) * (1-q15*S(3)*q25*r1) * (1-q16*S(3)*q25*r1) * (1-q17*S(3)*q25*r1) )</t>
    <phoneticPr fontId="1" type="noConversion"/>
  </si>
  <si>
    <t>"XA02593|CLA12692|" + S5 + "|"+(Jong +"0"+F6+"0")+"|"+(Age+n)</t>
    <phoneticPr fontId="1" type="noConversion"/>
  </si>
  <si>
    <t>허혈성심장질환 발생률|100000000|1|202401</t>
    <phoneticPr fontId="1" type="noConversion"/>
  </si>
  <si>
    <t>(1-D(0.75)*q18*S(3)*q22*r1) * ( (1-q11*q21*r1) * (1-q12*S(3)*q21*r1) * (1-q13*S(3)*q23*r1) * (1-q15*S(3)*q25*r1) * (1-q16*S(3)*q25*r1) * (1-q17*S(3)*q25*r1) )</t>
    <phoneticPr fontId="1" type="noConversion"/>
  </si>
  <si>
    <t>"XA02593|CLA12689|" + S5 + "|"+(Jong +"0"+F6+"0")+"|"+(Age+n)</t>
    <phoneticPr fontId="1" type="noConversion"/>
  </si>
  <si>
    <t>"XA02593|CLA12705|" + S5 + "|"+(Jong +"0"+F6+"0")+"|"+(Age+n)</t>
    <phoneticPr fontId="1" type="noConversion"/>
  </si>
  <si>
    <t>급여항암방사선약물치료비위험률(기타피부암및갑상선암이외의암)(연간1회한)|100000000|1|202401</t>
    <phoneticPr fontId="1" type="noConversion"/>
  </si>
  <si>
    <t>"XA02593|CLA12902|" + S5 + "|"+(Jong +"0"+F6+"0")+"|"+(Age+n)</t>
    <phoneticPr fontId="1" type="noConversion"/>
  </si>
  <si>
    <t>If(Jong=1 or Jong=3, k2, 1 )*(1-q1*q21*S(3))*(1-r1*w)</t>
    <phoneticPr fontId="1" type="noConversion"/>
  </si>
  <si>
    <t>(1-q1*q21*S(3))*(1-r1*w)</t>
    <phoneticPr fontId="1" type="noConversion"/>
  </si>
  <si>
    <t>q1*q21*(1-w/2)*S(3)</t>
    <phoneticPr fontId="1" type="noConversion"/>
  </si>
  <si>
    <t>질병사망률|100000000|1|202401</t>
    <phoneticPr fontId="1" type="noConversion"/>
  </si>
  <si>
    <t>(1-q1*S(3)*q21/2)/(1-q1*S(3)*q21)</t>
    <phoneticPr fontId="1" type="noConversion"/>
  </si>
  <si>
    <t>"XA02593|CLA12887|" + S5 + "|"+(Jong +"0"+F6+"0")+"|"+(Age+n)</t>
    <phoneticPr fontId="1" type="noConversion"/>
  </si>
  <si>
    <t>표적항암약물허가치료발생률(최초1회한)|100000000|1|202401</t>
    <phoneticPr fontId="1" type="noConversion"/>
  </si>
  <si>
    <t>갑상선암표적항암약물허가치료발생률(최초1회한)|100000000|1|202401</t>
    <phoneticPr fontId="1" type="noConversion"/>
  </si>
  <si>
    <t>기타피부암표적항암약물허가치료발생률(최초1회한)|100000000|1|202401</t>
    <phoneticPr fontId="1" type="noConversion"/>
  </si>
  <si>
    <t>(1-q18*S(3)*q22-D(0.75)*(q9+q10)*q26-If(t=0,0.25,0)*(q19+q20)*q22) * ( (1-q11*q21*r1) * (1-q12*S(3)*q21*r1) * (1-q13*S(3)*q23*r1) * (1-q14*S(3)*q24*r1) * (1-q15*S(3)*q25*r1) * (1-q16*S(3)*q25*r1) * (1-q17*S(3)*q25*r1) )</t>
    <phoneticPr fontId="1" type="noConversion"/>
  </si>
  <si>
    <t>"XA02593|CLA12789|" + 0 + "|"+(Jong +"0"+F6+"0")+"|"+If(S1=0,n,0)</t>
    <phoneticPr fontId="1" type="noConversion"/>
  </si>
  <si>
    <t>8대기관 양성신생물(폴립포함)수술률(연1회)|100000000|1|202401</t>
    <phoneticPr fontId="1" type="noConversion"/>
  </si>
  <si>
    <t>"XA02593|CLA12758|" + S5 + "|"+(Jong +"0"+F6+"0")+"|"+(Age+n)</t>
    <phoneticPr fontId="1" type="noConversion"/>
  </si>
  <si>
    <t>(q1+q2)*q26*(1-w/2)*S(3)*D(0.5)</t>
    <phoneticPr fontId="1" type="noConversion"/>
  </si>
  <si>
    <t>특정10대질병수술률A(뇌전증 등 6대질병수술률)|100000000|1|202401</t>
    <phoneticPr fontId="1" type="noConversion"/>
  </si>
  <si>
    <t>특정10대질병수술률B(심장질환 등 4대질병수술률)|100000000|1|202401</t>
    <phoneticPr fontId="1" type="noConversion"/>
  </si>
  <si>
    <t>"XA02593|CLA12737|" + S5 + "|"+(Jong +"0"+F6+"0")+"|"+(Age+n)</t>
    <phoneticPr fontId="1" type="noConversion"/>
  </si>
  <si>
    <t>특정13대질병수술률A(수막염 등 7대질병수술률)|100000000|1|202401</t>
    <phoneticPr fontId="1" type="noConversion"/>
  </si>
  <si>
    <t>특정13대질병수술률B(간질환 등 6대질병수술률)|100000000|1|202401</t>
    <phoneticPr fontId="1" type="noConversion"/>
  </si>
  <si>
    <t>"XA02593|CLA12740|" + S5 + "|"+(Jong +"0"+F6+"0")+"|"+(Age+n)</t>
    <phoneticPr fontId="1" type="noConversion"/>
  </si>
  <si>
    <t>121대질병(특정13대) 폐질환등 수술률B|100000000|1|202401</t>
    <phoneticPr fontId="1" type="noConversion"/>
  </si>
  <si>
    <t>"XA02593|CLA12743|" + S5 + "|"+(Jong +"0"+F6+"0")+"|"+(Age+n)</t>
    <phoneticPr fontId="1" type="noConversion"/>
  </si>
  <si>
    <t>30대경증질병수술률A(28대경증질병수술률)|100000000|1|202401</t>
    <phoneticPr fontId="1" type="noConversion"/>
  </si>
  <si>
    <t>30대경증질병수술률B(갑상선 질환 및 동맥경화증 수술률)|100000000|1|202401</t>
    <phoneticPr fontId="1" type="noConversion"/>
  </si>
  <si>
    <t>"XA02593|CLA12746|" + S5 + "|"+(Jong +"0"+F6+"0")+"|"+(Age+n)</t>
    <phoneticPr fontId="1" type="noConversion"/>
  </si>
  <si>
    <t>121대질병(50대경증)수술률|100000000|1|202401</t>
    <phoneticPr fontId="1" type="noConversion"/>
  </si>
  <si>
    <t>"XA02593|CLA12749|" + S5 + "|"+(Jong +"0"+F6+"0")+"|"+(Age+n)</t>
    <phoneticPr fontId="1" type="noConversion"/>
  </si>
  <si>
    <t>121대질병(4대생활)수술률|100000000|1|202401</t>
    <phoneticPr fontId="1" type="noConversion"/>
  </si>
  <si>
    <t>수면무호흡증 등 3대질병수술률(수술1회당) (124대질수)|100000000|1|202401</t>
    <phoneticPr fontId="1" type="noConversion"/>
  </si>
  <si>
    <t>"XA02593|CLA12752|" + S5 + "|"+(Jong +"0"+F6+"0")+"|"+(Age+n)</t>
    <phoneticPr fontId="1" type="noConversion"/>
  </si>
  <si>
    <t>치핵수술률|100000000|1|202401</t>
    <phoneticPr fontId="1" type="noConversion"/>
  </si>
  <si>
    <t>"XA02593|CLA12755|" + S5 + "|"+(Jong +"0"+F6+"0")+"|"+(Age+n)</t>
    <phoneticPr fontId="1" type="noConversion"/>
  </si>
  <si>
    <t>(1-w)*(1-(q1+q2+q3)*q26*S(3))</t>
    <phoneticPr fontId="1" type="noConversion"/>
  </si>
  <si>
    <t>(q1+q2+q3)*q26*(1-w/2)*S(3)*D(0.375)</t>
    <phoneticPr fontId="1" type="noConversion"/>
  </si>
  <si>
    <t>항암양성자방사선치료발생률(기타피부암및갑상선암이외의암)(최초1회한)|100000000|1|202401</t>
    <phoneticPr fontId="1" type="noConversion"/>
  </si>
  <si>
    <t>항암양성자방사선치료발생률(기타피부암)(최초1회한)|100000000|1|202401</t>
    <phoneticPr fontId="1" type="noConversion"/>
  </si>
  <si>
    <t>항암양성자방사선치료발생률(갑상선암)(최초1회한)|100000000|1|202401</t>
    <phoneticPr fontId="1" type="noConversion"/>
  </si>
  <si>
    <t>"XA02593|CLA12814|" + 0 + "|"+(Jong +"0"+F6+"0")+"|"+If(S1=0,n,0)</t>
    <phoneticPr fontId="1" type="noConversion"/>
  </si>
  <si>
    <t>항암세기조절방사선치료발생률(기타피부암및갑상선암이외의암)(최초1회한)|100000000|1|202401</t>
    <phoneticPr fontId="1" type="noConversion"/>
  </si>
  <si>
    <t>항암세기조절방사선치료발생률(기타피부암)(최초1회한)|100000000|1|202401</t>
    <phoneticPr fontId="1" type="noConversion"/>
  </si>
  <si>
    <t>항암세기조절방사선치료발생률(갑상선암)(최초1회한)|100000000|1|202401</t>
    <phoneticPr fontId="1" type="noConversion"/>
  </si>
  <si>
    <t>"XA02593|CLA12812|" + 0 + "|"+(Jong +"0"+F6+"0")+"|"+If(S1=0,n,0)</t>
    <phoneticPr fontId="1" type="noConversion"/>
  </si>
  <si>
    <t>If(Jong=1 or Jong=3, k2, (1-q1*q26*S(3)) ) * (1-w)</t>
    <phoneticPr fontId="1" type="noConversion"/>
  </si>
  <si>
    <t>D(0.375)*q1*q26*S(3)*(1-w/2)</t>
    <phoneticPr fontId="1" type="noConversion"/>
  </si>
  <si>
    <t>특정항암호르몬약물허가치료 발생률(기타피부암 및 갑상선암 이외의 암)(최초1회한)|100000000|1|202504</t>
    <phoneticPr fontId="1" type="noConversion"/>
  </si>
  <si>
    <t>뇌졸중발생률|100000000|1|202504</t>
    <phoneticPr fontId="1" type="noConversion"/>
  </si>
  <si>
    <t>급성심근경색증발생률|100000000|1|202504</t>
    <phoneticPr fontId="1" type="noConversion"/>
  </si>
  <si>
    <t>말기간경화발생률|100000000|1|202504</t>
    <phoneticPr fontId="1" type="noConversion"/>
  </si>
  <si>
    <t>말기폐질환발생률|100000000|1|202504</t>
    <phoneticPr fontId="1" type="noConversion"/>
  </si>
  <si>
    <t>말기신부전증발생률|100000000|1|202504</t>
    <phoneticPr fontId="1" type="noConversion"/>
  </si>
  <si>
    <t>기타피부암및갑상선암이외의암발생률|100000000|1|202504</t>
    <phoneticPr fontId="1" type="noConversion"/>
  </si>
  <si>
    <t>"LA02768|CLA15408|" + S5 + "|"+(Jong +"0"+F6+"0")+"|"+(Age+n)</t>
    <phoneticPr fontId="1" type="noConversion"/>
  </si>
  <si>
    <t>기타피부암및갑상선암이외의암수술률|100000000|1|202401</t>
    <phoneticPr fontId="1" type="noConversion"/>
  </si>
  <si>
    <t>"XA02593|CLA12791|" + S5 + "|"+(Jong +"0"+F6+"0")+"|"+(Age+n)</t>
    <phoneticPr fontId="1" type="noConversion"/>
  </si>
  <si>
    <t>q2*q26*(1-w/2)*S(3)</t>
    <phoneticPr fontId="1" type="noConversion"/>
  </si>
  <si>
    <t>q3*q26*(1-w/2)*S(3)</t>
    <phoneticPr fontId="1" type="noConversion"/>
  </si>
  <si>
    <t>q4*q26*(1-w/2)*S(3)</t>
    <phoneticPr fontId="1" type="noConversion"/>
  </si>
  <si>
    <t>기타피부암 수술률|100000000|1|202401</t>
    <phoneticPr fontId="1" type="noConversion"/>
  </si>
  <si>
    <t>갑상선암 수술률|100000000|1|202401</t>
    <phoneticPr fontId="1" type="noConversion"/>
  </si>
  <si>
    <t>제자리암 수술률|100000000|1|202401</t>
    <phoneticPr fontId="1" type="noConversion"/>
  </si>
  <si>
    <t>경계성종양 수술률|100000000|1|202401</t>
    <phoneticPr fontId="1" type="noConversion"/>
  </si>
  <si>
    <t>"XA02593|CLA12797|" + S5 + "|"+(Jong +"0"+F6+"0")+"|"+(Age+n)</t>
    <phoneticPr fontId="1" type="noConversion"/>
  </si>
  <si>
    <t>카티(CAR-T)항암약물허가치료 발생률(최초1회한)_(세만기X, 연만기만)|100000000|1|202401</t>
    <phoneticPr fontId="1" type="noConversion"/>
  </si>
  <si>
    <t>(1-D(0.75)*q18*S(3)*q22*r1-If(t=0,0.25,0)*q1*q26*r1) * ( (1-q11*q21*r1) * (1-q12*S(3)*q21*r1) * (1-q13*S(3)*q23*r1) * (1-q14*S(3)*q24*r1) * (1-q15*S(3)*q25*r1) * (1-q16*S(3)*q25*r1) * (1-q17*S(3)*q25*r1) )</t>
    <phoneticPr fontId="1" type="noConversion"/>
  </si>
  <si>
    <t>"XA02593|CLA12799|" + 0 + "|"+(Jong +"0"+F6+"0")+"|"+If(S1=0,n,0)</t>
    <phoneticPr fontId="1" type="noConversion"/>
  </si>
  <si>
    <t>표적항암약물허가치료발생률(연간1회한)|100000000|1|202401</t>
    <phoneticPr fontId="1" type="noConversion"/>
  </si>
  <si>
    <t>(1-(q18+(1-U(0.75))*(q9+q10))*S(3)*q22) * ( (1-q11*q21*r1) * (1-q12*S(3)*q21*r1) * (1-q13*S(3)*q23*r1) * (1-q14*S(3)*q24*r1) * (1-q15*S(3)*q25*r1) * (1-q16*S(3)*q25*r1) * (1-q17*S(3)*q25*r1) )</t>
    <phoneticPr fontId="1" type="noConversion"/>
  </si>
  <si>
    <t>"XA02593|CLA15893|" + S5 + "|"+(Jong +"0"+F6+"0")+"|"+(Age+n)</t>
    <phoneticPr fontId="1" type="noConversion"/>
  </si>
  <si>
    <t>상해수술률(1-5종)Ⅲ(수술1회당)1종|100000000|1|202401</t>
    <phoneticPr fontId="1" type="noConversion"/>
  </si>
  <si>
    <t>"XA02593|CLA15967|" + 0 + "|"+(Jong +"0"+F6+"0")+"|"+If(S1=0,n,0)</t>
    <phoneticPr fontId="1" type="noConversion"/>
  </si>
  <si>
    <t>상해수술률(1-5종)Ⅲ(수술1회당)2종|100000000|1|202401</t>
    <phoneticPr fontId="1" type="noConversion"/>
  </si>
  <si>
    <t>"XA02593|CLA15949|" + S5 + "|"+(Jong +"0"+F6+"0")+"|"+(Age+n)</t>
    <phoneticPr fontId="1" type="noConversion"/>
  </si>
  <si>
    <t>상해수술률(1-5종)Ⅲ(수술1회당)3종|100000000|1|202401</t>
    <phoneticPr fontId="1" type="noConversion"/>
  </si>
  <si>
    <t>"XA02593|CLA15951|" + S5 + "|"+(Jong +"0"+F6+"0")+"|"+(Age+n)</t>
    <phoneticPr fontId="1" type="noConversion"/>
  </si>
  <si>
    <t>상해수술률(1-5종)Ⅲ(수술1회당)4종|100000000|1|202401</t>
    <phoneticPr fontId="1" type="noConversion"/>
  </si>
  <si>
    <t>"XA02593|CLA15953|" + S5 + "|"+(Jong +"0"+F6+"0")+"|"+(Age+n)</t>
    <phoneticPr fontId="1" type="noConversion"/>
  </si>
  <si>
    <t>상해수술률(1-5종)Ⅲ(수술1회당)5종|100000000|1|202401</t>
    <phoneticPr fontId="1" type="noConversion"/>
  </si>
  <si>
    <t>"XA02593|CLA15955|" + S5 + "|"+(Jong +"0"+F6+"0")+"|"+(Age+n)</t>
    <phoneticPr fontId="1" type="noConversion"/>
  </si>
  <si>
    <t>(q1+q2+q3+q4+q5)*q26*(1-w/2)*S(3)</t>
    <phoneticPr fontId="1" type="noConversion"/>
  </si>
  <si>
    <t>질병수술률(1-5종)Ⅴ(수술1회당)1종|100000000|1|202401</t>
    <phoneticPr fontId="1" type="noConversion"/>
  </si>
  <si>
    <t>급여특정요실금수술률(연간1회한)|100000000|1|202401</t>
    <phoneticPr fontId="1" type="noConversion"/>
  </si>
  <si>
    <t>제왕절개수술률(수술1회당)|100000000|1|202401</t>
    <phoneticPr fontId="1" type="noConversion"/>
  </si>
  <si>
    <t>직장 및 항문관련질환 수술률(수술1회당)|100000000|1|202401</t>
    <phoneticPr fontId="1" type="noConversion"/>
  </si>
  <si>
    <t>"XA02593|CLA15957|" + S5 + "|"+(Jong +"0"+F6+"0")+"|"+(Age+n)</t>
    <phoneticPr fontId="1" type="noConversion"/>
  </si>
  <si>
    <t>질병수술률(1-5종)Ⅴ(수술1회당)2종|100000000|1|202401</t>
    <phoneticPr fontId="1" type="noConversion"/>
  </si>
  <si>
    <t>"XA02593|CLA15959|" + S5 + "|"+(Jong +"0"+F6+"0")+"|"+(Age+n)</t>
    <phoneticPr fontId="1" type="noConversion"/>
  </si>
  <si>
    <t>질병수술률(1-5종)Ⅴ(수술1회당)3종|100000000|1|202401</t>
    <phoneticPr fontId="1" type="noConversion"/>
  </si>
  <si>
    <t>"XA02593|CLA15961|" + S5 + "|"+(Jong +"0"+F6+"0")+"|"+(Age+n)</t>
    <phoneticPr fontId="1" type="noConversion"/>
  </si>
  <si>
    <t>질병수술률(1-5종)Ⅴ(수술1회당)4종|100000000|1|202401</t>
    <phoneticPr fontId="1" type="noConversion"/>
  </si>
  <si>
    <t>"XA02593|CLA15963|" + S5 + "|"+(Jong +"0"+F6+"0")+"|"+(Age+n)</t>
    <phoneticPr fontId="1" type="noConversion"/>
  </si>
  <si>
    <t>질병수술률(1-5종)Ⅴ(수술1회당)5종|100000000|1|202401</t>
    <phoneticPr fontId="1" type="noConversion"/>
  </si>
  <si>
    <t>"XA02593|CLA15965|" + S5 + "|"+(Jong +"0"+F6+"0")+"|"+(Age+n)</t>
    <phoneticPr fontId="1" type="noConversion"/>
  </si>
  <si>
    <t>q1*D(0.75)*q26*(1-w/2)*S(3)</t>
    <phoneticPr fontId="1" type="noConversion"/>
  </si>
  <si>
    <t>0.2*(q2)*q26*(1-w/2)*S(3)</t>
    <phoneticPr fontId="1" type="noConversion"/>
  </si>
  <si>
    <t>0.2*(q3)*q26*(1-w/2)*S(3)</t>
    <phoneticPr fontId="1" type="noConversion"/>
  </si>
  <si>
    <t>항암방사선치료 발생률(기타피부암 및 갑상선암 이외의 암, 치료1회당)|100000000|1|202401</t>
    <phoneticPr fontId="1" type="noConversion"/>
  </si>
  <si>
    <t>항암방사선치료 발생률(기타피부암, 치료1회당)|100000000|1|202401</t>
    <phoneticPr fontId="1" type="noConversion"/>
  </si>
  <si>
    <t>항암방사선치료 발생률(갑상선암, 치료1회당)|100000000|1|202401</t>
    <phoneticPr fontId="1" type="noConversion"/>
  </si>
  <si>
    <t>"XA02593|CLA16409|" + S5 + "|"+(Jong +"0"+F6+"0")+"|"+(Age+n)</t>
    <phoneticPr fontId="1" type="noConversion"/>
  </si>
  <si>
    <t>( (q1+q2+q3)*D(0.75)+0.2*(q4+q5+q6+q7+q8+q9) )*S(3)*q26*(1-w/2)</t>
    <phoneticPr fontId="1" type="noConversion"/>
  </si>
  <si>
    <t>항암약물치료 발생률(기타피부암 및 갑상선암 이외의 암, 연간1회한)(주사제 외)|100000000|1|202401</t>
    <phoneticPr fontId="1" type="noConversion"/>
  </si>
  <si>
    <t>항암약물치료 통원률(기타피부암 및 갑상선암 이외의 암)(주사제)|100000000|1|202401</t>
    <phoneticPr fontId="1" type="noConversion"/>
  </si>
  <si>
    <t>항암약물치료 발생률(기타피부암 및 갑상선암 이외의 암, 입원당)(주사제)|100000000|1|202401</t>
    <phoneticPr fontId="1" type="noConversion"/>
  </si>
  <si>
    <t>항암약물치료 발생률(기타피부암, 연간1회한)(주사제 외)|100000000|1|202401</t>
    <phoneticPr fontId="1" type="noConversion"/>
  </si>
  <si>
    <t>항암약물치료 통원률(기타피부암)(주사제)|100000000|1|202401</t>
    <phoneticPr fontId="1" type="noConversion"/>
  </si>
  <si>
    <t>항암약물치료 발생률(기타피부암, 입원당)(주사제)|100000000|1|202401</t>
    <phoneticPr fontId="1" type="noConversion"/>
  </si>
  <si>
    <t>항암약물치료 발생률(갑상선암, 연간1회한)(주사제 외)|100000000|1|202401</t>
    <phoneticPr fontId="1" type="noConversion"/>
  </si>
  <si>
    <t>항암약물치료 통원률(갑상선암)(주사제)|100000000|1|202401</t>
    <phoneticPr fontId="1" type="noConversion"/>
  </si>
  <si>
    <t>항암약물치료 발생률(갑상선암, 입원당)(주사제)|100000000|1|202401</t>
    <phoneticPr fontId="1" type="noConversion"/>
  </si>
  <si>
    <t>"XA02593|CLA16411|" + S5 + "|"+(Jong +"0"+F6+"0")+"|"+(Age+n)</t>
    <phoneticPr fontId="1" type="noConversion"/>
  </si>
  <si>
    <t>특정항암호르몬약물허가치료 발생률(기타피부암 및 갑상선암 이외의 암)(연간1회한)|100000000|1|202504</t>
    <phoneticPr fontId="1" type="noConversion"/>
  </si>
  <si>
    <t>"LA02768|CLA20525|" + S5 + "|"+(Jong +"0"+F6+"0")+"|"+(Age+n)</t>
    <phoneticPr fontId="1" type="noConversion"/>
  </si>
  <si>
    <t>If(t&lt;m,0, 0.5*(W(t)+W(t+1))/2*w)</t>
    <phoneticPr fontId="1" type="noConversion"/>
  </si>
  <si>
    <t>If(t&lt;m,0, 0.5*(V(t)+V(t+1))/2*w)</t>
    <phoneticPr fontId="1" type="noConversion"/>
  </si>
  <si>
    <t>일반상해중환자실일당(1일이상180일한도)|110000000|0|202401</t>
    <phoneticPr fontId="1" type="noConversion"/>
  </si>
  <si>
    <t>고지건강체(상해입원조정계수)|100001000|1|202401</t>
    <phoneticPr fontId="1" type="noConversion"/>
  </si>
  <si>
    <t>Ifs(t&lt;m-2,Choose(Min(t+1,m-2), 0.105, 0.13, 0.08, 0.065, 0.05, 0.055, 0.04, 0.03, 0.025, 0.02, 0.015, 0.0138, 0.0138, 0.0138, 0.0138, 0.0138, 0.0138, 0.0138, 0.0138, 0.0138, 0.0138, 0.0138, 0.0138, 0.0138, 0.0138, 0.0138, 0.0138, 0.0138),t=m-2,0,t=m-1,0,t=m,0.0396,t&gt;m,0.0125,0)</t>
    <phoneticPr fontId="1" type="noConversion"/>
  </si>
  <si>
    <t>"XA02593|CLA12877|" + S5 + "|"+(Jong +"0"+F6+"0")+"|"+(Age+n)</t>
    <phoneticPr fontId="1" type="noConversion"/>
  </si>
  <si>
    <t>골절(치아파절제외)발생률|100000000|1|202401</t>
    <phoneticPr fontId="1" type="noConversion"/>
  </si>
  <si>
    <t>고지건강체(상해진단조정계수)|100001000|1|202401</t>
    <phoneticPr fontId="1" type="noConversion"/>
  </si>
  <si>
    <t>"XA02593|CLA12788|" + S5 + "|"+(Jong +"0"+F6+"0")+"|"+(Age+n)</t>
    <phoneticPr fontId="1" type="noConversion"/>
  </si>
  <si>
    <t>5대골절발생률|100000000|1|202401</t>
    <phoneticPr fontId="1" type="noConversion"/>
  </si>
  <si>
    <t>"XA02593|CLA12803|" + S5 + "|"+(Jong +"0"+F6+"0")+"|"+(Age+n)</t>
    <phoneticPr fontId="1" type="noConversion"/>
  </si>
  <si>
    <t>화상발생률|100000000|1|202401</t>
    <phoneticPr fontId="1" type="noConversion"/>
  </si>
  <si>
    <t>고지건강체(상해질병진단조정계수)|100001000|1|202401</t>
    <phoneticPr fontId="1" type="noConversion"/>
  </si>
  <si>
    <t>"XA02593|CLA12819|" + S5 + "|"+(Jong +"0"+F6+"0")+"|"+(Age+n)</t>
    <phoneticPr fontId="1" type="noConversion"/>
  </si>
  <si>
    <t>질병 중환자실 입원율(1-180일)|100000000|1|202401</t>
    <phoneticPr fontId="1" type="noConversion"/>
  </si>
  <si>
    <t>"XA02593|CLA12851|" + S5 + "|"+(Jong +"0"+F6+"0")+"|"+(Age+n)</t>
    <phoneticPr fontId="1" type="noConversion"/>
  </si>
  <si>
    <t>If(t&lt;m,0, 0.5*(W(t)+W(t+1))/2*(1-q1*q26*S(3)/2)*w)</t>
    <phoneticPr fontId="1" type="noConversion"/>
  </si>
  <si>
    <t>If(t&lt;m,0, 0.5*(V(t)+V(t+1))/2*(1-q1*q26*S(3)/2)*w)</t>
    <phoneticPr fontId="1" type="noConversion"/>
  </si>
  <si>
    <t>일반상해입원비(1일이상180일한도)|110000000|1|202401</t>
    <phoneticPr fontId="1" type="noConversion"/>
  </si>
  <si>
    <t>"XA02593|CLA12841|" + S5 + "|"+(Jong +"0"+F6+"0")+"|"+(Age+n)</t>
    <phoneticPr fontId="1" type="noConversion"/>
  </si>
  <si>
    <t>If(t&lt;m,0, 0.5*(W(t)+W(t+1))/2*(1-q1*q22*S(3)/2)*w)</t>
    <phoneticPr fontId="1" type="noConversion"/>
  </si>
  <si>
    <t>If(t&lt;m,0, 0.5*(V(t)+V(t+1))/2*(1-q1*q22*S(3)/2)*w)</t>
    <phoneticPr fontId="1" type="noConversion"/>
  </si>
  <si>
    <t>If(t&lt;m,0, 0.5*(W(t)+W(t+1))/2*(1-q2*q22*S(3)/2)*w)</t>
    <phoneticPr fontId="1" type="noConversion"/>
  </si>
  <si>
    <t>If(t&lt;m,0, 0.5*(V(t)+V(t+1))/2*(1-q2*q22*S(3)/2)*w)</t>
    <phoneticPr fontId="1" type="noConversion"/>
  </si>
  <si>
    <t>If(t&lt;m,0, 0.5*(W(t)+W(t+1))/2*(1-q3*q22*S(3)/2)*w)</t>
    <phoneticPr fontId="1" type="noConversion"/>
  </si>
  <si>
    <t>If(t&lt;m,0, 0.5*(V(t)+V(t+1))/2*(1-q3*q22*S(3)/2)*w)</t>
    <phoneticPr fontId="1" type="noConversion"/>
  </si>
  <si>
    <t>If(t&lt;m,0, 0.5*(W(t)+W(t+1))/2*(1-q4*q22*S(3)/2)*w)</t>
    <phoneticPr fontId="1" type="noConversion"/>
  </si>
  <si>
    <t>If(t&lt;m,0, 0.5*(V(t)+V(t+1))/2*(1-q4*q22*S(3)/2)*w)</t>
    <phoneticPr fontId="1" type="noConversion"/>
  </si>
  <si>
    <t>If(Jong=1 or Jong=3, k2, 1-q1*q2*q26*S(3) ) * (1-w)</t>
    <phoneticPr fontId="1" type="noConversion"/>
  </si>
  <si>
    <t>(1-w)*(1-q1*q2*q26*S(3))</t>
    <phoneticPr fontId="1" type="noConversion"/>
  </si>
  <si>
    <t>q1*q2*q26*(1-w/2)*S(3)*D(0.375)</t>
    <phoneticPr fontId="1" type="noConversion"/>
  </si>
  <si>
    <t>If(t&lt;m,0, 0.5*(W(t)+W(t+1))/2*(1-q1*q2*q26*S(3)/2)*w)</t>
    <phoneticPr fontId="1" type="noConversion"/>
  </si>
  <si>
    <t>If(t&lt;m,0, 0.5*(V(t)+V(t+1))/2*(1-q1*q2*q26*S(3)/2)*w)</t>
    <phoneticPr fontId="1" type="noConversion"/>
  </si>
  <si>
    <t>기타피부암 및 갑상선암 이외의 암최초 수술비율|100000000|0|202401</t>
    <phoneticPr fontId="1" type="noConversion"/>
  </si>
  <si>
    <t>"XA02593|CLA12848|" + S5 + "|"+(Jong +"0"+F6+"0")+"|"+(Age+n)</t>
    <phoneticPr fontId="1" type="noConversion"/>
  </si>
  <si>
    <t>뇌혈관질환수술률|100000000|1|202401</t>
    <phoneticPr fontId="1" type="noConversion"/>
  </si>
  <si>
    <t>고지건강체(뇌치료조정계수)|100001000|1|202401</t>
    <phoneticPr fontId="1" type="noConversion"/>
  </si>
  <si>
    <t>"XA02593|CLA12759|" + S5 + "|"+(Jong +"0"+F6+"0")+"|"+(Age+n)</t>
    <phoneticPr fontId="1" type="noConversion"/>
  </si>
  <si>
    <t>뇌졸중수술률|100000000|1|202401</t>
    <phoneticPr fontId="1" type="noConversion"/>
  </si>
  <si>
    <t>"XA02593|CLA12929|" + S5 + "|"+(Jong +"0"+F6+"0")+"|"+(Age+n)</t>
    <phoneticPr fontId="1" type="noConversion"/>
  </si>
  <si>
    <t>If(Jong=1 or Jong=3, k2* (1-(q1*q2*q26*S(3)-q3*q4*q26*S(3))), (1-q1*q2*q26*S(3)) ) * (1-w)</t>
    <phoneticPr fontId="1" type="noConversion"/>
  </si>
  <si>
    <t>(1-q1*q2*q26*S(3))*(1-w)</t>
    <phoneticPr fontId="1" type="noConversion"/>
  </si>
  <si>
    <t>D(0.5)*q1*q2*q26*S(3)*(1-W/2)</t>
    <phoneticPr fontId="1" type="noConversion"/>
  </si>
  <si>
    <t>뇌혈관질환수술률|100000000|1|202504</t>
    <phoneticPr fontId="1" type="noConversion"/>
  </si>
  <si>
    <t>뇌혈관질환 최초수술비율|100000000|0|201709</t>
    <phoneticPr fontId="1" type="noConversion"/>
  </si>
  <si>
    <t>뇌졸중수술률|100000000|1|202504</t>
    <phoneticPr fontId="1" type="noConversion"/>
  </si>
  <si>
    <t>뇌졸중 최초수술비율|100000000|0|201903</t>
    <phoneticPr fontId="1" type="noConversion"/>
  </si>
  <si>
    <t>해지율_건강|000000100|2|202504</t>
    <phoneticPr fontId="1" type="noConversion"/>
  </si>
  <si>
    <t>q30</t>
    <phoneticPr fontId="1" type="noConversion"/>
  </si>
  <si>
    <t>"LA02768|CLA12842|" + S5 + "|"+(Jong +"0"+F6+"0")+"|"+(Age+n)</t>
    <phoneticPr fontId="1" type="noConversion"/>
  </si>
  <si>
    <t>뇌경색증혈전용해치료발생률|100000000|1|202401</t>
    <phoneticPr fontId="1" type="noConversion"/>
  </si>
  <si>
    <t>"XA02593|CLA12714|" + S5 + "|"+(Jong +"0"+F6+"0")+"|"+(Age+n)</t>
    <phoneticPr fontId="1" type="noConversion"/>
  </si>
  <si>
    <t>허혈성심장질환수술률|100000000|1|202401</t>
    <phoneticPr fontId="1" type="noConversion"/>
  </si>
  <si>
    <t>고지건강체(심치료조정계수)|100001000|1|202401</t>
    <phoneticPr fontId="1" type="noConversion"/>
  </si>
  <si>
    <t>"XA02593|CLA12762|" + S5 + "|"+(Jong +"0"+F6+"0")+"|"+(Age+n)</t>
    <phoneticPr fontId="1" type="noConversion"/>
  </si>
  <si>
    <t>급성심근경색증수술률|100000000|1|202401</t>
    <phoneticPr fontId="1" type="noConversion"/>
  </si>
  <si>
    <t>"XA02593|CLA12928|" + S5 + "|"+(Jong +"0"+F6+"0")+"|"+(Age+n)</t>
    <phoneticPr fontId="1" type="noConversion"/>
  </si>
  <si>
    <t>허혈성심장질환수술률(1회한)|100000000|1|202401</t>
    <phoneticPr fontId="1" type="noConversion"/>
  </si>
  <si>
    <t>급성심근경색증수술률 최초 수술비율|100000000|0|202401</t>
    <phoneticPr fontId="1" type="noConversion"/>
  </si>
  <si>
    <t>(1-(q1-q2*q3)*q26*S(3)) * (1-D(0.75)*q18*S(3)*q22*r1) * ( (1-q11*q21*r1) * (1-q12*S(3)*q21*r1) * (1-q13*S(3)*q23*r1) * (1-q14*S(3)*q24*r1) * (1-q15*S(3)*q25*r1) * (1-q16*S(3)*q25*r1) * (1-q17*S(3)*q25*r1) )</t>
    <phoneticPr fontId="1" type="noConversion"/>
  </si>
  <si>
    <t>"XA02593|CLA12845|" + S5 + "|"+(Jong +"0"+F6+"0")+"|"+(Age+n)</t>
    <phoneticPr fontId="1" type="noConversion"/>
  </si>
  <si>
    <t>급성심근경색증혈전용해치료발생률|100000000|1|202401</t>
    <phoneticPr fontId="1" type="noConversion"/>
  </si>
  <si>
    <t>"XA02593|CLA12713|" + S5 + "|"+(Jong +"0"+F6+"0")+"|"+(Age+n)</t>
    <phoneticPr fontId="1" type="noConversion"/>
  </si>
  <si>
    <t>(1-D(0.75)*q18*S(3)*q22*r1) * ( (1-q11*q21*r1) * (1-q13*S(3)*q23*r1) * (1-q14*S(3)*q24*r1) * (1-q15*S(3)*q25*r1) * (1-q16*S(3)*q25*r1) * (1-q17*S(3)*q25*r1) )</t>
    <phoneticPr fontId="1" type="noConversion"/>
  </si>
  <si>
    <t>"XA02593|CLA12883|" + S5 + "|"+(Jong +"0"+F6+"0")+"|"+(Age+n)</t>
    <phoneticPr fontId="1" type="noConversion"/>
  </si>
  <si>
    <t>(1-w)*(1-q2*q26*S(3))</t>
    <phoneticPr fontId="1" type="noConversion"/>
  </si>
  <si>
    <t>항암방사선치료비(갑상산암)|100000000|1|202401</t>
    <phoneticPr fontId="1" type="noConversion"/>
  </si>
  <si>
    <t>항암방사선치료비(기타피부암)|100000000|1|202401</t>
    <phoneticPr fontId="1" type="noConversion"/>
  </si>
  <si>
    <t>"XA02593|CLA12715|" + S5 + "|"+(Jong +"0"+F6+"0")+"|"+(Age+n)</t>
    <phoneticPr fontId="1" type="noConversion"/>
  </si>
  <si>
    <t>항암약물치료비(갑상선암)|100000000|1|202401</t>
    <phoneticPr fontId="1" type="noConversion"/>
  </si>
  <si>
    <t>항암약물치료비(기타피부암)|100000000|1|202401</t>
    <phoneticPr fontId="1" type="noConversion"/>
  </si>
  <si>
    <t>"XA02593|CLA12716|" + S5 + "|"+(Jong +"0"+F6+"0")+"|"+(Age+n)</t>
    <phoneticPr fontId="1" type="noConversion"/>
  </si>
  <si>
    <t>통풍발생률|100000000|1|202401</t>
    <phoneticPr fontId="1" type="noConversion"/>
  </si>
  <si>
    <t>"XA02593|CLA12864|" + S5 + "|"+(Jong +"0"+F6+"0")+"|"+(Age+n)</t>
    <phoneticPr fontId="1" type="noConversion"/>
  </si>
  <si>
    <t>상해수술률(1-5종)1종|100000000|1|202401</t>
    <phoneticPr fontId="1" type="noConversion"/>
  </si>
  <si>
    <t>"XA02593|CLA12776|" + S5 + "|"+(Jong +"0"+F6+"0")+"|"+(Age+n)</t>
    <phoneticPr fontId="1" type="noConversion"/>
  </si>
  <si>
    <t>상해수술률(1-5종)2종|100000000|1|202401</t>
    <phoneticPr fontId="1" type="noConversion"/>
  </si>
  <si>
    <t>"XA02593|CLA12778|" + S5 + "|"+(Jong +"0"+F6+"0")+"|"+(Age+n)</t>
    <phoneticPr fontId="1" type="noConversion"/>
  </si>
  <si>
    <t>상해수술률(1-5종)3종|100000000|1|202401</t>
    <phoneticPr fontId="1" type="noConversion"/>
  </si>
  <si>
    <t>"XA02593|CLA12780|" + S5 + "|"+(Jong +"0"+F6+"0")+"|"+(Age+n)</t>
    <phoneticPr fontId="1" type="noConversion"/>
  </si>
  <si>
    <t>상해수술률(1-5종)4종|100000000|1|202401</t>
    <phoneticPr fontId="1" type="noConversion"/>
  </si>
  <si>
    <t>"XA02593|CLA12782|" + S5 + "|"+(Jong +"0"+F6+"0")+"|"+(Age+n)</t>
    <phoneticPr fontId="1" type="noConversion"/>
  </si>
  <si>
    <t>상해수술률(1-5종)5종|100000000|1|202401</t>
    <phoneticPr fontId="1" type="noConversion"/>
  </si>
  <si>
    <t>"XA02593|CLA12784|" + S5 + "|"+(Jong +"0"+F6+"0")+"|"+(Age+n)</t>
    <phoneticPr fontId="1" type="noConversion"/>
  </si>
  <si>
    <t>질병수술률Ⅳ(1-5종)1종|100000000|1|202401</t>
    <phoneticPr fontId="1" type="noConversion"/>
  </si>
  <si>
    <t>"XA02593|CLA12695|" + S5 + "|"+(Jong +"0"+F6+"0")+"|"+(Age+n)</t>
    <phoneticPr fontId="1" type="noConversion"/>
  </si>
  <si>
    <t>질병수술률Ⅳ(1-5종)2종|100000000|1|202401</t>
    <phoneticPr fontId="1" type="noConversion"/>
  </si>
  <si>
    <t>"XA02593|CLA12697|" + S5 + "|"+(Jong +"0"+F6+"0")+"|"+(Age+n)</t>
    <phoneticPr fontId="1" type="noConversion"/>
  </si>
  <si>
    <t>질병수술률Ⅳ(1-5종)3종|100000000|1|202401</t>
    <phoneticPr fontId="1" type="noConversion"/>
  </si>
  <si>
    <t>"XA02593|CLA12699|" + S5 + "|"+(Jong +"0"+F6+"0")+"|"+(Age+n)</t>
    <phoneticPr fontId="1" type="noConversion"/>
  </si>
  <si>
    <t>질병수술률Ⅳ(1-5종)4종|100000000|1|202401</t>
    <phoneticPr fontId="1" type="noConversion"/>
  </si>
  <si>
    <t>"XA02593|CLA12701|" + S5 + "|"+(Jong +"0"+F6+"0")+"|"+(Age+n)</t>
    <phoneticPr fontId="1" type="noConversion"/>
  </si>
  <si>
    <t>질병수술률Ⅳ(1-5종)5종|100000000|1|202401</t>
    <phoneticPr fontId="1" type="noConversion"/>
  </si>
  <si>
    <t>"XA02593|CLA12703|" + S5 + "|"+(Jong +"0"+F6+"0")+"|"+(Age+n)</t>
    <phoneticPr fontId="1" type="noConversion"/>
  </si>
  <si>
    <t>일반상해중환자실일당(1일이상30일한도)|110000000|0|202401</t>
    <phoneticPr fontId="1" type="noConversion"/>
  </si>
  <si>
    <t>"XA02593|CLA12811|" + S5 + "|"+(Jong +"0"+F6+"0")+"|"+(Age+n)</t>
    <phoneticPr fontId="1" type="noConversion"/>
  </si>
  <si>
    <t>질병중환자실입원율(1일이상30일한도)|100000000|1|202401</t>
    <phoneticPr fontId="1" type="noConversion"/>
  </si>
  <si>
    <t>"XA02593|CLA12736|" + S5 + "|"+(Jong +"0"+F6+"0")+"|"+(Age+n)</t>
    <phoneticPr fontId="1" type="noConversion"/>
  </si>
  <si>
    <t>(q1*D(0.75)+q2+q3+q4+q5)*q26*(1-w/2)*S(3)</t>
    <phoneticPr fontId="1" type="noConversion"/>
  </si>
  <si>
    <t>기타피부암 및 갑상선암 이외의 암 통원율(연간30일한)|100000000|1|202401</t>
    <phoneticPr fontId="1" type="noConversion"/>
  </si>
  <si>
    <t>기타피부암통원율(연간30일한)|100000000|1|202401</t>
    <phoneticPr fontId="1" type="noConversion"/>
  </si>
  <si>
    <t>갑상선암통원율(연간30일한)|100000000|1|202401</t>
    <phoneticPr fontId="1" type="noConversion"/>
  </si>
  <si>
    <t>제자리암통원율(연간30일한)|100000000|1|202401</t>
    <phoneticPr fontId="1" type="noConversion"/>
  </si>
  <si>
    <t>경계성종양통원율(연간30일한)|100000000|1|202401</t>
    <phoneticPr fontId="1" type="noConversion"/>
  </si>
  <si>
    <t>"XA02593|CLA12869|" + S5 + "|"+(Jong +"0"+F6+"0")+"|"+(Age+n)</t>
    <phoneticPr fontId="1" type="noConversion"/>
  </si>
  <si>
    <t>화상진단비(표재성포함2도이상,연간1회한)|100000000|1|202401</t>
    <phoneticPr fontId="1" type="noConversion"/>
  </si>
  <si>
    <t>"XA02593|CLA12817|" + S5 + "|"+(Jong +"0"+F6+"0")+"|"+(Age+n)</t>
    <phoneticPr fontId="1" type="noConversion"/>
  </si>
  <si>
    <t>골절(치아파절포함)발생률|100000000|1|202401</t>
    <phoneticPr fontId="1" type="noConversion"/>
  </si>
  <si>
    <t>"XA02593|CLA12816|" + S5 + "|"+(Jong +"0"+F6+"0")+"|"+(Age+n)</t>
    <phoneticPr fontId="1" type="noConversion"/>
  </si>
  <si>
    <t>특정상해성뇌출혈 발생률|100000000|1|202401</t>
    <phoneticPr fontId="1" type="noConversion"/>
  </si>
  <si>
    <t>"XA02593|CLA12839|" + S5 + "|"+(Jong +"0"+F6+"0")+"|"+(Age+n)</t>
    <phoneticPr fontId="1" type="noConversion"/>
  </si>
  <si>
    <t>깁스치료발생률|100000000|1|202401</t>
    <phoneticPr fontId="1" type="noConversion"/>
  </si>
  <si>
    <t>고지건강체(상해질병치료조정계수)|100001000|1|202401</t>
    <phoneticPr fontId="1" type="noConversion"/>
  </si>
  <si>
    <t>"XA02593|CLA12787|" + S5 + "|"+(Jong +"0"+F6+"0")+"|"+(Age+n)</t>
    <phoneticPr fontId="1" type="noConversion"/>
  </si>
  <si>
    <t>응급실 내원율(응급)|100000000|1|202401</t>
    <phoneticPr fontId="1" type="noConversion"/>
  </si>
  <si>
    <t>"XA02593|CLA12825|" + S5 + "|"+(Jong +"0"+F6+"0")+"|"+(Age+n)</t>
    <phoneticPr fontId="1" type="noConversion"/>
  </si>
  <si>
    <t>상해및질병입원율(연간180일한도)|100000000|1|202504</t>
    <phoneticPr fontId="1" type="noConversion"/>
  </si>
  <si>
    <t>고지건강체(상해질병입원조정계수)|100001000|1|202401</t>
    <phoneticPr fontId="1" type="noConversion"/>
  </si>
  <si>
    <t>"LA02768|CLA20530|" + S5 + "|"+(Jong +"0"+F6+"0")+"|"+(Age+n)</t>
    <phoneticPr fontId="1" type="noConversion"/>
  </si>
  <si>
    <t>종합병원 상해및질병입원율(연간180일한도)|100000000|1|202504</t>
    <phoneticPr fontId="1" type="noConversion"/>
  </si>
  <si>
    <t>"LA02768|CLA22040|" + S5 + "|"+(Jong +"0"+F6+"0")+"|"+(Age+n)</t>
    <phoneticPr fontId="1" type="noConversion"/>
  </si>
  <si>
    <t>상급종합병원 상해및질병입원율(연간180일한도)|100000000|1|202504</t>
    <phoneticPr fontId="1" type="noConversion"/>
  </si>
  <si>
    <t>"LA02768|CLA21943|" + S5 + "|"+(Jong +"0"+F6+"0")+"|"+(Age+n)</t>
    <phoneticPr fontId="1" type="noConversion"/>
  </si>
  <si>
    <t>(q1+0.5*q2)*q26*(1-w/2)</t>
    <phoneticPr fontId="1" type="noConversion"/>
  </si>
  <si>
    <t>종합병원 1인실 상해및질병입원율(연간30일한도)|100000000|1|202504</t>
    <phoneticPr fontId="1" type="noConversion"/>
  </si>
  <si>
    <t>종합병원 2-3인실 상해및질병입원율(연간30일한도)|100000000|1|202504</t>
    <phoneticPr fontId="1" type="noConversion"/>
  </si>
  <si>
    <t>"LA02768|CLA21944|" + S5 + "|"+(Jong +"0"+F6+"0")+"|"+(Age+n)</t>
    <phoneticPr fontId="1" type="noConversion"/>
  </si>
  <si>
    <t>상급종합병원 1인실 상해및질병입원율(연간30일한도)|100000000|1|202504</t>
    <phoneticPr fontId="1" type="noConversion"/>
  </si>
  <si>
    <t>상급종합병원 2-3인실 상해및질병입원율(연간30일한도)|100000000|1|202504</t>
    <phoneticPr fontId="1" type="noConversion"/>
  </si>
  <si>
    <t>"LA02768|CLA21945|" + S5 + "|"+(Jong +"0"+F6+"0")+"|"+(Age+n)</t>
    <phoneticPr fontId="1" type="noConversion"/>
  </si>
  <si>
    <t>(0.5*q1*q26*S(3)+q2*q26*S(3))*(1-w/2)</t>
    <phoneticPr fontId="1" type="noConversion"/>
  </si>
  <si>
    <t>상해및질병입원 간병인지원발생률Ⅲ(요양병원제외, 공동간병인 포함, 7만원미만, 연간 180일한도)(간병인)|100000000|1|202504</t>
    <phoneticPr fontId="1" type="noConversion"/>
  </si>
  <si>
    <t>상해및질병입원 간병인지원발생률Ⅲ(요양병원제외, 공동간병인 포함, 7만원이상, 연간 180일한도)(간병인)|100000000|1|202504</t>
    <phoneticPr fontId="1" type="noConversion"/>
  </si>
  <si>
    <t>"LA02768|CLA20527|" + S5 + "|"+(Jong +"0"+F6+"0")+"|"+(Age+n)</t>
    <phoneticPr fontId="1" type="noConversion"/>
  </si>
  <si>
    <t>상해및질병입원 간병인지원발생률Ⅲ(요양병원, 공동간병인 포함, 연간 180일한도)(간병인)|100000000|1|202504</t>
    <phoneticPr fontId="1" type="noConversion"/>
  </si>
  <si>
    <t>"LA02768|CLA20528|" + S5 + "|"+(Jong +"0"+F6+"0")+"|"+(Age+n)</t>
    <phoneticPr fontId="1" type="noConversion"/>
  </si>
  <si>
    <t>상해및질병입원 간병인지원발생률Ⅲ(연간 180일한도)(간호간병)|100000000|1|202504</t>
    <phoneticPr fontId="1" type="noConversion"/>
  </si>
  <si>
    <t>"LA02768|CLA22771|" + S5 + "|"+(Jong +"0"+F6+"0")+"|"+(Age+n)</t>
    <phoneticPr fontId="1" type="noConversion"/>
  </si>
  <si>
    <t>뇌혈관질환및특정양성뇌종양스텐트삽입술및풍선혈관성형수술률(연간1회한,급여)|100000000|1|202504</t>
    <phoneticPr fontId="1" type="noConversion"/>
  </si>
  <si>
    <t>심장질환스텐트삽입술및풍선혈관성형수술률(연간1회한,급여)|100000000|1|202504</t>
    <phoneticPr fontId="1" type="noConversion"/>
  </si>
  <si>
    <t>"LA02768|CLA20649|" + S5 + "|"+(Jong +"0"+F6+"0")+"|"+(Age+n)</t>
    <phoneticPr fontId="1" type="noConversion"/>
  </si>
  <si>
    <t>뇌졸중혈전용해치료발생률(연간1회한)|100000000|1|202504</t>
    <phoneticPr fontId="1" type="noConversion"/>
  </si>
  <si>
    <t>"LA02768|CLA20650|" + S5 + "|"+(Jong +"0"+F6+"0")+"|"+(Age+n)</t>
    <phoneticPr fontId="1" type="noConversion"/>
  </si>
  <si>
    <t>(1-q1*q26*S(3))*(1-w)</t>
    <phoneticPr fontId="1" type="noConversion"/>
  </si>
  <si>
    <t>뇌졸중혈전용해치료발생률(최초1회한)|100000000|1|202504</t>
    <phoneticPr fontId="1" type="noConversion"/>
  </si>
  <si>
    <t>"LA02768|CLA20652|" + S5 + "|"+(Jong +"0"+F6+"0")+"|"+(Age+n)</t>
    <phoneticPr fontId="1" type="noConversion"/>
  </si>
  <si>
    <t>급성심근경색증혈전용해치료발생률(연간1회한)|100000000|1|202504</t>
    <phoneticPr fontId="1" type="noConversion"/>
  </si>
  <si>
    <t>"LA02768|CLA21521|" + S5 + "|"+(Jong +"0"+F6+"0")+"|"+(Age+n)</t>
    <phoneticPr fontId="1" type="noConversion"/>
  </si>
  <si>
    <t>(q1*q26+q2*q27)*(1-w/2)*S(3)*D(0.5)</t>
    <phoneticPr fontId="1" type="noConversion"/>
  </si>
  <si>
    <t>뇌졸중혈전제거술발생률(연간1회한,급여)|100000000|1|202504</t>
    <phoneticPr fontId="1" type="noConversion"/>
  </si>
  <si>
    <t>특정심장질환혈전제거술발생률(연간1회한,급여)|100000000|1|202504</t>
    <phoneticPr fontId="1" type="noConversion"/>
  </si>
  <si>
    <t>"LA02768|CLA20654|" + S5 + "|"+(Jong +"0"+F6+"0")+"|"+(Age+n)</t>
    <phoneticPr fontId="1" type="noConversion"/>
  </si>
  <si>
    <t>If(Jong=1 or Jong=3, k2, (1-q1*q22*S(3)) ) * (1-w)</t>
    <phoneticPr fontId="1" type="noConversion"/>
  </si>
  <si>
    <t>D(0.75)*q1*(1-w/2)*q22*S(3)*k1</t>
    <phoneticPr fontId="1" type="noConversion"/>
  </si>
  <si>
    <t>기타피부암발생률|100000000|1|202504</t>
    <phoneticPr fontId="1" type="noConversion"/>
  </si>
  <si>
    <t>갑상선암발생률|100000000|1|202504</t>
    <phoneticPr fontId="1" type="noConversion"/>
  </si>
  <si>
    <t>Ax("CLA20351", Age+t, 10)</t>
    <phoneticPr fontId="1" type="noConversion"/>
  </si>
  <si>
    <t>(1-q1*S(3)*q22*r1) * ( (1-q11*q21*r1) * (1-q12*S(3)*q21*r1) * (1-q13*S(3)*q23*r1) * (1-q14*S(3)*q24*r1) * (1-q15*S(3)*q25*r1) * (1-q16*S(3)*q25*r1) * (1-q17*S(3)*q25*r1) )</t>
    <phoneticPr fontId="1" type="noConversion"/>
  </si>
  <si>
    <t>"LA02768|CLA20276|" + S5 + "|"+(Jong +"0"+F6+"0")+"|"+(Age+n)</t>
    <phoneticPr fontId="1" type="noConversion"/>
  </si>
  <si>
    <t>If(Jong=1 or Jong=3, k2, (1-(q2+q3)*q22*S(3))) * (1-w)</t>
    <phoneticPr fontId="1" type="noConversion"/>
  </si>
  <si>
    <t>(1-w)*(1-(q2+q3)*q22*S(3))</t>
    <phoneticPr fontId="1" type="noConversion"/>
  </si>
  <si>
    <t>(q2+q3)*(1-w/2)*q22*S(3)*k1</t>
    <phoneticPr fontId="1" type="noConversion"/>
  </si>
  <si>
    <t>If(t&lt;m,0, 0.5*(W(t)+W(t+1))/2*(1-((q2+q3)*q22*S(3))/2)*w)</t>
    <phoneticPr fontId="1" type="noConversion"/>
  </si>
  <si>
    <t>If(t&lt;m,0, 0.5*(V(t)+V(t+1))/2*(1-((q2+q3)*q22*S(3))/2)*w)</t>
    <phoneticPr fontId="1" type="noConversion"/>
  </si>
  <si>
    <t>Ax("CLA20352", Age+t, 10)</t>
    <phoneticPr fontId="1" type="noConversion"/>
  </si>
  <si>
    <t>(1-D(0.75)*q1*S(3)*q22*r1-(q2+q3)*S(3)*q22*r1) * ( (1-q11*q21*r1) * (1-q12*S(3)*q21*r1) * (1-q13*S(3)*q23*r1) * (1-q14*S(3)*q24*r1) * (1-q15*S(3)*q25*r1) * (1-q16*S(3)*q25*r1) * (1-q17*S(3)*q25*r1) )</t>
    <phoneticPr fontId="1" type="noConversion"/>
  </si>
  <si>
    <t>"LA02768|CLA20277|" + S5 + "|"+(Jong +"0"+F6+"0")+"|"+(Age+n)</t>
    <phoneticPr fontId="1" type="noConversion"/>
  </si>
  <si>
    <t>q1/FindQ(11,Age)</t>
    <phoneticPr fontId="1" type="noConversion"/>
  </si>
  <si>
    <t>암(기타피부암 및 갑상선암 제외) 진단 후 암직접치료 발생률(진단후10년, 연간1회한)|100010000|2|202408</t>
    <phoneticPr fontId="1" type="noConversion"/>
  </si>
  <si>
    <t>1|000000000|1|202504</t>
    <phoneticPr fontId="1" type="noConversion"/>
  </si>
  <si>
    <t>"LA02768|CLA20351|" + S5 + "|"+(Jong +"0"+F6+"0")+"|"+(Age+n)</t>
    <phoneticPr fontId="1" type="noConversion"/>
  </si>
  <si>
    <t>q1/(FindQ(2,Age)+FindQ(3,Age))</t>
    <phoneticPr fontId="1" type="noConversion"/>
  </si>
  <si>
    <t>갑상선암 및 기타피부암 진단 후 암직접치료 발생률(진단후10년, 연간1회한)|100010000|2|202408</t>
    <phoneticPr fontId="1" type="noConversion"/>
  </si>
  <si>
    <t>"LA02768|CLA20352|" + S5 + "|"+(Jong +"0"+F6+"0")+"|"+(Age+n)</t>
    <phoneticPr fontId="1" type="noConversion"/>
  </si>
  <si>
    <t>상해및질병입원율(요양,정신,한방병원제외,연간181일이상365일한도)|100000000|1|202504</t>
    <phoneticPr fontId="1" type="noConversion"/>
  </si>
  <si>
    <t>"LA02768|CLA22316|" + S5 + "|"+(Jong +"0"+F6+"0")+"|"+(Age+n)</t>
    <phoneticPr fontId="1" type="noConversion"/>
  </si>
  <si>
    <t>종합병원 상해및질병입원율(연간181일이상365일한도)|100000000|1|202504</t>
    <phoneticPr fontId="1" type="noConversion"/>
  </si>
  <si>
    <t>"LA02768|CLA22320|" + S5 + "|"+(Jong +"0"+F6+"0")+"|"+(Age+n)</t>
    <phoneticPr fontId="1" type="noConversion"/>
  </si>
  <si>
    <t>상해및질병입원 간병인지원발생률Ⅲ(연간 181일이상365일한도)(간호간병)|100000000|1|202504</t>
    <phoneticPr fontId="1" type="noConversion"/>
  </si>
  <si>
    <t>"LA02768|CLA22398|" + S5 + "|"+(Jong +"0"+F6+"0")+"|"+(Age+n)</t>
    <phoneticPr fontId="1" type="noConversion"/>
  </si>
  <si>
    <t>(0.5*q1+q2)*q26*(1-w/2)*S(3)</t>
    <phoneticPr fontId="1" type="noConversion"/>
  </si>
  <si>
    <t>상해및질병입원 간병인지원발생률Ⅲ(요양,정신,한방병원제외, 공동간병인 포함, 7만원미만, 연간 181일이상365일한도)(간병인)|100000000|1|202504</t>
    <phoneticPr fontId="1" type="noConversion"/>
  </si>
  <si>
    <t>상해및질병입원 간병인지원발생률Ⅲ(요양,정신,한방병원제외, 공동간병인 포함, 7만원이상, 연간 181일이상365일한도)(간병인)|100000000|1|202504</t>
    <phoneticPr fontId="1" type="noConversion"/>
  </si>
  <si>
    <t>"LA02768|CLA22336|" + S5 + "|"+(Jong +"0"+F6+"0")+"|"+(Age+n)</t>
    <phoneticPr fontId="1" type="noConversion"/>
  </si>
  <si>
    <t>상해및질병입원 간병인지원발생률Ⅲ(요양병원, 공동간병인 포함, 연간 181일이상365일한도)(간병인)|100000000|1|202504</t>
    <phoneticPr fontId="1" type="noConversion"/>
  </si>
  <si>
    <t>"LA02768|CLA22394|" + S5 + "|"+(Jong +"0"+F6+"0")+"|"+(Age+n)</t>
    <phoneticPr fontId="1" type="noConversion"/>
  </si>
  <si>
    <t>질병수술률(특정10대질병제외)|100000000|1|202504</t>
    <phoneticPr fontId="1" type="noConversion"/>
  </si>
  <si>
    <t>"LA02768|CLA22863|" + S5 + "|"+(Jong +"0"+F6+"0")+"|"+(Age+n)</t>
    <phoneticPr fontId="1" type="noConversion"/>
  </si>
  <si>
    <t>If(Jong=1 or Jong=3, k2,1-(1-(1-q2*q23*S(3))*(1-q3*q24*S(3)))) * (1-w)</t>
    <phoneticPr fontId="1" type="noConversion"/>
  </si>
  <si>
    <t>(1-(1-(1-q2*q23*S(3))*(1-q3*q24*S(3))))*(1-w)</t>
    <phoneticPr fontId="1" type="noConversion"/>
  </si>
  <si>
    <t>(1-(1-q2*q23*S(3))*(1-q3*q24*S(3)))*(1-w/2)*k1</t>
    <phoneticPr fontId="1" type="noConversion"/>
  </si>
  <si>
    <t>If(t&lt;m,0, 0.5*(W(t)+W(t+1))/2*(1-k3/2)*w)</t>
    <phoneticPr fontId="1" type="noConversion"/>
  </si>
  <si>
    <t>If(t&lt;m,0, 0.5*(V(t)+V(t+1))/2*(1-k3/2)*w)</t>
    <phoneticPr fontId="1" type="noConversion"/>
  </si>
  <si>
    <t>뇌혈관질환발생률|100000000|1|202504</t>
    <phoneticPr fontId="1" type="noConversion"/>
  </si>
  <si>
    <t>허혈성심장질환발생률|100000000|1|202504</t>
    <phoneticPr fontId="1" type="noConversion"/>
  </si>
  <si>
    <t>상해80%이상후유장해(1804)(1급)|100000000|1|202401</t>
    <phoneticPr fontId="1" type="noConversion"/>
  </si>
  <si>
    <t>Ax("CLA22312", Age+t, 10)</t>
    <phoneticPr fontId="1" type="noConversion"/>
  </si>
  <si>
    <t>(1-D(0.75)*q18*S(3)*q22*r1)*(1-(1-(1-q2*q23*S(3))*(1-q3*q24*S(3)))) * ( (1-q11*q21*r1) * (1-q12*S(3)*q21*r1) * (1-q15*S(3)*q25*r1) * (1-q16*S(3)*q25*r1) * (1-q17*S(3)*q25*r1) )</t>
    <phoneticPr fontId="1" type="noConversion"/>
  </si>
  <si>
    <t>(1-(1-q2*q23*S(3))*(1-q3*q24*S(3)))</t>
    <phoneticPr fontId="1" type="noConversion"/>
  </si>
  <si>
    <t>"LA02768|CLA22308|" + S5 + "|"+(Jong +"0"+F6+"0")+"|"+(Age+n)</t>
    <phoneticPr fontId="1" type="noConversion"/>
  </si>
  <si>
    <t>Ax("CLA22847", Age+t, 10)</t>
    <phoneticPr fontId="1" type="noConversion"/>
  </si>
  <si>
    <t>"LA02768|CLA22827|" + S5 + "|"+(Jong +"0"+F6+"0")+"|"+(Age+n)</t>
    <phoneticPr fontId="1" type="noConversion"/>
  </si>
  <si>
    <t>(q1*S(3))/(k2)</t>
    <phoneticPr fontId="1" type="noConversion"/>
  </si>
  <si>
    <t>2대질병 진단 후 2대질병특정치료 발생률(진단후10년, 연간1회한)|100010000|2|202504</t>
    <phoneticPr fontId="1" type="noConversion"/>
  </si>
  <si>
    <t>1-(1-FindQ(2,Age)*S(3)*FindQ(21,Age)/FindQ(19,Age))*(1-FindQ(3,Age)*S(3)*FindQ(22,Age)/FindQ(20,Age))</t>
    <phoneticPr fontId="1" type="noConversion"/>
  </si>
  <si>
    <t>"LA02768|CLA22312|" + S5 + "|"+(Jong +"0"+F6+"0")+"|"+(Age+n)</t>
    <phoneticPr fontId="1" type="noConversion"/>
  </si>
  <si>
    <t>2대질병 진단후 상급종합및권역심뇌센터 2대질병특정치료 발생률(진단후10년,연간1회한)|100010000|2|202504</t>
    <phoneticPr fontId="1" type="noConversion"/>
  </si>
  <si>
    <t>"LA02768|CLA22847|" + S5 + "|"+(Jong +"0"+F6+"0")+"|"+(Age+n)</t>
    <phoneticPr fontId="1" type="noConversion"/>
  </si>
  <si>
    <t>2대질병특정치료발생률(요양병원제외,연간1회한)|100000000|1|202504</t>
    <phoneticPr fontId="1" type="noConversion"/>
  </si>
  <si>
    <t>"LA02768|CLA22957|" + S5 + "|"+(Jong +"0"+F6+"0")+"|"+(Age+n)</t>
    <phoneticPr fontId="1" type="noConversion"/>
  </si>
  <si>
    <t>경증순환계질환특정치료발생률(요양병원제외,연간1회한)|100000000|1|202504</t>
    <phoneticPr fontId="1" type="noConversion"/>
  </si>
  <si>
    <t>"LA02768|CLA22958|" + S5 + "|"+(Jong +"0"+F6+"0")+"|"+(Age+n)</t>
    <phoneticPr fontId="1" type="noConversion"/>
  </si>
  <si>
    <t>중등증순환계질환특정치료발생률(요양병원제외,연간1회한)|100000000|1|202504</t>
    <phoneticPr fontId="1" type="noConversion"/>
  </si>
  <si>
    <t>"LA02768|CLA22959|" + S5 + "|"+(Jong +"0"+F6+"0")+"|"+(Age+n)</t>
    <phoneticPr fontId="1" type="noConversion"/>
  </si>
  <si>
    <t>중증순환계질환특정치료발생률(요양병원제외,연간1회한)|100000000|1|202504</t>
    <phoneticPr fontId="1" type="noConversion"/>
  </si>
  <si>
    <t>"LA02768|CLA22960|" + S5 + "|"+(Jong +"0"+F6+"0")+"|"+(Age+n)</t>
    <phoneticPr fontId="1" type="noConversion"/>
  </si>
  <si>
    <t>중등증Ⅱ순환계질환특정치료발생률(요양병원제외,연간1회한)|100000000|1|202504</t>
    <phoneticPr fontId="1" type="noConversion"/>
  </si>
  <si>
    <t>"LA02768|CLA22961|" + S5 + "|"+(Jong +"0"+F6+"0")+"|"+(Age+n)</t>
    <phoneticPr fontId="1" type="noConversion"/>
  </si>
  <si>
    <t>폐렴발생률|100000000|1|202504</t>
    <phoneticPr fontId="1" type="noConversion"/>
  </si>
  <si>
    <t>"LA02768|CLA22899|" + S5 + "|"+(Jong +"0"+F6+"0")+"|"+(Age+n)</t>
    <phoneticPr fontId="1" type="noConversion"/>
  </si>
  <si>
    <t>폐렴발생률(연간1회한)|100000000|1|202504</t>
    <phoneticPr fontId="1" type="noConversion"/>
  </si>
  <si>
    <t>"LA02768|CLA22904|" + S5 + "|"+(Jong +"0"+F6+"0")+"|"+(Age+n)</t>
    <phoneticPr fontId="1" type="noConversion"/>
  </si>
  <si>
    <t>천식발생률|100000000|1|202504</t>
    <phoneticPr fontId="1" type="noConversion"/>
  </si>
  <si>
    <t>"LA02768|CLA22900|" + S5 + "|"+(Jong +"0"+F6+"0")+"|"+(Age+n)</t>
    <phoneticPr fontId="1" type="noConversion"/>
  </si>
  <si>
    <t>패혈증발생률|100000000|1|202504</t>
    <phoneticPr fontId="1" type="noConversion"/>
  </si>
  <si>
    <t>"LA02768|CLA22901|" + S5 + "|"+(Jong +"0"+F6+"0")+"|"+(Age+n)</t>
    <phoneticPr fontId="1" type="noConversion"/>
  </si>
  <si>
    <t>패혈증발생률(연간1회한)|100000000|1|202504</t>
    <phoneticPr fontId="1" type="noConversion"/>
  </si>
  <si>
    <t>"LA02768|CLA22905|" + S5 + "|"+(Jong +"0"+F6+"0")+"|"+(Age+n)</t>
    <phoneticPr fontId="1" type="noConversion"/>
  </si>
  <si>
    <t>LA02825</t>
  </si>
  <si>
    <t>10,20,30</t>
    <phoneticPr fontId="1" type="noConversion"/>
  </si>
  <si>
    <t>Pr(1)</t>
  </si>
  <si>
    <t>PrTerm(1)</t>
  </si>
  <si>
    <t>Pr(1)/PrTerm(1)</t>
  </si>
  <si>
    <t>0,1</t>
    <phoneticPr fontId="1" type="noConversion"/>
  </si>
  <si>
    <t>CLA23221</t>
  </si>
  <si>
    <t>CLA23231</t>
  </si>
  <si>
    <t>CLA23266</t>
  </si>
  <si>
    <t>CLA23272</t>
  </si>
  <si>
    <t>CLA23313</t>
  </si>
  <si>
    <t>CLA23320</t>
  </si>
  <si>
    <t>CLA23305</t>
  </si>
  <si>
    <t>CLA23315</t>
  </si>
  <si>
    <t>CLA23316</t>
  </si>
  <si>
    <t>CLA23307</t>
  </si>
  <si>
    <t>CLA23308</t>
  </si>
  <si>
    <t>CLA23309</t>
  </si>
  <si>
    <t>CLA23310</t>
  </si>
  <si>
    <t>CLA23317</t>
  </si>
  <si>
    <t>CLA23318</t>
  </si>
  <si>
    <t>CLA23311</t>
  </si>
  <si>
    <t>CLA23312</t>
  </si>
  <si>
    <t>CLA23319</t>
  </si>
  <si>
    <t>S5-&gt;2</t>
  </si>
  <si>
    <t>S5-&gt;2</t>
    <phoneticPr fontId="1" type="noConversion"/>
  </si>
  <si>
    <t>LA02825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</si>
  <si>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</si>
  <si>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</si>
  <si>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</si>
  <si>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S4</t>
    <phoneticPr fontId="1" type="noConversion"/>
  </si>
  <si>
    <t>S5</t>
    <phoneticPr fontId="1" type="noConversion"/>
  </si>
  <si>
    <t>F1</t>
    <phoneticPr fontId="3" type="noConversion"/>
  </si>
  <si>
    <t>F2</t>
    <phoneticPr fontId="3" type="noConversion"/>
  </si>
  <si>
    <t>F3</t>
  </si>
  <si>
    <t>F4</t>
  </si>
  <si>
    <t>F5</t>
  </si>
  <si>
    <t>F6</t>
  </si>
  <si>
    <t>F7</t>
  </si>
  <si>
    <t>F8</t>
  </si>
  <si>
    <t>F9</t>
  </si>
  <si>
    <t>Jong</t>
    <phoneticPr fontId="1" type="noConversion"/>
  </si>
  <si>
    <t>RiderCode</t>
    <phoneticPr fontId="3" type="noConversion"/>
  </si>
  <si>
    <t>ProductCode</t>
    <phoneticPr fontId="3" type="noConversion"/>
  </si>
  <si>
    <t>NP6</t>
    <phoneticPr fontId="1" type="noConversion"/>
  </si>
  <si>
    <t>GP6</t>
    <phoneticPr fontId="1" type="noConversion"/>
  </si>
  <si>
    <t>V0</t>
    <phoneticPr fontId="1" type="noConversion"/>
  </si>
  <si>
    <t>BETANP2</t>
    <phoneticPr fontId="1" type="noConversion"/>
  </si>
  <si>
    <t>ALPHA</t>
    <phoneticPr fontId="1" type="noConversion"/>
  </si>
  <si>
    <t>STDALPHA</t>
    <phoneticPr fontId="1" type="noConversion"/>
  </si>
  <si>
    <t>ABL1</t>
    <phoneticPr fontId="1" type="noConversion"/>
  </si>
  <si>
    <t>A1</t>
    <phoneticPr fontId="1" type="noConversion"/>
  </si>
  <si>
    <t>W0</t>
    <phoneticPr fontId="1" type="noConversion"/>
  </si>
  <si>
    <t>ElapseYear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</si>
</sst>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color rgb="FF000000"/>
      <name val="나눔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41" fontId="0" fillId="2" borderId="1" xfId="1" applyFon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1" applyNumberFormat="1" applyFont="1" applyFill="1" applyAlignment="1">
      <alignment horizontal="center" vertical="center"/>
    </xf>
    <xf numFmtId="41" fontId="0" fillId="0" borderId="0" xfId="1" applyFont="1" applyFill="1" applyBorder="1" applyAlignment="1">
      <alignment vertical="center"/>
    </xf>
    <xf numFmtId="41" fontId="0" fillId="0" borderId="0" xfId="1" applyFont="1" applyFill="1" applyBorder="1" applyAlignment="1">
      <alignment horizontal="left" vertical="center"/>
    </xf>
    <xf numFmtId="0" fontId="0" fillId="0" borderId="0" xfId="1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41" fontId="0" fillId="0" borderId="0" xfId="1" applyFont="1" applyAlignment="1">
      <alignment horizontal="center" vertical="center"/>
    </xf>
    <xf numFmtId="41" fontId="0" fillId="0" borderId="0" xfId="1" applyFont="1" applyAlignment="1">
      <alignment horizontal="left" vertical="center"/>
    </xf>
    <xf numFmtId="41" fontId="5" fillId="0" borderId="0" xfId="1" applyFont="1" applyAlignment="1">
      <alignment horizontal="left" vertical="center"/>
    </xf>
    <xf numFmtId="0" fontId="0" fillId="0" borderId="0" xfId="0" applyAlignment="1">
      <alignment horizontal="left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3" fontId="6" fillId="0" borderId="2" xfId="0" applyNumberFormat="1" applyFont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7</xdr:row>
          <xdr:rowOff>57150</xdr:rowOff>
        </xdr:from>
        <xdr:to>
          <xdr:col>4</xdr:col>
          <xdr:colOff>314325</xdr:colOff>
          <xdr:row>10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SInfoA에서 콤마로 연결된 문자열을 확장하여 SInfoB에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</xdr:row>
          <xdr:rowOff>123825</xdr:rowOff>
        </xdr:from>
        <xdr:to>
          <xdr:col>3</xdr:col>
          <xdr:colOff>428625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RiderB에 담보명만 넣어서 알아서 RiderA의 값 가져오기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4B63-8822-4B55-8463-3CDC69937D94}">
  <sheetPr codeName="Sheet5"/>
  <dimension ref="A1"/>
  <sheetViews>
    <sheetView tabSelected="1" workbookViewId="0">
      <selection activeCell="K18" sqref="K18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andCartesianProduct">
                <anchor moveWithCells="1" sizeWithCells="1">
                  <from>
                    <xdr:col>0</xdr:col>
                    <xdr:colOff>371475</xdr:colOff>
                    <xdr:row>7</xdr:row>
                    <xdr:rowOff>57150</xdr:rowOff>
                  </from>
                  <to>
                    <xdr:col>4</xdr:col>
                    <xdr:colOff>314325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pyDataFromRiderAToRiderB">
                <anchor moveWithCells="1" sizeWithCells="1">
                  <from>
                    <xdr:col>0</xdr:col>
                    <xdr:colOff>371475</xdr:colOff>
                    <xdr:row>1</xdr:row>
                    <xdr:rowOff>123825</xdr:rowOff>
                  </from>
                  <to>
                    <xdr:col>3</xdr:col>
                    <xdr:colOff>428625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X1171"/>
  <sheetViews>
    <sheetView zoomScale="70" zoomScaleNormal="70" workbookViewId="0">
      <pane xSplit="3" ySplit="2" topLeftCell="BM1129" activePane="bottomRight" state="frozen"/>
      <selection pane="topRight" activeCell="D1" sqref="D1"/>
      <selection pane="bottomLeft" activeCell="A2" sqref="A2"/>
      <selection pane="bottomRight" activeCell="CA1143" sqref="CA1143"/>
    </sheetView>
  </sheetViews>
  <sheetFormatPr defaultRowHeight="16.5" x14ac:dyDescent="0.3"/>
  <cols>
    <col min="1" max="1" width="15.875" customWidth="1"/>
    <col min="2" max="2" width="10.125" customWidth="1"/>
    <col min="3" max="3" width="54.875" bestFit="1" customWidth="1"/>
    <col min="4" max="4" width="8.625" bestFit="1" customWidth="1"/>
    <col min="5" max="5" width="12.625" bestFit="1" customWidth="1"/>
    <col min="6" max="6" width="15.25" customWidth="1"/>
    <col min="7" max="7" width="16.875" customWidth="1"/>
    <col min="8" max="8" width="19.75" customWidth="1"/>
    <col min="9" max="12" width="10.625" customWidth="1"/>
    <col min="13" max="28" width="5.625" customWidth="1"/>
    <col min="29" max="31" width="10.625" customWidth="1"/>
    <col min="32" max="48" width="5.625" customWidth="1"/>
    <col min="49" max="49" width="20.5" customWidth="1"/>
    <col min="50" max="70" width="10.625" customWidth="1"/>
    <col min="71" max="101" width="5.625" customWidth="1"/>
    <col min="102" max="102" width="61.875" bestFit="1" customWidth="1"/>
  </cols>
  <sheetData>
    <row r="2" spans="1:102" ht="30.75" customHeight="1" x14ac:dyDescent="0.3">
      <c r="A2" s="5" t="s">
        <v>0</v>
      </c>
      <c r="B2" s="6" t="s">
        <v>1</v>
      </c>
      <c r="C2" s="6" t="s">
        <v>2</v>
      </c>
      <c r="D2" s="3" t="s">
        <v>3</v>
      </c>
      <c r="E2" s="1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3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29</v>
      </c>
      <c r="AE2" s="3" t="s">
        <v>30</v>
      </c>
      <c r="AF2" s="3" t="s">
        <v>31</v>
      </c>
      <c r="AG2" s="3" t="s">
        <v>32</v>
      </c>
      <c r="AH2" s="3" t="s">
        <v>33</v>
      </c>
      <c r="AI2" s="3" t="s">
        <v>34</v>
      </c>
      <c r="AJ2" s="3" t="s">
        <v>35</v>
      </c>
      <c r="AK2" s="3" t="s">
        <v>36</v>
      </c>
      <c r="AL2" s="3" t="s">
        <v>37</v>
      </c>
      <c r="AM2" s="3" t="s">
        <v>38</v>
      </c>
      <c r="AN2" s="3" t="s">
        <v>39</v>
      </c>
      <c r="AO2" s="3" t="s">
        <v>40</v>
      </c>
      <c r="AP2" s="3" t="s">
        <v>41</v>
      </c>
      <c r="AQ2" s="3" t="s">
        <v>42</v>
      </c>
      <c r="AR2" s="3" t="s">
        <v>43</v>
      </c>
      <c r="AS2" s="3" t="s">
        <v>44</v>
      </c>
      <c r="AT2" s="3" t="s">
        <v>45</v>
      </c>
      <c r="AU2" s="3" t="s">
        <v>46</v>
      </c>
      <c r="AV2" s="3" t="s">
        <v>47</v>
      </c>
      <c r="AW2" s="3" t="s">
        <v>48</v>
      </c>
      <c r="AX2" s="3" t="s">
        <v>49</v>
      </c>
      <c r="AY2" s="3" t="s">
        <v>50</v>
      </c>
      <c r="AZ2" s="3" t="s">
        <v>51</v>
      </c>
      <c r="BA2" s="3" t="s">
        <v>52</v>
      </c>
      <c r="BB2" s="3" t="s">
        <v>53</v>
      </c>
      <c r="BC2" s="3" t="s">
        <v>54</v>
      </c>
      <c r="BD2" s="3" t="s">
        <v>55</v>
      </c>
      <c r="BE2" s="3" t="s">
        <v>56</v>
      </c>
      <c r="BF2" s="3" t="s">
        <v>57</v>
      </c>
      <c r="BG2" s="3" t="s">
        <v>58</v>
      </c>
      <c r="BH2" s="4" t="s">
        <v>59</v>
      </c>
      <c r="BI2" s="4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4" t="s">
        <v>69</v>
      </c>
      <c r="BS2" s="4" t="s">
        <v>70</v>
      </c>
      <c r="BT2" s="4" t="s">
        <v>71</v>
      </c>
      <c r="BU2" s="4" t="s">
        <v>72</v>
      </c>
      <c r="BV2" s="4" t="s">
        <v>73</v>
      </c>
      <c r="BW2" s="4" t="s">
        <v>74</v>
      </c>
      <c r="BX2" s="4" t="s">
        <v>75</v>
      </c>
      <c r="BY2" s="4" t="s">
        <v>76</v>
      </c>
      <c r="BZ2" s="4" t="s">
        <v>77</v>
      </c>
      <c r="CA2" s="4" t="s">
        <v>78</v>
      </c>
      <c r="CB2" s="3" t="s">
        <v>79</v>
      </c>
      <c r="CC2" s="3" t="s">
        <v>80</v>
      </c>
      <c r="CD2" s="3" t="s">
        <v>81</v>
      </c>
      <c r="CE2" s="3" t="s">
        <v>82</v>
      </c>
      <c r="CF2" s="3" t="s">
        <v>83</v>
      </c>
      <c r="CG2" s="3" t="s">
        <v>84</v>
      </c>
      <c r="CH2" s="3" t="s">
        <v>85</v>
      </c>
      <c r="CI2" s="3" t="s">
        <v>86</v>
      </c>
      <c r="CJ2" s="3" t="s">
        <v>87</v>
      </c>
      <c r="CK2" s="3" t="s">
        <v>88</v>
      </c>
      <c r="CL2" s="3" t="s">
        <v>89</v>
      </c>
      <c r="CM2" s="3" t="s">
        <v>90</v>
      </c>
      <c r="CN2" s="3" t="s">
        <v>91</v>
      </c>
      <c r="CO2" s="3" t="s">
        <v>92</v>
      </c>
      <c r="CP2" s="3" t="s">
        <v>93</v>
      </c>
      <c r="CQ2" s="3" t="s">
        <v>94</v>
      </c>
      <c r="CR2" s="3" t="s">
        <v>95</v>
      </c>
      <c r="CS2" s="3" t="s">
        <v>96</v>
      </c>
      <c r="CT2" s="3" t="s">
        <v>97</v>
      </c>
      <c r="CU2" s="3" t="s">
        <v>98</v>
      </c>
      <c r="CV2" s="3" t="s">
        <v>99</v>
      </c>
      <c r="CW2" s="3" t="s">
        <v>100</v>
      </c>
      <c r="CX2" s="3" t="s">
        <v>101</v>
      </c>
    </row>
    <row r="3" spans="1:102" s="15" customFormat="1" x14ac:dyDescent="0.3">
      <c r="A3" s="11" t="s">
        <v>126</v>
      </c>
      <c r="B3" s="10" t="s">
        <v>127</v>
      </c>
      <c r="C3" s="12" t="s">
        <v>3782</v>
      </c>
      <c r="D3" s="10">
        <v>1</v>
      </c>
      <c r="E3" s="13"/>
      <c r="F3" s="14">
        <v>1</v>
      </c>
      <c r="G3" s="14"/>
      <c r="I3" s="8"/>
      <c r="J3" s="10"/>
      <c r="AW3" s="15" t="s">
        <v>128</v>
      </c>
      <c r="CB3" s="15" t="s">
        <v>129</v>
      </c>
      <c r="CW3" s="10">
        <v>2</v>
      </c>
      <c r="CX3" s="15" t="s">
        <v>130</v>
      </c>
    </row>
    <row r="4" spans="1:102" s="15" customFormat="1" x14ac:dyDescent="0.3">
      <c r="A4" s="11" t="s">
        <v>126</v>
      </c>
      <c r="B4" s="10" t="s">
        <v>131</v>
      </c>
      <c r="C4" s="12" t="s">
        <v>3783</v>
      </c>
      <c r="D4" s="10">
        <v>1</v>
      </c>
      <c r="E4" s="13"/>
      <c r="F4" s="14">
        <v>1</v>
      </c>
      <c r="G4" s="14"/>
      <c r="I4" s="8"/>
      <c r="J4" s="10"/>
      <c r="AW4" s="15" t="s">
        <v>128</v>
      </c>
      <c r="CB4" s="15" t="s">
        <v>129</v>
      </c>
      <c r="CW4" s="10">
        <v>2</v>
      </c>
      <c r="CX4" s="15" t="s">
        <v>132</v>
      </c>
    </row>
    <row r="5" spans="1:102" s="15" customFormat="1" x14ac:dyDescent="0.3">
      <c r="A5" s="11" t="s">
        <v>126</v>
      </c>
      <c r="B5" s="10" t="s">
        <v>133</v>
      </c>
      <c r="C5" s="12" t="s">
        <v>136</v>
      </c>
      <c r="D5" s="10">
        <v>1</v>
      </c>
      <c r="E5" s="13"/>
      <c r="F5" s="14">
        <v>1</v>
      </c>
      <c r="G5" s="14"/>
      <c r="I5" s="8"/>
      <c r="J5" s="10"/>
      <c r="AW5" s="15" t="s">
        <v>128</v>
      </c>
      <c r="CB5" s="15" t="s">
        <v>129</v>
      </c>
      <c r="CW5" s="10">
        <v>2</v>
      </c>
      <c r="CX5" s="15" t="s">
        <v>134</v>
      </c>
    </row>
    <row r="6" spans="1:102" s="15" customFormat="1" x14ac:dyDescent="0.3">
      <c r="A6" s="11" t="s">
        <v>126</v>
      </c>
      <c r="B6" s="10" t="s">
        <v>135</v>
      </c>
      <c r="C6" s="12" t="s">
        <v>136</v>
      </c>
      <c r="D6" s="10">
        <v>1</v>
      </c>
      <c r="E6" s="13"/>
      <c r="F6" s="14">
        <v>1</v>
      </c>
      <c r="G6" s="14"/>
      <c r="I6" s="8"/>
      <c r="J6" s="10"/>
      <c r="AW6" s="15" t="s">
        <v>128</v>
      </c>
      <c r="CB6" s="15" t="s">
        <v>128</v>
      </c>
      <c r="CW6" s="10">
        <v>2</v>
      </c>
      <c r="CX6" s="15" t="s">
        <v>137</v>
      </c>
    </row>
    <row r="7" spans="1:102" s="15" customFormat="1" x14ac:dyDescent="0.3">
      <c r="A7" s="11" t="s">
        <v>126</v>
      </c>
      <c r="B7" s="10" t="s">
        <v>138</v>
      </c>
      <c r="C7" s="12" t="s">
        <v>139</v>
      </c>
      <c r="D7" s="10">
        <v>1</v>
      </c>
      <c r="E7" s="13"/>
      <c r="F7" s="14">
        <v>1</v>
      </c>
      <c r="G7" s="14"/>
      <c r="I7" s="8"/>
      <c r="J7" s="10"/>
      <c r="AW7" s="15" t="s">
        <v>128</v>
      </c>
      <c r="CB7" s="15" t="s">
        <v>128</v>
      </c>
      <c r="CW7" s="10">
        <v>2</v>
      </c>
      <c r="CX7" s="15" t="s">
        <v>140</v>
      </c>
    </row>
    <row r="8" spans="1:102" s="15" customFormat="1" x14ac:dyDescent="0.3">
      <c r="A8" s="11" t="s">
        <v>126</v>
      </c>
      <c r="B8" s="10" t="s">
        <v>141</v>
      </c>
      <c r="C8" s="12" t="s">
        <v>144</v>
      </c>
      <c r="D8" s="10">
        <v>1</v>
      </c>
      <c r="E8" s="13"/>
      <c r="F8" s="14">
        <v>1</v>
      </c>
      <c r="G8" s="14"/>
      <c r="I8" s="8"/>
      <c r="J8" s="10"/>
      <c r="AW8" s="15" t="s">
        <v>128</v>
      </c>
      <c r="CB8" s="15" t="s">
        <v>129</v>
      </c>
      <c r="CW8" s="10">
        <v>2</v>
      </c>
      <c r="CX8" s="15" t="s">
        <v>142</v>
      </c>
    </row>
    <row r="9" spans="1:102" s="15" customFormat="1" x14ac:dyDescent="0.3">
      <c r="A9" s="11" t="s">
        <v>126</v>
      </c>
      <c r="B9" s="10" t="s">
        <v>143</v>
      </c>
      <c r="C9" s="12" t="s">
        <v>144</v>
      </c>
      <c r="D9" s="10">
        <v>1</v>
      </c>
      <c r="E9" s="13"/>
      <c r="F9" s="14">
        <v>1</v>
      </c>
      <c r="G9" s="14"/>
      <c r="I9" s="8"/>
      <c r="J9" s="10"/>
      <c r="AW9" s="15" t="s">
        <v>128</v>
      </c>
      <c r="CB9" s="15" t="s">
        <v>128</v>
      </c>
      <c r="CW9" s="10">
        <v>2</v>
      </c>
      <c r="CX9" s="15" t="s">
        <v>145</v>
      </c>
    </row>
    <row r="10" spans="1:102" s="15" customFormat="1" x14ac:dyDescent="0.3">
      <c r="A10" s="11" t="s">
        <v>126</v>
      </c>
      <c r="B10" s="10" t="s">
        <v>146</v>
      </c>
      <c r="C10" s="12" t="s">
        <v>147</v>
      </c>
      <c r="D10" s="10">
        <v>1</v>
      </c>
      <c r="E10" s="13"/>
      <c r="F10" s="14">
        <v>1</v>
      </c>
      <c r="G10" s="14"/>
      <c r="I10" s="8"/>
      <c r="J10" s="10"/>
      <c r="AW10" s="15" t="s">
        <v>128</v>
      </c>
      <c r="CB10" s="15" t="s">
        <v>128</v>
      </c>
      <c r="CW10" s="10">
        <v>2</v>
      </c>
      <c r="CX10" s="15" t="s">
        <v>148</v>
      </c>
    </row>
    <row r="11" spans="1:102" s="15" customFormat="1" x14ac:dyDescent="0.3">
      <c r="A11" s="11" t="s">
        <v>126</v>
      </c>
      <c r="B11" s="10" t="s">
        <v>149</v>
      </c>
      <c r="C11" s="12" t="s">
        <v>152</v>
      </c>
      <c r="D11" s="10">
        <v>1</v>
      </c>
      <c r="E11" s="13"/>
      <c r="F11" s="14">
        <v>1</v>
      </c>
      <c r="G11" s="14"/>
      <c r="I11" s="8"/>
      <c r="J11" s="10"/>
      <c r="AW11" s="15" t="s">
        <v>128</v>
      </c>
      <c r="CB11" s="15" t="s">
        <v>129</v>
      </c>
      <c r="CW11" s="10">
        <v>2</v>
      </c>
      <c r="CX11" s="15" t="s">
        <v>150</v>
      </c>
    </row>
    <row r="12" spans="1:102" s="15" customFormat="1" x14ac:dyDescent="0.3">
      <c r="A12" s="11" t="s">
        <v>126</v>
      </c>
      <c r="B12" s="10" t="s">
        <v>151</v>
      </c>
      <c r="C12" s="12" t="s">
        <v>152</v>
      </c>
      <c r="D12" s="10">
        <v>1</v>
      </c>
      <c r="E12" s="13"/>
      <c r="F12" s="14">
        <v>1</v>
      </c>
      <c r="G12" s="14"/>
      <c r="I12" s="8"/>
      <c r="J12" s="10"/>
      <c r="AW12" s="15" t="s">
        <v>128</v>
      </c>
      <c r="CB12" s="15" t="s">
        <v>128</v>
      </c>
      <c r="CW12" s="10">
        <v>2</v>
      </c>
      <c r="CX12" s="15" t="s">
        <v>153</v>
      </c>
    </row>
    <row r="13" spans="1:102" s="15" customFormat="1" x14ac:dyDescent="0.3">
      <c r="A13" s="11" t="s">
        <v>126</v>
      </c>
      <c r="B13" s="10" t="s">
        <v>154</v>
      </c>
      <c r="C13" s="12" t="s">
        <v>155</v>
      </c>
      <c r="D13" s="10">
        <v>1</v>
      </c>
      <c r="E13" s="13"/>
      <c r="F13" s="14">
        <v>1</v>
      </c>
      <c r="G13" s="14"/>
      <c r="I13" s="8"/>
      <c r="J13" s="10"/>
      <c r="AW13" s="15" t="s">
        <v>128</v>
      </c>
      <c r="CB13" s="15" t="s">
        <v>128</v>
      </c>
      <c r="CW13" s="10">
        <v>2</v>
      </c>
      <c r="CX13" s="15" t="s">
        <v>156</v>
      </c>
    </row>
    <row r="14" spans="1:102" s="15" customFormat="1" x14ac:dyDescent="0.3">
      <c r="A14" s="11" t="s">
        <v>126</v>
      </c>
      <c r="B14" s="10" t="s">
        <v>157</v>
      </c>
      <c r="C14" s="12" t="s">
        <v>3784</v>
      </c>
      <c r="D14" s="10">
        <v>1</v>
      </c>
      <c r="E14" s="13"/>
      <c r="F14" s="14">
        <v>1</v>
      </c>
      <c r="G14" s="14"/>
      <c r="I14" s="8"/>
      <c r="J14" s="10"/>
      <c r="AW14" s="15" t="s">
        <v>128</v>
      </c>
      <c r="CB14" s="15" t="s">
        <v>129</v>
      </c>
      <c r="CW14" s="10">
        <v>2</v>
      </c>
      <c r="CX14" s="15" t="s">
        <v>158</v>
      </c>
    </row>
    <row r="15" spans="1:102" s="15" customFormat="1" x14ac:dyDescent="0.3">
      <c r="A15" s="11" t="s">
        <v>126</v>
      </c>
      <c r="B15" s="10" t="s">
        <v>159</v>
      </c>
      <c r="C15" s="12" t="s">
        <v>162</v>
      </c>
      <c r="D15" s="10">
        <v>1</v>
      </c>
      <c r="E15" s="13"/>
      <c r="F15" s="14">
        <v>1</v>
      </c>
      <c r="G15" s="14"/>
      <c r="I15" s="8"/>
      <c r="J15" s="10"/>
      <c r="AW15" s="15" t="s">
        <v>128</v>
      </c>
      <c r="CB15" s="15" t="s">
        <v>129</v>
      </c>
      <c r="CW15" s="10">
        <v>2</v>
      </c>
      <c r="CX15" s="15" t="s">
        <v>160</v>
      </c>
    </row>
    <row r="16" spans="1:102" s="15" customFormat="1" x14ac:dyDescent="0.3">
      <c r="A16" s="11" t="s">
        <v>126</v>
      </c>
      <c r="B16" s="10" t="s">
        <v>161</v>
      </c>
      <c r="C16" s="12" t="s">
        <v>162</v>
      </c>
      <c r="D16" s="10">
        <v>1</v>
      </c>
      <c r="E16" s="13"/>
      <c r="F16" s="14">
        <v>1</v>
      </c>
      <c r="G16" s="14"/>
      <c r="I16" s="8"/>
      <c r="J16" s="10"/>
      <c r="AW16" s="15" t="s">
        <v>128</v>
      </c>
      <c r="CB16" s="15" t="s">
        <v>128</v>
      </c>
      <c r="CW16" s="10">
        <v>2</v>
      </c>
      <c r="CX16" s="15" t="s">
        <v>163</v>
      </c>
    </row>
    <row r="17" spans="1:102" s="15" customFormat="1" x14ac:dyDescent="0.3">
      <c r="A17" s="11" t="s">
        <v>126</v>
      </c>
      <c r="B17" s="10" t="s">
        <v>164</v>
      </c>
      <c r="C17" s="12" t="s">
        <v>167</v>
      </c>
      <c r="D17" s="10">
        <v>1</v>
      </c>
      <c r="E17" s="13"/>
      <c r="F17" s="14">
        <v>1</v>
      </c>
      <c r="G17" s="14"/>
      <c r="I17" s="8"/>
      <c r="J17" s="10"/>
      <c r="AW17" s="15" t="s">
        <v>128</v>
      </c>
      <c r="CB17" s="15" t="s">
        <v>129</v>
      </c>
      <c r="CW17" s="10">
        <v>2</v>
      </c>
      <c r="CX17" s="15" t="s">
        <v>165</v>
      </c>
    </row>
    <row r="18" spans="1:102" s="15" customFormat="1" x14ac:dyDescent="0.3">
      <c r="A18" s="11" t="s">
        <v>126</v>
      </c>
      <c r="B18" s="10" t="s">
        <v>166</v>
      </c>
      <c r="C18" s="12" t="s">
        <v>167</v>
      </c>
      <c r="D18" s="10">
        <v>1</v>
      </c>
      <c r="E18" s="13"/>
      <c r="F18" s="14">
        <v>1</v>
      </c>
      <c r="G18" s="14"/>
      <c r="I18" s="8"/>
      <c r="J18" s="10"/>
      <c r="AW18" s="15" t="s">
        <v>128</v>
      </c>
      <c r="CB18" s="15" t="s">
        <v>128</v>
      </c>
      <c r="CW18" s="10">
        <v>2</v>
      </c>
      <c r="CX18" s="15" t="s">
        <v>168</v>
      </c>
    </row>
    <row r="19" spans="1:102" s="15" customFormat="1" x14ac:dyDescent="0.3">
      <c r="A19" s="11" t="s">
        <v>126</v>
      </c>
      <c r="B19" s="10" t="s">
        <v>169</v>
      </c>
      <c r="C19" s="12" t="s">
        <v>172</v>
      </c>
      <c r="D19" s="10">
        <v>1</v>
      </c>
      <c r="E19" s="13"/>
      <c r="F19" s="14">
        <v>1</v>
      </c>
      <c r="G19" s="14"/>
      <c r="I19" s="8"/>
      <c r="J19" s="10"/>
      <c r="AW19" s="15" t="s">
        <v>128</v>
      </c>
      <c r="CB19" s="15" t="s">
        <v>129</v>
      </c>
      <c r="CW19" s="10">
        <v>2</v>
      </c>
      <c r="CX19" s="15" t="s">
        <v>170</v>
      </c>
    </row>
    <row r="20" spans="1:102" s="15" customFormat="1" x14ac:dyDescent="0.3">
      <c r="A20" s="11" t="s">
        <v>126</v>
      </c>
      <c r="B20" s="10" t="s">
        <v>171</v>
      </c>
      <c r="C20" s="12" t="s">
        <v>172</v>
      </c>
      <c r="D20" s="10">
        <v>1</v>
      </c>
      <c r="E20" s="13"/>
      <c r="F20" s="14">
        <v>1</v>
      </c>
      <c r="G20" s="14"/>
      <c r="I20" s="8"/>
      <c r="J20" s="10"/>
      <c r="AW20" s="15" t="s">
        <v>128</v>
      </c>
      <c r="CB20" s="15" t="s">
        <v>128</v>
      </c>
      <c r="CW20" s="10">
        <v>2</v>
      </c>
      <c r="CX20" s="15" t="s">
        <v>173</v>
      </c>
    </row>
    <row r="21" spans="1:102" s="15" customFormat="1" x14ac:dyDescent="0.3">
      <c r="A21" s="11" t="s">
        <v>126</v>
      </c>
      <c r="B21" s="10" t="s">
        <v>174</v>
      </c>
      <c r="C21" s="12" t="s">
        <v>175</v>
      </c>
      <c r="D21" s="10">
        <v>1</v>
      </c>
      <c r="E21" s="13"/>
      <c r="F21" s="14">
        <v>1</v>
      </c>
      <c r="G21" s="14"/>
      <c r="I21" s="8"/>
      <c r="J21" s="10"/>
      <c r="AW21" s="15" t="s">
        <v>128</v>
      </c>
      <c r="CB21" s="15" t="s">
        <v>128</v>
      </c>
      <c r="CW21" s="10">
        <v>2</v>
      </c>
      <c r="CX21" s="15" t="s">
        <v>176</v>
      </c>
    </row>
    <row r="22" spans="1:102" s="15" customFormat="1" x14ac:dyDescent="0.3">
      <c r="A22" s="11" t="s">
        <v>126</v>
      </c>
      <c r="B22" s="10" t="s">
        <v>177</v>
      </c>
      <c r="C22" s="12" t="s">
        <v>3785</v>
      </c>
      <c r="D22" s="10">
        <v>12</v>
      </c>
      <c r="E22" s="13">
        <v>1000000</v>
      </c>
      <c r="F22" s="14" t="s">
        <v>178</v>
      </c>
      <c r="G22" s="14" t="s">
        <v>179</v>
      </c>
      <c r="H22" s="15" t="s">
        <v>180</v>
      </c>
      <c r="I22" s="8"/>
      <c r="J22" s="10"/>
      <c r="AV22" s="15" t="s">
        <v>181</v>
      </c>
      <c r="AW22" s="15" t="s">
        <v>182</v>
      </c>
      <c r="AX22" s="15" t="s">
        <v>183</v>
      </c>
      <c r="BH22" s="15" t="s">
        <v>184</v>
      </c>
      <c r="BI22" s="15" t="s">
        <v>185</v>
      </c>
      <c r="BJ22" s="15" t="s">
        <v>186</v>
      </c>
      <c r="BK22" s="15" t="s">
        <v>187</v>
      </c>
      <c r="BL22" s="15" t="s">
        <v>188</v>
      </c>
      <c r="BM22" s="15" t="s">
        <v>189</v>
      </c>
      <c r="BN22" s="15" t="s">
        <v>190</v>
      </c>
      <c r="BO22" s="15" t="s">
        <v>191</v>
      </c>
      <c r="BR22" s="15" t="s">
        <v>192</v>
      </c>
      <c r="BS22" s="15" t="s">
        <v>193</v>
      </c>
      <c r="BT22" s="15" t="s">
        <v>194</v>
      </c>
      <c r="BU22" s="15" t="s">
        <v>195</v>
      </c>
      <c r="BV22" s="15" t="s">
        <v>196</v>
      </c>
      <c r="CB22" s="15" t="s">
        <v>129</v>
      </c>
      <c r="CC22" s="15" t="s">
        <v>197</v>
      </c>
      <c r="CN22" s="15" t="s">
        <v>198</v>
      </c>
      <c r="CW22" s="10">
        <v>2</v>
      </c>
      <c r="CX22" s="15" t="s">
        <v>199</v>
      </c>
    </row>
    <row r="23" spans="1:102" s="15" customFormat="1" x14ac:dyDescent="0.3">
      <c r="A23" s="11" t="s">
        <v>126</v>
      </c>
      <c r="B23" s="10" t="s">
        <v>200</v>
      </c>
      <c r="C23" s="12" t="s">
        <v>3786</v>
      </c>
      <c r="D23" s="10">
        <v>12</v>
      </c>
      <c r="E23" s="13">
        <v>1000000</v>
      </c>
      <c r="F23" s="14" t="s">
        <v>201</v>
      </c>
      <c r="G23" s="14" t="s">
        <v>202</v>
      </c>
      <c r="H23" s="15" t="s">
        <v>180</v>
      </c>
      <c r="I23" s="8"/>
      <c r="J23" s="10"/>
      <c r="AV23" s="15" t="s">
        <v>203</v>
      </c>
      <c r="AW23" s="15" t="s">
        <v>204</v>
      </c>
      <c r="AX23" s="15" t="s">
        <v>184</v>
      </c>
      <c r="BI23" s="15" t="s">
        <v>185</v>
      </c>
      <c r="BJ23" s="15" t="s">
        <v>186</v>
      </c>
      <c r="BK23" s="15" t="s">
        <v>187</v>
      </c>
      <c r="BL23" s="15" t="s">
        <v>188</v>
      </c>
      <c r="BM23" s="15" t="s">
        <v>189</v>
      </c>
      <c r="BN23" s="15" t="s">
        <v>190</v>
      </c>
      <c r="BO23" s="15" t="s">
        <v>191</v>
      </c>
      <c r="BR23" s="15" t="s">
        <v>192</v>
      </c>
      <c r="BS23" s="15" t="s">
        <v>193</v>
      </c>
      <c r="BT23" s="15" t="s">
        <v>194</v>
      </c>
      <c r="BU23" s="15" t="s">
        <v>195</v>
      </c>
      <c r="BV23" s="15" t="s">
        <v>196</v>
      </c>
      <c r="BW23" s="15" t="s">
        <v>205</v>
      </c>
      <c r="CB23" s="15" t="s">
        <v>129</v>
      </c>
      <c r="CC23" s="15">
        <v>1</v>
      </c>
      <c r="CN23" s="15" t="s">
        <v>206</v>
      </c>
      <c r="CW23" s="10">
        <v>2</v>
      </c>
      <c r="CX23" s="15" t="s">
        <v>207</v>
      </c>
    </row>
    <row r="24" spans="1:102" s="15" customFormat="1" x14ac:dyDescent="0.3">
      <c r="A24" s="11" t="s">
        <v>126</v>
      </c>
      <c r="B24" s="10" t="s">
        <v>208</v>
      </c>
      <c r="C24" s="12" t="s">
        <v>3787</v>
      </c>
      <c r="D24" s="10">
        <v>12</v>
      </c>
      <c r="E24" s="13">
        <v>1000000</v>
      </c>
      <c r="F24" s="14" t="s">
        <v>209</v>
      </c>
      <c r="G24" s="14" t="s">
        <v>210</v>
      </c>
      <c r="H24" s="15" t="s">
        <v>211</v>
      </c>
      <c r="I24" s="8"/>
      <c r="J24" s="10"/>
      <c r="AV24" s="15" t="s">
        <v>212</v>
      </c>
      <c r="AW24" s="15" t="s">
        <v>213</v>
      </c>
      <c r="AX24" s="15" t="s">
        <v>214</v>
      </c>
      <c r="BH24" s="15" t="s">
        <v>184</v>
      </c>
      <c r="BI24" s="15" t="s">
        <v>185</v>
      </c>
      <c r="BJ24" s="15" t="s">
        <v>186</v>
      </c>
      <c r="BK24" s="15" t="s">
        <v>187</v>
      </c>
      <c r="BL24" s="15" t="s">
        <v>188</v>
      </c>
      <c r="BM24" s="15" t="s">
        <v>189</v>
      </c>
      <c r="BN24" s="15" t="s">
        <v>190</v>
      </c>
      <c r="BO24" s="15" t="s">
        <v>191</v>
      </c>
      <c r="BR24" s="15" t="s">
        <v>192</v>
      </c>
      <c r="BS24" s="15" t="s">
        <v>193</v>
      </c>
      <c r="BT24" s="15" t="s">
        <v>194</v>
      </c>
      <c r="BU24" s="15" t="s">
        <v>195</v>
      </c>
      <c r="BV24" s="15" t="s">
        <v>196</v>
      </c>
      <c r="BW24" s="15" t="s">
        <v>194</v>
      </c>
      <c r="CB24" s="15" t="s">
        <v>129</v>
      </c>
      <c r="CC24" s="15">
        <v>1</v>
      </c>
      <c r="CN24" s="15" t="s">
        <v>215</v>
      </c>
      <c r="CW24" s="10">
        <v>2</v>
      </c>
      <c r="CX24" s="15" t="s">
        <v>216</v>
      </c>
    </row>
    <row r="25" spans="1:102" s="15" customFormat="1" x14ac:dyDescent="0.3">
      <c r="A25" s="11" t="s">
        <v>126</v>
      </c>
      <c r="B25" s="10" t="s">
        <v>217</v>
      </c>
      <c r="C25" s="12" t="s">
        <v>218</v>
      </c>
      <c r="D25" s="10">
        <v>12</v>
      </c>
      <c r="E25" s="13">
        <v>1000000</v>
      </c>
      <c r="F25" s="14" t="s">
        <v>210</v>
      </c>
      <c r="G25" s="14" t="s">
        <v>210</v>
      </c>
      <c r="H25" s="15" t="s">
        <v>211</v>
      </c>
      <c r="I25" s="8"/>
      <c r="J25" s="10"/>
      <c r="AW25" s="15" t="s">
        <v>128</v>
      </c>
      <c r="AX25" s="15" t="s">
        <v>214</v>
      </c>
      <c r="BH25" s="15" t="s">
        <v>184</v>
      </c>
      <c r="BI25" s="15" t="s">
        <v>185</v>
      </c>
      <c r="BJ25" s="15" t="s">
        <v>186</v>
      </c>
      <c r="BK25" s="15" t="s">
        <v>187</v>
      </c>
      <c r="BL25" s="15" t="s">
        <v>188</v>
      </c>
      <c r="BM25" s="15" t="s">
        <v>189</v>
      </c>
      <c r="BN25" s="15" t="s">
        <v>190</v>
      </c>
      <c r="BO25" s="15" t="s">
        <v>191</v>
      </c>
      <c r="BR25" s="15" t="s">
        <v>192</v>
      </c>
      <c r="BS25" s="15" t="s">
        <v>193</v>
      </c>
      <c r="BT25" s="15" t="s">
        <v>194</v>
      </c>
      <c r="BU25" s="15" t="s">
        <v>195</v>
      </c>
      <c r="BV25" s="15" t="s">
        <v>196</v>
      </c>
      <c r="BW25" s="15" t="s">
        <v>194</v>
      </c>
      <c r="CB25" s="15" t="s">
        <v>128</v>
      </c>
      <c r="CC25" s="15">
        <v>1</v>
      </c>
      <c r="CN25" s="15" t="s">
        <v>215</v>
      </c>
      <c r="CW25" s="10">
        <v>2</v>
      </c>
      <c r="CX25" s="15" t="s">
        <v>219</v>
      </c>
    </row>
    <row r="26" spans="1:102" s="15" customFormat="1" x14ac:dyDescent="0.3">
      <c r="A26" s="11" t="s">
        <v>126</v>
      </c>
      <c r="B26" s="10" t="s">
        <v>220</v>
      </c>
      <c r="C26" s="12" t="s">
        <v>221</v>
      </c>
      <c r="D26" s="10">
        <v>12</v>
      </c>
      <c r="E26" s="13">
        <v>1000000</v>
      </c>
      <c r="F26" s="14" t="s">
        <v>210</v>
      </c>
      <c r="G26" s="14" t="s">
        <v>210</v>
      </c>
      <c r="H26" s="15" t="s">
        <v>211</v>
      </c>
      <c r="I26" s="8"/>
      <c r="J26" s="10"/>
      <c r="AW26" s="15" t="s">
        <v>128</v>
      </c>
      <c r="AX26" s="15" t="s">
        <v>214</v>
      </c>
      <c r="BH26" s="15" t="s">
        <v>184</v>
      </c>
      <c r="BI26" s="15" t="s">
        <v>185</v>
      </c>
      <c r="BJ26" s="15" t="s">
        <v>186</v>
      </c>
      <c r="BK26" s="15" t="s">
        <v>187</v>
      </c>
      <c r="BL26" s="15" t="s">
        <v>188</v>
      </c>
      <c r="BM26" s="15" t="s">
        <v>189</v>
      </c>
      <c r="BN26" s="15" t="s">
        <v>190</v>
      </c>
      <c r="BO26" s="15" t="s">
        <v>191</v>
      </c>
      <c r="BR26" s="15" t="s">
        <v>192</v>
      </c>
      <c r="BS26" s="15" t="s">
        <v>193</v>
      </c>
      <c r="BT26" s="15" t="s">
        <v>194</v>
      </c>
      <c r="BU26" s="15" t="s">
        <v>195</v>
      </c>
      <c r="BV26" s="15" t="s">
        <v>196</v>
      </c>
      <c r="BW26" s="15" t="s">
        <v>194</v>
      </c>
      <c r="CB26" s="15" t="s">
        <v>128</v>
      </c>
      <c r="CC26" s="15">
        <v>1</v>
      </c>
      <c r="CN26" s="15" t="s">
        <v>215</v>
      </c>
      <c r="CW26" s="10">
        <v>2</v>
      </c>
      <c r="CX26" s="15" t="s">
        <v>222</v>
      </c>
    </row>
    <row r="27" spans="1:102" s="15" customFormat="1" x14ac:dyDescent="0.3">
      <c r="A27" s="11" t="s">
        <v>126</v>
      </c>
      <c r="B27" s="10" t="s">
        <v>223</v>
      </c>
      <c r="C27" s="12" t="s">
        <v>228</v>
      </c>
      <c r="D27" s="10">
        <v>12</v>
      </c>
      <c r="E27" s="13">
        <v>1000000</v>
      </c>
      <c r="F27" s="14" t="s">
        <v>209</v>
      </c>
      <c r="G27" s="14" t="s">
        <v>210</v>
      </c>
      <c r="H27" s="15" t="s">
        <v>211</v>
      </c>
      <c r="I27" s="8"/>
      <c r="J27" s="10"/>
      <c r="AV27" s="15" t="s">
        <v>212</v>
      </c>
      <c r="AW27" s="15" t="s">
        <v>213</v>
      </c>
      <c r="AX27" s="15" t="s">
        <v>224</v>
      </c>
      <c r="BH27" s="15" t="s">
        <v>184</v>
      </c>
      <c r="BI27" s="15" t="s">
        <v>185</v>
      </c>
      <c r="BJ27" s="15" t="s">
        <v>186</v>
      </c>
      <c r="BK27" s="15" t="s">
        <v>187</v>
      </c>
      <c r="BL27" s="15" t="s">
        <v>188</v>
      </c>
      <c r="BM27" s="15" t="s">
        <v>189</v>
      </c>
      <c r="BN27" s="15" t="s">
        <v>190</v>
      </c>
      <c r="BO27" s="15" t="s">
        <v>191</v>
      </c>
      <c r="BR27" s="15" t="s">
        <v>192</v>
      </c>
      <c r="BS27" s="15" t="s">
        <v>193</v>
      </c>
      <c r="BT27" s="15" t="s">
        <v>194</v>
      </c>
      <c r="BU27" s="15" t="s">
        <v>195</v>
      </c>
      <c r="BV27" s="15" t="s">
        <v>196</v>
      </c>
      <c r="BW27" s="15" t="s">
        <v>195</v>
      </c>
      <c r="CB27" s="15" t="s">
        <v>129</v>
      </c>
      <c r="CC27" s="15">
        <v>1</v>
      </c>
      <c r="CN27" s="15" t="s">
        <v>225</v>
      </c>
      <c r="CW27" s="10">
        <v>2</v>
      </c>
      <c r="CX27" s="15" t="s">
        <v>226</v>
      </c>
    </row>
    <row r="28" spans="1:102" s="15" customFormat="1" x14ac:dyDescent="0.3">
      <c r="A28" s="11" t="s">
        <v>126</v>
      </c>
      <c r="B28" s="10" t="s">
        <v>227</v>
      </c>
      <c r="C28" s="12" t="s">
        <v>228</v>
      </c>
      <c r="D28" s="10">
        <v>12</v>
      </c>
      <c r="E28" s="13">
        <v>1000000</v>
      </c>
      <c r="F28" s="14" t="s">
        <v>210</v>
      </c>
      <c r="G28" s="14" t="s">
        <v>210</v>
      </c>
      <c r="H28" s="15" t="s">
        <v>211</v>
      </c>
      <c r="I28" s="8"/>
      <c r="J28" s="10"/>
      <c r="AW28" s="15" t="s">
        <v>128</v>
      </c>
      <c r="AX28" s="15" t="s">
        <v>224</v>
      </c>
      <c r="BH28" s="15" t="s">
        <v>184</v>
      </c>
      <c r="BI28" s="15" t="s">
        <v>185</v>
      </c>
      <c r="BJ28" s="15" t="s">
        <v>186</v>
      </c>
      <c r="BK28" s="15" t="s">
        <v>187</v>
      </c>
      <c r="BL28" s="15" t="s">
        <v>188</v>
      </c>
      <c r="BM28" s="15" t="s">
        <v>189</v>
      </c>
      <c r="BN28" s="15" t="s">
        <v>190</v>
      </c>
      <c r="BO28" s="15" t="s">
        <v>191</v>
      </c>
      <c r="BR28" s="15" t="s">
        <v>192</v>
      </c>
      <c r="BS28" s="15" t="s">
        <v>193</v>
      </c>
      <c r="BT28" s="15" t="s">
        <v>194</v>
      </c>
      <c r="BU28" s="15" t="s">
        <v>195</v>
      </c>
      <c r="BV28" s="15" t="s">
        <v>196</v>
      </c>
      <c r="BW28" s="15" t="s">
        <v>195</v>
      </c>
      <c r="CB28" s="15" t="s">
        <v>128</v>
      </c>
      <c r="CC28" s="15">
        <v>1</v>
      </c>
      <c r="CN28" s="15" t="s">
        <v>225</v>
      </c>
      <c r="CW28" s="10">
        <v>2</v>
      </c>
      <c r="CX28" s="15" t="s">
        <v>229</v>
      </c>
    </row>
    <row r="29" spans="1:102" s="15" customFormat="1" x14ac:dyDescent="0.3">
      <c r="A29" s="11" t="s">
        <v>126</v>
      </c>
      <c r="B29" s="10" t="s">
        <v>230</v>
      </c>
      <c r="C29" s="12" t="s">
        <v>231</v>
      </c>
      <c r="D29" s="10">
        <v>12</v>
      </c>
      <c r="E29" s="13">
        <v>1000000</v>
      </c>
      <c r="F29" s="14" t="s">
        <v>210</v>
      </c>
      <c r="G29" s="14" t="s">
        <v>210</v>
      </c>
      <c r="H29" s="15" t="s">
        <v>211</v>
      </c>
      <c r="I29" s="8"/>
      <c r="J29" s="10"/>
      <c r="AW29" s="15" t="s">
        <v>128</v>
      </c>
      <c r="AX29" s="15" t="s">
        <v>224</v>
      </c>
      <c r="BH29" s="15" t="s">
        <v>184</v>
      </c>
      <c r="BI29" s="15" t="s">
        <v>185</v>
      </c>
      <c r="BJ29" s="15" t="s">
        <v>186</v>
      </c>
      <c r="BK29" s="15" t="s">
        <v>187</v>
      </c>
      <c r="BL29" s="15" t="s">
        <v>188</v>
      </c>
      <c r="BM29" s="15" t="s">
        <v>189</v>
      </c>
      <c r="BN29" s="15" t="s">
        <v>190</v>
      </c>
      <c r="BO29" s="15" t="s">
        <v>191</v>
      </c>
      <c r="BR29" s="15" t="s">
        <v>192</v>
      </c>
      <c r="BS29" s="15" t="s">
        <v>193</v>
      </c>
      <c r="BT29" s="15" t="s">
        <v>194</v>
      </c>
      <c r="BU29" s="15" t="s">
        <v>195</v>
      </c>
      <c r="BV29" s="15" t="s">
        <v>196</v>
      </c>
      <c r="BW29" s="15" t="s">
        <v>195</v>
      </c>
      <c r="CB29" s="15" t="s">
        <v>128</v>
      </c>
      <c r="CC29" s="15">
        <v>1</v>
      </c>
      <c r="CN29" s="15" t="s">
        <v>225</v>
      </c>
      <c r="CW29" s="10">
        <v>2</v>
      </c>
      <c r="CX29" s="15" t="s">
        <v>232</v>
      </c>
    </row>
    <row r="30" spans="1:102" s="15" customFormat="1" x14ac:dyDescent="0.3">
      <c r="A30" s="11" t="s">
        <v>126</v>
      </c>
      <c r="B30" s="10" t="s">
        <v>233</v>
      </c>
      <c r="C30" s="12" t="s">
        <v>237</v>
      </c>
      <c r="D30" s="10">
        <v>12</v>
      </c>
      <c r="E30" s="13">
        <v>1000000</v>
      </c>
      <c r="F30" s="14" t="s">
        <v>209</v>
      </c>
      <c r="G30" s="14" t="s">
        <v>210</v>
      </c>
      <c r="H30" s="15" t="s">
        <v>211</v>
      </c>
      <c r="I30" s="8"/>
      <c r="J30" s="10"/>
      <c r="AV30" s="15" t="s">
        <v>212</v>
      </c>
      <c r="AW30" s="15" t="s">
        <v>213</v>
      </c>
      <c r="AX30" s="15" t="s">
        <v>186</v>
      </c>
      <c r="BH30" s="15" t="s">
        <v>184</v>
      </c>
      <c r="BI30" s="15" t="s">
        <v>185</v>
      </c>
      <c r="BJ30" s="15" t="s">
        <v>186</v>
      </c>
      <c r="BK30" s="15" t="s">
        <v>187</v>
      </c>
      <c r="BL30" s="15" t="s">
        <v>188</v>
      </c>
      <c r="BM30" s="15" t="s">
        <v>189</v>
      </c>
      <c r="BN30" s="15" t="s">
        <v>190</v>
      </c>
      <c r="BO30" s="15" t="s">
        <v>191</v>
      </c>
      <c r="BR30" s="15" t="s">
        <v>192</v>
      </c>
      <c r="BS30" s="15" t="s">
        <v>193</v>
      </c>
      <c r="BT30" s="15" t="s">
        <v>194</v>
      </c>
      <c r="BU30" s="15" t="s">
        <v>195</v>
      </c>
      <c r="BV30" s="15" t="s">
        <v>196</v>
      </c>
      <c r="BW30" s="15" t="s">
        <v>194</v>
      </c>
      <c r="CB30" s="15" t="s">
        <v>129</v>
      </c>
      <c r="CC30" s="15">
        <v>1</v>
      </c>
      <c r="CN30" s="15" t="s">
        <v>234</v>
      </c>
      <c r="CW30" s="10">
        <v>2</v>
      </c>
      <c r="CX30" s="15" t="s">
        <v>235</v>
      </c>
    </row>
    <row r="31" spans="1:102" s="15" customFormat="1" x14ac:dyDescent="0.3">
      <c r="A31" s="11" t="s">
        <v>126</v>
      </c>
      <c r="B31" s="10" t="s">
        <v>236</v>
      </c>
      <c r="C31" s="12" t="s">
        <v>237</v>
      </c>
      <c r="D31" s="10">
        <v>12</v>
      </c>
      <c r="E31" s="13">
        <v>1000000</v>
      </c>
      <c r="F31" s="14" t="s">
        <v>210</v>
      </c>
      <c r="G31" s="14" t="s">
        <v>210</v>
      </c>
      <c r="H31" s="15" t="s">
        <v>211</v>
      </c>
      <c r="I31" s="8"/>
      <c r="J31" s="10"/>
      <c r="AW31" s="15" t="s">
        <v>128</v>
      </c>
      <c r="AX31" s="15" t="s">
        <v>186</v>
      </c>
      <c r="BH31" s="15" t="s">
        <v>184</v>
      </c>
      <c r="BI31" s="15" t="s">
        <v>185</v>
      </c>
      <c r="BJ31" s="15" t="s">
        <v>186</v>
      </c>
      <c r="BK31" s="15" t="s">
        <v>187</v>
      </c>
      <c r="BL31" s="15" t="s">
        <v>188</v>
      </c>
      <c r="BM31" s="15" t="s">
        <v>189</v>
      </c>
      <c r="BN31" s="15" t="s">
        <v>190</v>
      </c>
      <c r="BO31" s="15" t="s">
        <v>191</v>
      </c>
      <c r="BR31" s="15" t="s">
        <v>192</v>
      </c>
      <c r="BS31" s="15" t="s">
        <v>193</v>
      </c>
      <c r="BT31" s="15" t="s">
        <v>194</v>
      </c>
      <c r="BU31" s="15" t="s">
        <v>195</v>
      </c>
      <c r="BV31" s="15" t="s">
        <v>196</v>
      </c>
      <c r="BW31" s="15" t="s">
        <v>194</v>
      </c>
      <c r="CB31" s="15" t="s">
        <v>128</v>
      </c>
      <c r="CC31" s="15">
        <v>1</v>
      </c>
      <c r="CN31" s="15" t="s">
        <v>215</v>
      </c>
      <c r="CW31" s="10">
        <v>2</v>
      </c>
      <c r="CX31" s="15" t="s">
        <v>238</v>
      </c>
    </row>
    <row r="32" spans="1:102" s="15" customFormat="1" x14ac:dyDescent="0.3">
      <c r="A32" s="11" t="s">
        <v>126</v>
      </c>
      <c r="B32" s="10" t="s">
        <v>239</v>
      </c>
      <c r="C32" s="12" t="s">
        <v>240</v>
      </c>
      <c r="D32" s="10">
        <v>12</v>
      </c>
      <c r="E32" s="13">
        <v>1000000</v>
      </c>
      <c r="F32" s="14" t="s">
        <v>210</v>
      </c>
      <c r="G32" s="14" t="s">
        <v>210</v>
      </c>
      <c r="H32" s="15" t="s">
        <v>211</v>
      </c>
      <c r="I32" s="8"/>
      <c r="J32" s="10"/>
      <c r="AW32" s="15" t="s">
        <v>128</v>
      </c>
      <c r="AX32" s="15" t="s">
        <v>186</v>
      </c>
      <c r="BH32" s="15" t="s">
        <v>184</v>
      </c>
      <c r="BI32" s="15" t="s">
        <v>185</v>
      </c>
      <c r="BJ32" s="15" t="s">
        <v>186</v>
      </c>
      <c r="BK32" s="15" t="s">
        <v>187</v>
      </c>
      <c r="BL32" s="15" t="s">
        <v>188</v>
      </c>
      <c r="BM32" s="15" t="s">
        <v>189</v>
      </c>
      <c r="BN32" s="15" t="s">
        <v>190</v>
      </c>
      <c r="BO32" s="15" t="s">
        <v>191</v>
      </c>
      <c r="BR32" s="15" t="s">
        <v>192</v>
      </c>
      <c r="BS32" s="15" t="s">
        <v>193</v>
      </c>
      <c r="BT32" s="15" t="s">
        <v>194</v>
      </c>
      <c r="BU32" s="15" t="s">
        <v>195</v>
      </c>
      <c r="BV32" s="15" t="s">
        <v>196</v>
      </c>
      <c r="BW32" s="15" t="s">
        <v>194</v>
      </c>
      <c r="CB32" s="15" t="s">
        <v>128</v>
      </c>
      <c r="CC32" s="15">
        <v>1</v>
      </c>
      <c r="CN32" s="15" t="s">
        <v>215</v>
      </c>
      <c r="CW32" s="10">
        <v>2</v>
      </c>
      <c r="CX32" s="15" t="s">
        <v>241</v>
      </c>
    </row>
    <row r="33" spans="1:102" s="15" customFormat="1" x14ac:dyDescent="0.3">
      <c r="A33" s="11" t="s">
        <v>126</v>
      </c>
      <c r="B33" s="10" t="s">
        <v>242</v>
      </c>
      <c r="C33" s="12" t="s">
        <v>3655</v>
      </c>
      <c r="D33" s="10">
        <v>12</v>
      </c>
      <c r="E33" s="13">
        <v>100000</v>
      </c>
      <c r="F33" s="14" t="s">
        <v>243</v>
      </c>
      <c r="G33" s="14" t="s">
        <v>244</v>
      </c>
      <c r="H33" s="15" t="s">
        <v>245</v>
      </c>
      <c r="I33" s="8"/>
      <c r="J33" s="10"/>
      <c r="AV33" s="15" t="s">
        <v>181</v>
      </c>
      <c r="AW33" s="15" t="s">
        <v>182</v>
      </c>
      <c r="AX33" s="15" t="s">
        <v>246</v>
      </c>
      <c r="AY33" s="15" t="s">
        <v>247</v>
      </c>
      <c r="AZ33" s="15" t="s">
        <v>248</v>
      </c>
      <c r="BA33" s="15" t="s">
        <v>249</v>
      </c>
      <c r="BB33" s="15" t="s">
        <v>250</v>
      </c>
      <c r="BH33" s="15" t="s">
        <v>184</v>
      </c>
      <c r="BI33" s="15" t="s">
        <v>185</v>
      </c>
      <c r="BJ33" s="15" t="s">
        <v>186</v>
      </c>
      <c r="BK33" s="15" t="s">
        <v>187</v>
      </c>
      <c r="BL33" s="15" t="s">
        <v>188</v>
      </c>
      <c r="BM33" s="15" t="s">
        <v>189</v>
      </c>
      <c r="BN33" s="15" t="s">
        <v>190</v>
      </c>
      <c r="BO33" s="15" t="s">
        <v>191</v>
      </c>
      <c r="BR33" s="15" t="s">
        <v>192</v>
      </c>
      <c r="BS33" s="15" t="s">
        <v>193</v>
      </c>
      <c r="BT33" s="15" t="s">
        <v>194</v>
      </c>
      <c r="BU33" s="15" t="s">
        <v>195</v>
      </c>
      <c r="BV33" s="15" t="s">
        <v>196</v>
      </c>
      <c r="BW33" s="15" t="s">
        <v>251</v>
      </c>
      <c r="CB33" s="15" t="s">
        <v>129</v>
      </c>
      <c r="CC33" s="15">
        <v>1</v>
      </c>
      <c r="CN33" s="15" t="s">
        <v>198</v>
      </c>
      <c r="CW33" s="10">
        <v>2</v>
      </c>
      <c r="CX33" s="15" t="s">
        <v>252</v>
      </c>
    </row>
    <row r="34" spans="1:102" s="15" customFormat="1" x14ac:dyDescent="0.3">
      <c r="A34" s="11" t="s">
        <v>126</v>
      </c>
      <c r="B34" s="10" t="s">
        <v>253</v>
      </c>
      <c r="C34" s="12" t="s">
        <v>3657</v>
      </c>
      <c r="D34" s="10">
        <v>12</v>
      </c>
      <c r="E34" s="13">
        <v>100000</v>
      </c>
      <c r="F34" s="14" t="s">
        <v>243</v>
      </c>
      <c r="G34" s="14" t="s">
        <v>244</v>
      </c>
      <c r="H34" s="15" t="s">
        <v>254</v>
      </c>
      <c r="I34" s="8"/>
      <c r="J34" s="10"/>
      <c r="AV34" s="15" t="s">
        <v>181</v>
      </c>
      <c r="AW34" s="15" t="s">
        <v>182</v>
      </c>
      <c r="AX34" s="15" t="s">
        <v>255</v>
      </c>
      <c r="BH34" s="15" t="s">
        <v>184</v>
      </c>
      <c r="BI34" s="15" t="s">
        <v>185</v>
      </c>
      <c r="BJ34" s="15" t="s">
        <v>186</v>
      </c>
      <c r="BK34" s="15" t="s">
        <v>187</v>
      </c>
      <c r="BL34" s="15" t="s">
        <v>188</v>
      </c>
      <c r="BM34" s="15" t="s">
        <v>189</v>
      </c>
      <c r="BN34" s="15" t="s">
        <v>190</v>
      </c>
      <c r="BO34" s="15" t="s">
        <v>191</v>
      </c>
      <c r="BR34" s="15" t="s">
        <v>192</v>
      </c>
      <c r="BS34" s="15" t="s">
        <v>193</v>
      </c>
      <c r="BT34" s="15" t="s">
        <v>194</v>
      </c>
      <c r="BU34" s="15" t="s">
        <v>195</v>
      </c>
      <c r="BV34" s="15" t="s">
        <v>196</v>
      </c>
      <c r="BW34" s="15" t="s">
        <v>251</v>
      </c>
      <c r="CB34" s="15" t="s">
        <v>129</v>
      </c>
      <c r="CC34" s="15">
        <v>1</v>
      </c>
      <c r="CN34" s="15" t="s">
        <v>198</v>
      </c>
      <c r="CW34" s="10">
        <v>2</v>
      </c>
      <c r="CX34" s="15" t="s">
        <v>256</v>
      </c>
    </row>
    <row r="35" spans="1:102" s="15" customFormat="1" x14ac:dyDescent="0.3">
      <c r="A35" s="11" t="s">
        <v>126</v>
      </c>
      <c r="B35" s="10" t="s">
        <v>257</v>
      </c>
      <c r="C35" s="12" t="s">
        <v>3659</v>
      </c>
      <c r="D35" s="10">
        <v>12</v>
      </c>
      <c r="E35" s="13">
        <v>100000</v>
      </c>
      <c r="F35" s="14" t="s">
        <v>243</v>
      </c>
      <c r="G35" s="14" t="s">
        <v>244</v>
      </c>
      <c r="H35" s="15" t="s">
        <v>254</v>
      </c>
      <c r="I35" s="8"/>
      <c r="J35" s="10"/>
      <c r="AV35" s="15" t="s">
        <v>181</v>
      </c>
      <c r="AW35" s="15" t="s">
        <v>182</v>
      </c>
      <c r="AX35" s="15" t="s">
        <v>258</v>
      </c>
      <c r="BH35" s="15" t="s">
        <v>184</v>
      </c>
      <c r="BI35" s="15" t="s">
        <v>185</v>
      </c>
      <c r="BJ35" s="15" t="s">
        <v>186</v>
      </c>
      <c r="BK35" s="15" t="s">
        <v>187</v>
      </c>
      <c r="BL35" s="15" t="s">
        <v>188</v>
      </c>
      <c r="BM35" s="15" t="s">
        <v>189</v>
      </c>
      <c r="BN35" s="15" t="s">
        <v>190</v>
      </c>
      <c r="BO35" s="15" t="s">
        <v>191</v>
      </c>
      <c r="BR35" s="15" t="s">
        <v>192</v>
      </c>
      <c r="BS35" s="15" t="s">
        <v>193</v>
      </c>
      <c r="BT35" s="15" t="s">
        <v>194</v>
      </c>
      <c r="BU35" s="15" t="s">
        <v>195</v>
      </c>
      <c r="BV35" s="15" t="s">
        <v>196</v>
      </c>
      <c r="BW35" s="15" t="s">
        <v>251</v>
      </c>
      <c r="CB35" s="15" t="s">
        <v>129</v>
      </c>
      <c r="CC35" s="15">
        <v>1</v>
      </c>
      <c r="CN35" s="15" t="s">
        <v>198</v>
      </c>
      <c r="CW35" s="10">
        <v>2</v>
      </c>
      <c r="CX35" s="15" t="s">
        <v>259</v>
      </c>
    </row>
    <row r="36" spans="1:102" s="15" customFormat="1" x14ac:dyDescent="0.3">
      <c r="A36" s="11" t="s">
        <v>126</v>
      </c>
      <c r="B36" s="10" t="s">
        <v>260</v>
      </c>
      <c r="C36" s="12" t="s">
        <v>3661</v>
      </c>
      <c r="D36" s="10">
        <v>12</v>
      </c>
      <c r="E36" s="13">
        <v>1000000</v>
      </c>
      <c r="F36" s="14" t="s">
        <v>243</v>
      </c>
      <c r="G36" s="14" t="s">
        <v>244</v>
      </c>
      <c r="H36" s="15" t="s">
        <v>254</v>
      </c>
      <c r="I36" s="8"/>
      <c r="J36" s="10"/>
      <c r="AV36" s="15" t="s">
        <v>181</v>
      </c>
      <c r="AW36" s="15" t="s">
        <v>182</v>
      </c>
      <c r="AX36" s="15" t="s">
        <v>261</v>
      </c>
      <c r="BH36" s="15" t="s">
        <v>184</v>
      </c>
      <c r="BI36" s="15" t="s">
        <v>185</v>
      </c>
      <c r="BJ36" s="15" t="s">
        <v>186</v>
      </c>
      <c r="BK36" s="15" t="s">
        <v>187</v>
      </c>
      <c r="BL36" s="15" t="s">
        <v>188</v>
      </c>
      <c r="BM36" s="15" t="s">
        <v>189</v>
      </c>
      <c r="BN36" s="15" t="s">
        <v>190</v>
      </c>
      <c r="BO36" s="15" t="s">
        <v>191</v>
      </c>
      <c r="BR36" s="15" t="s">
        <v>192</v>
      </c>
      <c r="BS36" s="15" t="s">
        <v>193</v>
      </c>
      <c r="BT36" s="15" t="s">
        <v>194</v>
      </c>
      <c r="BU36" s="15" t="s">
        <v>195</v>
      </c>
      <c r="BV36" s="15" t="s">
        <v>196</v>
      </c>
      <c r="BW36" s="15" t="s">
        <v>251</v>
      </c>
      <c r="CB36" s="15" t="s">
        <v>129</v>
      </c>
      <c r="CC36" s="15">
        <v>1</v>
      </c>
      <c r="CN36" s="15" t="s">
        <v>198</v>
      </c>
      <c r="CW36" s="10">
        <v>2</v>
      </c>
      <c r="CX36" s="15" t="s">
        <v>262</v>
      </c>
    </row>
    <row r="37" spans="1:102" s="15" customFormat="1" x14ac:dyDescent="0.3">
      <c r="A37" s="11" t="s">
        <v>126</v>
      </c>
      <c r="B37" s="10" t="s">
        <v>263</v>
      </c>
      <c r="C37" s="12" t="s">
        <v>3663</v>
      </c>
      <c r="D37" s="10">
        <v>12</v>
      </c>
      <c r="E37" s="13">
        <v>1000000</v>
      </c>
      <c r="F37" s="14" t="s">
        <v>243</v>
      </c>
      <c r="G37" s="14" t="s">
        <v>244</v>
      </c>
      <c r="H37" s="15" t="s">
        <v>254</v>
      </c>
      <c r="I37" s="8"/>
      <c r="J37" s="10"/>
      <c r="AV37" s="15" t="s">
        <v>181</v>
      </c>
      <c r="AW37" s="15" t="s">
        <v>182</v>
      </c>
      <c r="AX37" s="15" t="s">
        <v>264</v>
      </c>
      <c r="BH37" s="15" t="s">
        <v>184</v>
      </c>
      <c r="BI37" s="15" t="s">
        <v>185</v>
      </c>
      <c r="BJ37" s="15" t="s">
        <v>186</v>
      </c>
      <c r="BK37" s="15" t="s">
        <v>187</v>
      </c>
      <c r="BL37" s="15" t="s">
        <v>188</v>
      </c>
      <c r="BM37" s="15" t="s">
        <v>189</v>
      </c>
      <c r="BN37" s="15" t="s">
        <v>190</v>
      </c>
      <c r="BO37" s="15" t="s">
        <v>191</v>
      </c>
      <c r="BR37" s="15" t="s">
        <v>192</v>
      </c>
      <c r="BS37" s="15" t="s">
        <v>193</v>
      </c>
      <c r="BT37" s="15" t="s">
        <v>194</v>
      </c>
      <c r="BU37" s="15" t="s">
        <v>195</v>
      </c>
      <c r="BV37" s="15" t="s">
        <v>196</v>
      </c>
      <c r="BW37" s="15" t="s">
        <v>251</v>
      </c>
      <c r="CB37" s="15" t="s">
        <v>129</v>
      </c>
      <c r="CC37" s="15">
        <v>1</v>
      </c>
      <c r="CN37" s="15" t="s">
        <v>198</v>
      </c>
      <c r="CW37" s="10">
        <v>2</v>
      </c>
      <c r="CX37" s="15" t="s">
        <v>265</v>
      </c>
    </row>
    <row r="38" spans="1:102" s="15" customFormat="1" x14ac:dyDescent="0.3">
      <c r="A38" s="11" t="s">
        <v>126</v>
      </c>
      <c r="B38" s="10" t="s">
        <v>266</v>
      </c>
      <c r="C38" s="12" t="s">
        <v>2922</v>
      </c>
      <c r="D38" s="10">
        <v>12</v>
      </c>
      <c r="E38" s="13">
        <v>1000000</v>
      </c>
      <c r="F38" s="14" t="s">
        <v>209</v>
      </c>
      <c r="G38" s="14" t="s">
        <v>210</v>
      </c>
      <c r="H38" s="15" t="s">
        <v>211</v>
      </c>
      <c r="I38" s="8"/>
      <c r="J38" s="10"/>
      <c r="AV38" s="15" t="s">
        <v>212</v>
      </c>
      <c r="AW38" s="15" t="s">
        <v>213</v>
      </c>
      <c r="AX38" s="15" t="s">
        <v>187</v>
      </c>
      <c r="BH38" s="15" t="s">
        <v>184</v>
      </c>
      <c r="BI38" s="15" t="s">
        <v>185</v>
      </c>
      <c r="BJ38" s="15" t="s">
        <v>186</v>
      </c>
      <c r="BK38" s="15" t="s">
        <v>187</v>
      </c>
      <c r="BL38" s="15" t="s">
        <v>188</v>
      </c>
      <c r="BM38" s="15" t="s">
        <v>189</v>
      </c>
      <c r="BN38" s="15" t="s">
        <v>190</v>
      </c>
      <c r="BO38" s="15" t="s">
        <v>191</v>
      </c>
      <c r="BR38" s="15" t="s">
        <v>192</v>
      </c>
      <c r="BS38" s="15" t="s">
        <v>193</v>
      </c>
      <c r="BT38" s="15" t="s">
        <v>194</v>
      </c>
      <c r="BU38" s="15" t="s">
        <v>195</v>
      </c>
      <c r="BV38" s="15" t="s">
        <v>196</v>
      </c>
      <c r="BW38" s="15" t="s">
        <v>195</v>
      </c>
      <c r="CB38" s="15" t="s">
        <v>129</v>
      </c>
      <c r="CC38" s="15">
        <v>1</v>
      </c>
      <c r="CN38" s="15" t="s">
        <v>225</v>
      </c>
      <c r="CW38" s="10">
        <v>2</v>
      </c>
      <c r="CX38" s="15" t="s">
        <v>267</v>
      </c>
    </row>
    <row r="39" spans="1:102" s="15" customFormat="1" x14ac:dyDescent="0.3">
      <c r="A39" s="11" t="s">
        <v>126</v>
      </c>
      <c r="B39" s="10" t="s">
        <v>268</v>
      </c>
      <c r="C39" s="12" t="s">
        <v>950</v>
      </c>
      <c r="D39" s="10">
        <v>12</v>
      </c>
      <c r="E39" s="13">
        <v>1000000</v>
      </c>
      <c r="F39" s="14" t="s">
        <v>269</v>
      </c>
      <c r="G39" s="14" t="s">
        <v>210</v>
      </c>
      <c r="H39" s="15" t="s">
        <v>270</v>
      </c>
      <c r="I39" s="8"/>
      <c r="J39" s="10"/>
      <c r="AV39" s="15" t="s">
        <v>212</v>
      </c>
      <c r="AW39" s="15" t="s">
        <v>213</v>
      </c>
      <c r="AX39" s="15" t="s">
        <v>271</v>
      </c>
      <c r="BH39" s="15" t="s">
        <v>184</v>
      </c>
      <c r="BI39" s="15" t="s">
        <v>185</v>
      </c>
      <c r="BJ39" s="15" t="s">
        <v>186</v>
      </c>
      <c r="BK39" s="15" t="s">
        <v>187</v>
      </c>
      <c r="BL39" s="15" t="s">
        <v>188</v>
      </c>
      <c r="BM39" s="15" t="s">
        <v>189</v>
      </c>
      <c r="BN39" s="15" t="s">
        <v>190</v>
      </c>
      <c r="BO39" s="15" t="s">
        <v>191</v>
      </c>
      <c r="BR39" s="15" t="s">
        <v>192</v>
      </c>
      <c r="BS39" s="15" t="s">
        <v>193</v>
      </c>
      <c r="BT39" s="15" t="s">
        <v>194</v>
      </c>
      <c r="BU39" s="15" t="s">
        <v>195</v>
      </c>
      <c r="BV39" s="15" t="s">
        <v>196</v>
      </c>
      <c r="BW39" s="15" t="s">
        <v>272</v>
      </c>
      <c r="CB39" s="15" t="s">
        <v>129</v>
      </c>
      <c r="CC39" s="15">
        <v>1</v>
      </c>
      <c r="CN39" s="15" t="s">
        <v>273</v>
      </c>
      <c r="CW39" s="10">
        <v>2</v>
      </c>
      <c r="CX39" s="15" t="s">
        <v>274</v>
      </c>
    </row>
    <row r="40" spans="1:102" s="15" customFormat="1" x14ac:dyDescent="0.3">
      <c r="A40" s="11" t="s">
        <v>126</v>
      </c>
      <c r="B40" s="10" t="s">
        <v>275</v>
      </c>
      <c r="C40" s="12" t="s">
        <v>953</v>
      </c>
      <c r="D40" s="10">
        <v>12</v>
      </c>
      <c r="E40" s="13">
        <v>1000000</v>
      </c>
      <c r="F40" s="14" t="s">
        <v>269</v>
      </c>
      <c r="G40" s="14" t="s">
        <v>210</v>
      </c>
      <c r="H40" s="15" t="s">
        <v>270</v>
      </c>
      <c r="I40" s="8"/>
      <c r="J40" s="10"/>
      <c r="AV40" s="15" t="s">
        <v>212</v>
      </c>
      <c r="AW40" s="15" t="s">
        <v>213</v>
      </c>
      <c r="AX40" s="15" t="s">
        <v>276</v>
      </c>
      <c r="BH40" s="15" t="s">
        <v>184</v>
      </c>
      <c r="BI40" s="15" t="s">
        <v>185</v>
      </c>
      <c r="BJ40" s="15" t="s">
        <v>186</v>
      </c>
      <c r="BK40" s="15" t="s">
        <v>187</v>
      </c>
      <c r="BL40" s="15" t="s">
        <v>188</v>
      </c>
      <c r="BM40" s="15" t="s">
        <v>189</v>
      </c>
      <c r="BN40" s="15" t="s">
        <v>190</v>
      </c>
      <c r="BO40" s="15" t="s">
        <v>191</v>
      </c>
      <c r="BR40" s="15" t="s">
        <v>192</v>
      </c>
      <c r="BS40" s="15" t="s">
        <v>193</v>
      </c>
      <c r="BT40" s="15" t="s">
        <v>194</v>
      </c>
      <c r="BU40" s="15" t="s">
        <v>195</v>
      </c>
      <c r="BV40" s="15" t="s">
        <v>196</v>
      </c>
      <c r="BW40" s="15" t="s">
        <v>272</v>
      </c>
      <c r="CB40" s="15" t="s">
        <v>129</v>
      </c>
      <c r="CC40" s="15">
        <v>1</v>
      </c>
      <c r="CN40" s="15" t="s">
        <v>273</v>
      </c>
      <c r="CW40" s="10">
        <v>2</v>
      </c>
      <c r="CX40" s="15" t="s">
        <v>277</v>
      </c>
    </row>
    <row r="41" spans="1:102" s="15" customFormat="1" x14ac:dyDescent="0.3">
      <c r="A41" s="11" t="s">
        <v>126</v>
      </c>
      <c r="B41" s="10" t="s">
        <v>278</v>
      </c>
      <c r="C41" s="12" t="s">
        <v>282</v>
      </c>
      <c r="D41" s="10">
        <v>12</v>
      </c>
      <c r="E41" s="13">
        <v>1000000</v>
      </c>
      <c r="F41" s="14" t="s">
        <v>209</v>
      </c>
      <c r="G41" s="14" t="s">
        <v>210</v>
      </c>
      <c r="H41" s="15" t="s">
        <v>211</v>
      </c>
      <c r="I41" s="8"/>
      <c r="J41" s="10"/>
      <c r="AV41" s="15" t="s">
        <v>212</v>
      </c>
      <c r="AW41" s="15" t="s">
        <v>213</v>
      </c>
      <c r="AX41" s="15" t="s">
        <v>279</v>
      </c>
      <c r="BH41" s="15" t="s">
        <v>184</v>
      </c>
      <c r="BI41" s="15" t="s">
        <v>185</v>
      </c>
      <c r="BJ41" s="15" t="s">
        <v>186</v>
      </c>
      <c r="BK41" s="15" t="s">
        <v>187</v>
      </c>
      <c r="BL41" s="15" t="s">
        <v>188</v>
      </c>
      <c r="BM41" s="15" t="s">
        <v>189</v>
      </c>
      <c r="BN41" s="15" t="s">
        <v>190</v>
      </c>
      <c r="BO41" s="15" t="s">
        <v>191</v>
      </c>
      <c r="BR41" s="15" t="s">
        <v>192</v>
      </c>
      <c r="BS41" s="15" t="s">
        <v>193</v>
      </c>
      <c r="BT41" s="15" t="s">
        <v>194</v>
      </c>
      <c r="BU41" s="15" t="s">
        <v>195</v>
      </c>
      <c r="BV41" s="15" t="s">
        <v>196</v>
      </c>
      <c r="BW41" s="15" t="s">
        <v>195</v>
      </c>
      <c r="CB41" s="15" t="s">
        <v>129</v>
      </c>
      <c r="CC41" s="15">
        <v>1</v>
      </c>
      <c r="CN41" s="15" t="s">
        <v>198</v>
      </c>
      <c r="CW41" s="10">
        <v>2</v>
      </c>
      <c r="CX41" s="15" t="s">
        <v>280</v>
      </c>
    </row>
    <row r="42" spans="1:102" s="15" customFormat="1" x14ac:dyDescent="0.3">
      <c r="A42" s="11" t="s">
        <v>126</v>
      </c>
      <c r="B42" s="10" t="s">
        <v>281</v>
      </c>
      <c r="C42" s="12" t="s">
        <v>282</v>
      </c>
      <c r="D42" s="10">
        <v>12</v>
      </c>
      <c r="E42" s="13">
        <v>1000000</v>
      </c>
      <c r="F42" s="14" t="s">
        <v>210</v>
      </c>
      <c r="G42" s="14" t="s">
        <v>210</v>
      </c>
      <c r="H42" s="15" t="s">
        <v>211</v>
      </c>
      <c r="I42" s="8"/>
      <c r="J42" s="10"/>
      <c r="AW42" s="15" t="s">
        <v>128</v>
      </c>
      <c r="AX42" s="15" t="s">
        <v>279</v>
      </c>
      <c r="BH42" s="15" t="s">
        <v>184</v>
      </c>
      <c r="BI42" s="15" t="s">
        <v>185</v>
      </c>
      <c r="BJ42" s="15" t="s">
        <v>186</v>
      </c>
      <c r="BK42" s="15" t="s">
        <v>187</v>
      </c>
      <c r="BL42" s="15" t="s">
        <v>188</v>
      </c>
      <c r="BM42" s="15" t="s">
        <v>189</v>
      </c>
      <c r="BN42" s="15" t="s">
        <v>190</v>
      </c>
      <c r="BO42" s="15" t="s">
        <v>191</v>
      </c>
      <c r="BR42" s="15" t="s">
        <v>192</v>
      </c>
      <c r="BS42" s="15" t="s">
        <v>193</v>
      </c>
      <c r="BT42" s="15" t="s">
        <v>194</v>
      </c>
      <c r="BU42" s="15" t="s">
        <v>195</v>
      </c>
      <c r="BV42" s="15" t="s">
        <v>196</v>
      </c>
      <c r="BW42" s="15" t="s">
        <v>195</v>
      </c>
      <c r="CB42" s="15" t="s">
        <v>128</v>
      </c>
      <c r="CC42" s="15">
        <v>1</v>
      </c>
      <c r="CN42" s="15" t="s">
        <v>198</v>
      </c>
      <c r="CW42" s="10">
        <v>2</v>
      </c>
      <c r="CX42" s="15" t="s">
        <v>283</v>
      </c>
    </row>
    <row r="43" spans="1:102" s="15" customFormat="1" x14ac:dyDescent="0.3">
      <c r="A43" s="11" t="s">
        <v>126</v>
      </c>
      <c r="B43" s="10" t="s">
        <v>284</v>
      </c>
      <c r="C43" s="12" t="s">
        <v>285</v>
      </c>
      <c r="D43" s="10">
        <v>12</v>
      </c>
      <c r="E43" s="13">
        <v>1000000</v>
      </c>
      <c r="F43" s="14" t="s">
        <v>210</v>
      </c>
      <c r="G43" s="14" t="s">
        <v>210</v>
      </c>
      <c r="H43" s="15" t="s">
        <v>211</v>
      </c>
      <c r="I43" s="8"/>
      <c r="J43" s="10"/>
      <c r="AW43" s="15" t="s">
        <v>128</v>
      </c>
      <c r="AX43" s="15" t="s">
        <v>279</v>
      </c>
      <c r="BH43" s="15" t="s">
        <v>184</v>
      </c>
      <c r="BI43" s="15" t="s">
        <v>185</v>
      </c>
      <c r="BJ43" s="15" t="s">
        <v>186</v>
      </c>
      <c r="BK43" s="15" t="s">
        <v>187</v>
      </c>
      <c r="BL43" s="15" t="s">
        <v>188</v>
      </c>
      <c r="BM43" s="15" t="s">
        <v>189</v>
      </c>
      <c r="BN43" s="15" t="s">
        <v>190</v>
      </c>
      <c r="BO43" s="15" t="s">
        <v>191</v>
      </c>
      <c r="BR43" s="15" t="s">
        <v>192</v>
      </c>
      <c r="BS43" s="15" t="s">
        <v>193</v>
      </c>
      <c r="BT43" s="15" t="s">
        <v>194</v>
      </c>
      <c r="BU43" s="15" t="s">
        <v>195</v>
      </c>
      <c r="BV43" s="15" t="s">
        <v>196</v>
      </c>
      <c r="BW43" s="15" t="s">
        <v>195</v>
      </c>
      <c r="CB43" s="15" t="s">
        <v>128</v>
      </c>
      <c r="CC43" s="15">
        <v>1</v>
      </c>
      <c r="CN43" s="15" t="s">
        <v>198</v>
      </c>
      <c r="CW43" s="10">
        <v>2</v>
      </c>
      <c r="CX43" s="15" t="s">
        <v>286</v>
      </c>
    </row>
    <row r="44" spans="1:102" s="15" customFormat="1" x14ac:dyDescent="0.3">
      <c r="A44" s="11" t="s">
        <v>126</v>
      </c>
      <c r="B44" s="10" t="s">
        <v>287</v>
      </c>
      <c r="C44" s="12" t="s">
        <v>3622</v>
      </c>
      <c r="D44" s="10">
        <v>12</v>
      </c>
      <c r="E44" s="13">
        <v>1000000</v>
      </c>
      <c r="F44" s="14" t="s">
        <v>269</v>
      </c>
      <c r="G44" s="14" t="s">
        <v>210</v>
      </c>
      <c r="H44" s="15" t="s">
        <v>254</v>
      </c>
      <c r="I44" s="8"/>
      <c r="J44" s="10"/>
      <c r="AV44" s="15" t="s">
        <v>212</v>
      </c>
      <c r="AW44" s="15" t="s">
        <v>213</v>
      </c>
      <c r="AX44" s="15" t="s">
        <v>288</v>
      </c>
      <c r="BH44" s="15" t="s">
        <v>184</v>
      </c>
      <c r="BI44" s="15" t="s">
        <v>185</v>
      </c>
      <c r="BJ44" s="15" t="s">
        <v>186</v>
      </c>
      <c r="BK44" s="15" t="s">
        <v>187</v>
      </c>
      <c r="BL44" s="15" t="s">
        <v>188</v>
      </c>
      <c r="BM44" s="15" t="s">
        <v>189</v>
      </c>
      <c r="BN44" s="15" t="s">
        <v>190</v>
      </c>
      <c r="BO44" s="15" t="s">
        <v>191</v>
      </c>
      <c r="BR44" s="15" t="s">
        <v>192</v>
      </c>
      <c r="BS44" s="15" t="s">
        <v>193</v>
      </c>
      <c r="BT44" s="15" t="s">
        <v>194</v>
      </c>
      <c r="BU44" s="15" t="s">
        <v>195</v>
      </c>
      <c r="BV44" s="15" t="s">
        <v>196</v>
      </c>
      <c r="BW44" s="15" t="s">
        <v>289</v>
      </c>
      <c r="CB44" s="15" t="s">
        <v>129</v>
      </c>
      <c r="CC44" s="15">
        <v>1</v>
      </c>
      <c r="CN44" s="15" t="s">
        <v>198</v>
      </c>
      <c r="CW44" s="10">
        <v>2</v>
      </c>
      <c r="CX44" s="15" t="s">
        <v>290</v>
      </c>
    </row>
    <row r="45" spans="1:102" s="15" customFormat="1" x14ac:dyDescent="0.3">
      <c r="A45" s="11" t="s">
        <v>126</v>
      </c>
      <c r="B45" s="10" t="s">
        <v>291</v>
      </c>
      <c r="C45" s="12" t="s">
        <v>3612</v>
      </c>
      <c r="D45" s="10">
        <v>12</v>
      </c>
      <c r="E45" s="13">
        <v>1000000</v>
      </c>
      <c r="F45" s="14" t="s">
        <v>269</v>
      </c>
      <c r="G45" s="14" t="s">
        <v>210</v>
      </c>
      <c r="H45" s="15" t="s">
        <v>254</v>
      </c>
      <c r="I45" s="8"/>
      <c r="J45" s="10"/>
      <c r="AV45" s="15" t="s">
        <v>212</v>
      </c>
      <c r="AW45" s="15" t="s">
        <v>213</v>
      </c>
      <c r="AX45" s="15" t="s">
        <v>292</v>
      </c>
      <c r="BH45" s="15" t="s">
        <v>184</v>
      </c>
      <c r="BI45" s="15" t="s">
        <v>185</v>
      </c>
      <c r="BJ45" s="15" t="s">
        <v>186</v>
      </c>
      <c r="BK45" s="15" t="s">
        <v>187</v>
      </c>
      <c r="BL45" s="15" t="s">
        <v>188</v>
      </c>
      <c r="BM45" s="15" t="s">
        <v>189</v>
      </c>
      <c r="BN45" s="15" t="s">
        <v>190</v>
      </c>
      <c r="BO45" s="15" t="s">
        <v>191</v>
      </c>
      <c r="BR45" s="15" t="s">
        <v>192</v>
      </c>
      <c r="BS45" s="15" t="s">
        <v>193</v>
      </c>
      <c r="BT45" s="15" t="s">
        <v>194</v>
      </c>
      <c r="BU45" s="15" t="s">
        <v>195</v>
      </c>
      <c r="BV45" s="15" t="s">
        <v>196</v>
      </c>
      <c r="BW45" s="15" t="s">
        <v>293</v>
      </c>
      <c r="CB45" s="15" t="s">
        <v>129</v>
      </c>
      <c r="CC45" s="15">
        <v>1</v>
      </c>
      <c r="CN45" s="15" t="s">
        <v>198</v>
      </c>
      <c r="CW45" s="10">
        <v>2</v>
      </c>
      <c r="CX45" s="15" t="s">
        <v>294</v>
      </c>
    </row>
    <row r="46" spans="1:102" s="15" customFormat="1" x14ac:dyDescent="0.3">
      <c r="A46" s="11" t="s">
        <v>126</v>
      </c>
      <c r="B46" s="10" t="s">
        <v>295</v>
      </c>
      <c r="C46" s="12" t="s">
        <v>3630</v>
      </c>
      <c r="D46" s="10">
        <v>12</v>
      </c>
      <c r="E46" s="13">
        <v>1000000</v>
      </c>
      <c r="F46" s="14" t="s">
        <v>243</v>
      </c>
      <c r="G46" s="14" t="s">
        <v>244</v>
      </c>
      <c r="H46" s="15" t="s">
        <v>254</v>
      </c>
      <c r="I46" s="8" t="s">
        <v>296</v>
      </c>
      <c r="J46" s="10"/>
      <c r="AB46" s="15" t="s">
        <v>210</v>
      </c>
      <c r="AC46" s="15" t="s">
        <v>297</v>
      </c>
      <c r="AV46" s="15" t="s">
        <v>181</v>
      </c>
      <c r="AW46" s="15" t="s">
        <v>182</v>
      </c>
      <c r="AX46" s="15" t="s">
        <v>298</v>
      </c>
      <c r="AY46" s="15" t="s">
        <v>299</v>
      </c>
      <c r="BH46" s="15" t="s">
        <v>184</v>
      </c>
      <c r="BI46" s="15" t="s">
        <v>185</v>
      </c>
      <c r="BJ46" s="15" t="s">
        <v>186</v>
      </c>
      <c r="BK46" s="15" t="s">
        <v>187</v>
      </c>
      <c r="BL46" s="15" t="s">
        <v>188</v>
      </c>
      <c r="BM46" s="15" t="s">
        <v>189</v>
      </c>
      <c r="BN46" s="15" t="s">
        <v>190</v>
      </c>
      <c r="BO46" s="15" t="s">
        <v>191</v>
      </c>
      <c r="BR46" s="15" t="s">
        <v>192</v>
      </c>
      <c r="BS46" s="15" t="s">
        <v>193</v>
      </c>
      <c r="BT46" s="15" t="s">
        <v>194</v>
      </c>
      <c r="BU46" s="15" t="s">
        <v>195</v>
      </c>
      <c r="BV46" s="15" t="s">
        <v>196</v>
      </c>
      <c r="BW46" s="15" t="s">
        <v>272</v>
      </c>
      <c r="CB46" s="15" t="s">
        <v>129</v>
      </c>
      <c r="CC46" s="15">
        <v>1</v>
      </c>
      <c r="CN46" s="15" t="s">
        <v>198</v>
      </c>
      <c r="CW46" s="10">
        <v>2</v>
      </c>
      <c r="CX46" s="15" t="s">
        <v>300</v>
      </c>
    </row>
    <row r="47" spans="1:102" s="15" customFormat="1" x14ac:dyDescent="0.3">
      <c r="A47" s="11" t="s">
        <v>126</v>
      </c>
      <c r="B47" s="10" t="s">
        <v>301</v>
      </c>
      <c r="C47" s="12" t="s">
        <v>3632</v>
      </c>
      <c r="D47" s="10">
        <v>12</v>
      </c>
      <c r="E47" s="13">
        <v>1000000</v>
      </c>
      <c r="F47" s="14" t="s">
        <v>243</v>
      </c>
      <c r="G47" s="14" t="s">
        <v>244</v>
      </c>
      <c r="H47" s="15" t="s">
        <v>254</v>
      </c>
      <c r="I47" s="8" t="s">
        <v>296</v>
      </c>
      <c r="J47" s="10"/>
      <c r="AB47" s="15" t="s">
        <v>210</v>
      </c>
      <c r="AC47" s="15" t="s">
        <v>297</v>
      </c>
      <c r="AV47" s="15" t="s">
        <v>181</v>
      </c>
      <c r="AW47" s="15" t="s">
        <v>182</v>
      </c>
      <c r="AX47" s="15" t="s">
        <v>302</v>
      </c>
      <c r="AY47" s="15" t="s">
        <v>303</v>
      </c>
      <c r="BH47" s="15" t="s">
        <v>184</v>
      </c>
      <c r="BI47" s="15" t="s">
        <v>185</v>
      </c>
      <c r="BJ47" s="15" t="s">
        <v>186</v>
      </c>
      <c r="BK47" s="15" t="s">
        <v>187</v>
      </c>
      <c r="BL47" s="15" t="s">
        <v>188</v>
      </c>
      <c r="BM47" s="15" t="s">
        <v>189</v>
      </c>
      <c r="BN47" s="15" t="s">
        <v>190</v>
      </c>
      <c r="BO47" s="15" t="s">
        <v>191</v>
      </c>
      <c r="BR47" s="15" t="s">
        <v>192</v>
      </c>
      <c r="BS47" s="15" t="s">
        <v>193</v>
      </c>
      <c r="BT47" s="15" t="s">
        <v>194</v>
      </c>
      <c r="BU47" s="15" t="s">
        <v>195</v>
      </c>
      <c r="BV47" s="15" t="s">
        <v>196</v>
      </c>
      <c r="BW47" s="15" t="s">
        <v>272</v>
      </c>
      <c r="CB47" s="15" t="s">
        <v>129</v>
      </c>
      <c r="CC47" s="15">
        <v>1</v>
      </c>
      <c r="CN47" s="15" t="s">
        <v>198</v>
      </c>
      <c r="CW47" s="10">
        <v>2</v>
      </c>
      <c r="CX47" s="15" t="s">
        <v>304</v>
      </c>
    </row>
    <row r="48" spans="1:102" s="15" customFormat="1" x14ac:dyDescent="0.3">
      <c r="A48" s="11" t="s">
        <v>126</v>
      </c>
      <c r="B48" s="10" t="s">
        <v>305</v>
      </c>
      <c r="C48" s="12" t="s">
        <v>309</v>
      </c>
      <c r="D48" s="10">
        <v>12</v>
      </c>
      <c r="E48" s="13">
        <v>100000</v>
      </c>
      <c r="F48" s="14" t="s">
        <v>243</v>
      </c>
      <c r="G48" s="14" t="s">
        <v>244</v>
      </c>
      <c r="H48" s="15" t="s">
        <v>254</v>
      </c>
      <c r="I48" s="8"/>
      <c r="J48" s="10"/>
      <c r="AV48" s="15" t="s">
        <v>181</v>
      </c>
      <c r="AW48" s="15" t="s">
        <v>182</v>
      </c>
      <c r="AX48" s="15" t="s">
        <v>306</v>
      </c>
      <c r="BH48" s="15" t="s">
        <v>184</v>
      </c>
      <c r="BI48" s="15" t="s">
        <v>185</v>
      </c>
      <c r="BJ48" s="15" t="s">
        <v>186</v>
      </c>
      <c r="BK48" s="15" t="s">
        <v>187</v>
      </c>
      <c r="BL48" s="15" t="s">
        <v>188</v>
      </c>
      <c r="BM48" s="15" t="s">
        <v>189</v>
      </c>
      <c r="BN48" s="15" t="s">
        <v>190</v>
      </c>
      <c r="BO48" s="15" t="s">
        <v>191</v>
      </c>
      <c r="BR48" s="15" t="s">
        <v>192</v>
      </c>
      <c r="BS48" s="15" t="s">
        <v>193</v>
      </c>
      <c r="BT48" s="15" t="s">
        <v>194</v>
      </c>
      <c r="BU48" s="15" t="s">
        <v>195</v>
      </c>
      <c r="BV48" s="15" t="s">
        <v>196</v>
      </c>
      <c r="BW48" s="15" t="s">
        <v>251</v>
      </c>
      <c r="CB48" s="15" t="s">
        <v>129</v>
      </c>
      <c r="CC48" s="15">
        <v>1</v>
      </c>
      <c r="CN48" s="15" t="s">
        <v>198</v>
      </c>
      <c r="CW48" s="10">
        <v>2</v>
      </c>
      <c r="CX48" s="15" t="s">
        <v>307</v>
      </c>
    </row>
    <row r="49" spans="1:102" s="15" customFormat="1" x14ac:dyDescent="0.3">
      <c r="A49" s="11" t="s">
        <v>126</v>
      </c>
      <c r="B49" s="10" t="s">
        <v>308</v>
      </c>
      <c r="C49" s="12" t="s">
        <v>309</v>
      </c>
      <c r="D49" s="10">
        <v>12</v>
      </c>
      <c r="E49" s="13">
        <v>100000</v>
      </c>
      <c r="F49" s="14" t="s">
        <v>244</v>
      </c>
      <c r="G49" s="14" t="s">
        <v>244</v>
      </c>
      <c r="H49" s="15" t="s">
        <v>254</v>
      </c>
      <c r="I49" s="8"/>
      <c r="J49" s="10"/>
      <c r="AW49" s="15" t="s">
        <v>128</v>
      </c>
      <c r="AX49" s="15" t="s">
        <v>306</v>
      </c>
      <c r="BH49" s="15" t="s">
        <v>184</v>
      </c>
      <c r="BI49" s="15" t="s">
        <v>185</v>
      </c>
      <c r="BJ49" s="15" t="s">
        <v>186</v>
      </c>
      <c r="BK49" s="15" t="s">
        <v>187</v>
      </c>
      <c r="BL49" s="15" t="s">
        <v>188</v>
      </c>
      <c r="BM49" s="15" t="s">
        <v>189</v>
      </c>
      <c r="BN49" s="15" t="s">
        <v>190</v>
      </c>
      <c r="BO49" s="15" t="s">
        <v>191</v>
      </c>
      <c r="BR49" s="15" t="s">
        <v>192</v>
      </c>
      <c r="BS49" s="15" t="s">
        <v>193</v>
      </c>
      <c r="BT49" s="15" t="s">
        <v>194</v>
      </c>
      <c r="BU49" s="15" t="s">
        <v>195</v>
      </c>
      <c r="BV49" s="15" t="s">
        <v>196</v>
      </c>
      <c r="BW49" s="15" t="s">
        <v>251</v>
      </c>
      <c r="CB49" s="15" t="s">
        <v>128</v>
      </c>
      <c r="CC49" s="15">
        <v>1</v>
      </c>
      <c r="CN49" s="15" t="s">
        <v>198</v>
      </c>
      <c r="CW49" s="10">
        <v>2</v>
      </c>
      <c r="CX49" s="15" t="s">
        <v>310</v>
      </c>
    </row>
    <row r="50" spans="1:102" s="15" customFormat="1" x14ac:dyDescent="0.3">
      <c r="A50" s="11" t="s">
        <v>126</v>
      </c>
      <c r="B50" s="10" t="s">
        <v>311</v>
      </c>
      <c r="C50" s="12" t="s">
        <v>316</v>
      </c>
      <c r="D50" s="10">
        <v>12</v>
      </c>
      <c r="E50" s="13">
        <v>1000000</v>
      </c>
      <c r="F50" s="14" t="s">
        <v>209</v>
      </c>
      <c r="G50" s="14" t="s">
        <v>210</v>
      </c>
      <c r="H50" s="15" t="s">
        <v>312</v>
      </c>
      <c r="I50" s="8"/>
      <c r="J50" s="10"/>
      <c r="AV50" s="15" t="s">
        <v>212</v>
      </c>
      <c r="AW50" s="15" t="s">
        <v>213</v>
      </c>
      <c r="AX50" s="15" t="s">
        <v>191</v>
      </c>
      <c r="BH50" s="15" t="s">
        <v>184</v>
      </c>
      <c r="BI50" s="15" t="s">
        <v>185</v>
      </c>
      <c r="BJ50" s="15" t="s">
        <v>186</v>
      </c>
      <c r="BK50" s="15" t="s">
        <v>187</v>
      </c>
      <c r="BL50" s="15" t="s">
        <v>188</v>
      </c>
      <c r="BM50" s="15" t="s">
        <v>189</v>
      </c>
      <c r="BN50" s="15" t="s">
        <v>190</v>
      </c>
      <c r="BO50" s="15" t="s">
        <v>191</v>
      </c>
      <c r="BR50" s="15" t="s">
        <v>192</v>
      </c>
      <c r="BS50" s="15" t="s">
        <v>193</v>
      </c>
      <c r="BT50" s="15" t="s">
        <v>194</v>
      </c>
      <c r="BU50" s="15" t="s">
        <v>195</v>
      </c>
      <c r="BV50" s="15" t="s">
        <v>196</v>
      </c>
      <c r="BW50" s="15" t="s">
        <v>193</v>
      </c>
      <c r="CB50" s="15" t="s">
        <v>129</v>
      </c>
      <c r="CC50" s="15">
        <v>1</v>
      </c>
      <c r="CN50" s="15" t="s">
        <v>313</v>
      </c>
      <c r="CW50" s="10">
        <v>2</v>
      </c>
      <c r="CX50" s="15" t="s">
        <v>314</v>
      </c>
    </row>
    <row r="51" spans="1:102" s="15" customFormat="1" x14ac:dyDescent="0.3">
      <c r="A51" s="11" t="s">
        <v>126</v>
      </c>
      <c r="B51" s="10" t="s">
        <v>315</v>
      </c>
      <c r="C51" s="12" t="s">
        <v>316</v>
      </c>
      <c r="D51" s="10">
        <v>12</v>
      </c>
      <c r="E51" s="13">
        <v>1000000</v>
      </c>
      <c r="F51" s="14" t="s">
        <v>210</v>
      </c>
      <c r="G51" s="14" t="s">
        <v>210</v>
      </c>
      <c r="H51" s="15" t="s">
        <v>312</v>
      </c>
      <c r="I51" s="8"/>
      <c r="J51" s="10"/>
      <c r="AW51" s="15" t="s">
        <v>128</v>
      </c>
      <c r="AX51" s="15" t="s">
        <v>191</v>
      </c>
      <c r="BH51" s="15" t="s">
        <v>184</v>
      </c>
      <c r="BI51" s="15" t="s">
        <v>185</v>
      </c>
      <c r="BJ51" s="15" t="s">
        <v>186</v>
      </c>
      <c r="BK51" s="15" t="s">
        <v>187</v>
      </c>
      <c r="BL51" s="15" t="s">
        <v>188</v>
      </c>
      <c r="BM51" s="15" t="s">
        <v>189</v>
      </c>
      <c r="BN51" s="15" t="s">
        <v>190</v>
      </c>
      <c r="BO51" s="15" t="s">
        <v>191</v>
      </c>
      <c r="BR51" s="15" t="s">
        <v>192</v>
      </c>
      <c r="BS51" s="15" t="s">
        <v>193</v>
      </c>
      <c r="BT51" s="15" t="s">
        <v>194</v>
      </c>
      <c r="BU51" s="15" t="s">
        <v>195</v>
      </c>
      <c r="BV51" s="15" t="s">
        <v>196</v>
      </c>
      <c r="BW51" s="15" t="s">
        <v>193</v>
      </c>
      <c r="CB51" s="15" t="s">
        <v>128</v>
      </c>
      <c r="CC51" s="15">
        <v>1</v>
      </c>
      <c r="CN51" s="15" t="s">
        <v>313</v>
      </c>
      <c r="CW51" s="10">
        <v>2</v>
      </c>
      <c r="CX51" s="15" t="s">
        <v>317</v>
      </c>
    </row>
    <row r="52" spans="1:102" s="15" customFormat="1" x14ac:dyDescent="0.3">
      <c r="A52" s="11" t="s">
        <v>126</v>
      </c>
      <c r="B52" s="10" t="s">
        <v>318</v>
      </c>
      <c r="C52" s="12" t="s">
        <v>319</v>
      </c>
      <c r="D52" s="10">
        <v>12</v>
      </c>
      <c r="E52" s="13">
        <v>1000000</v>
      </c>
      <c r="F52" s="14" t="s">
        <v>210</v>
      </c>
      <c r="G52" s="14" t="s">
        <v>210</v>
      </c>
      <c r="H52" s="15" t="s">
        <v>312</v>
      </c>
      <c r="I52" s="8"/>
      <c r="J52" s="10"/>
      <c r="AW52" s="15" t="s">
        <v>128</v>
      </c>
      <c r="AX52" s="15" t="s">
        <v>191</v>
      </c>
      <c r="BH52" s="15" t="s">
        <v>184</v>
      </c>
      <c r="BI52" s="15" t="s">
        <v>185</v>
      </c>
      <c r="BJ52" s="15" t="s">
        <v>186</v>
      </c>
      <c r="BK52" s="15" t="s">
        <v>187</v>
      </c>
      <c r="BL52" s="15" t="s">
        <v>188</v>
      </c>
      <c r="BM52" s="15" t="s">
        <v>189</v>
      </c>
      <c r="BN52" s="15" t="s">
        <v>190</v>
      </c>
      <c r="BO52" s="15" t="s">
        <v>191</v>
      </c>
      <c r="BR52" s="15" t="s">
        <v>192</v>
      </c>
      <c r="BS52" s="15" t="s">
        <v>193</v>
      </c>
      <c r="BT52" s="15" t="s">
        <v>194</v>
      </c>
      <c r="BU52" s="15" t="s">
        <v>195</v>
      </c>
      <c r="BV52" s="15" t="s">
        <v>196</v>
      </c>
      <c r="BW52" s="15" t="s">
        <v>193</v>
      </c>
      <c r="CB52" s="15" t="s">
        <v>128</v>
      </c>
      <c r="CC52" s="15">
        <v>1</v>
      </c>
      <c r="CN52" s="15" t="s">
        <v>313</v>
      </c>
      <c r="CW52" s="10">
        <v>2</v>
      </c>
      <c r="CX52" s="15" t="s">
        <v>320</v>
      </c>
    </row>
    <row r="53" spans="1:102" s="15" customFormat="1" x14ac:dyDescent="0.3">
      <c r="A53" s="11" t="s">
        <v>126</v>
      </c>
      <c r="B53" s="10" t="s">
        <v>321</v>
      </c>
      <c r="C53" s="12" t="s">
        <v>3672</v>
      </c>
      <c r="D53" s="10">
        <v>12</v>
      </c>
      <c r="E53" s="13">
        <v>10000</v>
      </c>
      <c r="F53" s="14" t="s">
        <v>243</v>
      </c>
      <c r="G53" s="14" t="s">
        <v>244</v>
      </c>
      <c r="H53" s="15" t="s">
        <v>254</v>
      </c>
      <c r="I53" s="8"/>
      <c r="J53" s="10"/>
      <c r="AV53" s="15" t="s">
        <v>181</v>
      </c>
      <c r="AW53" s="15" t="s">
        <v>182</v>
      </c>
      <c r="AX53" s="15" t="s">
        <v>322</v>
      </c>
      <c r="BH53" s="15" t="s">
        <v>184</v>
      </c>
      <c r="BI53" s="15" t="s">
        <v>185</v>
      </c>
      <c r="BJ53" s="15" t="s">
        <v>186</v>
      </c>
      <c r="BK53" s="15" t="s">
        <v>187</v>
      </c>
      <c r="BL53" s="15" t="s">
        <v>188</v>
      </c>
      <c r="BM53" s="15" t="s">
        <v>189</v>
      </c>
      <c r="BN53" s="15" t="s">
        <v>190</v>
      </c>
      <c r="BO53" s="15" t="s">
        <v>191</v>
      </c>
      <c r="BR53" s="15" t="s">
        <v>192</v>
      </c>
      <c r="BS53" s="15" t="s">
        <v>193</v>
      </c>
      <c r="BT53" s="15" t="s">
        <v>194</v>
      </c>
      <c r="BU53" s="15" t="s">
        <v>195</v>
      </c>
      <c r="BV53" s="15" t="s">
        <v>196</v>
      </c>
      <c r="BW53" s="15" t="s">
        <v>323</v>
      </c>
      <c r="CB53" s="15" t="s">
        <v>129</v>
      </c>
      <c r="CC53" s="15">
        <v>1</v>
      </c>
      <c r="CN53" s="15" t="s">
        <v>198</v>
      </c>
      <c r="CW53" s="10">
        <v>2</v>
      </c>
      <c r="CX53" s="15" t="s">
        <v>324</v>
      </c>
    </row>
    <row r="54" spans="1:102" s="15" customFormat="1" x14ac:dyDescent="0.3">
      <c r="A54" s="11" t="s">
        <v>126</v>
      </c>
      <c r="B54" s="10" t="s">
        <v>325</v>
      </c>
      <c r="C54" s="12" t="s">
        <v>331</v>
      </c>
      <c r="D54" s="10">
        <v>12</v>
      </c>
      <c r="E54" s="13">
        <v>100000</v>
      </c>
      <c r="F54" s="14" t="s">
        <v>243</v>
      </c>
      <c r="G54" s="14" t="s">
        <v>244</v>
      </c>
      <c r="H54" s="15" t="s">
        <v>326</v>
      </c>
      <c r="I54" s="8"/>
      <c r="J54" s="10"/>
      <c r="AV54" s="15" t="s">
        <v>181</v>
      </c>
      <c r="AW54" s="15" t="s">
        <v>182</v>
      </c>
      <c r="AX54" s="15" t="s">
        <v>327</v>
      </c>
      <c r="AY54" s="15" t="s">
        <v>328</v>
      </c>
      <c r="BH54" s="15" t="s">
        <v>184</v>
      </c>
      <c r="BI54" s="15" t="s">
        <v>185</v>
      </c>
      <c r="BJ54" s="15" t="s">
        <v>186</v>
      </c>
      <c r="BK54" s="15" t="s">
        <v>187</v>
      </c>
      <c r="BL54" s="15" t="s">
        <v>188</v>
      </c>
      <c r="BM54" s="15" t="s">
        <v>189</v>
      </c>
      <c r="BN54" s="15" t="s">
        <v>190</v>
      </c>
      <c r="BO54" s="15" t="s">
        <v>191</v>
      </c>
      <c r="BR54" s="15" t="s">
        <v>192</v>
      </c>
      <c r="BS54" s="15" t="s">
        <v>193</v>
      </c>
      <c r="BT54" s="15" t="s">
        <v>194</v>
      </c>
      <c r="BU54" s="15" t="s">
        <v>195</v>
      </c>
      <c r="BV54" s="15" t="s">
        <v>196</v>
      </c>
      <c r="BW54" s="15" t="s">
        <v>251</v>
      </c>
      <c r="CB54" s="15" t="s">
        <v>129</v>
      </c>
      <c r="CC54" s="15">
        <v>1</v>
      </c>
      <c r="CN54" s="15" t="s">
        <v>198</v>
      </c>
      <c r="CW54" s="10">
        <v>2</v>
      </c>
      <c r="CX54" s="15" t="s">
        <v>329</v>
      </c>
    </row>
    <row r="55" spans="1:102" s="15" customFormat="1" x14ac:dyDescent="0.3">
      <c r="A55" s="11" t="s">
        <v>126</v>
      </c>
      <c r="B55" s="10" t="s">
        <v>330</v>
      </c>
      <c r="C55" s="12" t="s">
        <v>331</v>
      </c>
      <c r="D55" s="10">
        <v>12</v>
      </c>
      <c r="E55" s="13">
        <v>100000</v>
      </c>
      <c r="F55" s="14" t="s">
        <v>244</v>
      </c>
      <c r="G55" s="14" t="s">
        <v>244</v>
      </c>
      <c r="H55" s="15" t="s">
        <v>326</v>
      </c>
      <c r="I55" s="8"/>
      <c r="J55" s="10"/>
      <c r="AW55" s="15" t="s">
        <v>128</v>
      </c>
      <c r="AX55" s="15" t="s">
        <v>327</v>
      </c>
      <c r="AY55" s="15" t="s">
        <v>328</v>
      </c>
      <c r="BH55" s="15" t="s">
        <v>184</v>
      </c>
      <c r="BI55" s="15" t="s">
        <v>185</v>
      </c>
      <c r="BJ55" s="15" t="s">
        <v>186</v>
      </c>
      <c r="BK55" s="15" t="s">
        <v>187</v>
      </c>
      <c r="BL55" s="15" t="s">
        <v>188</v>
      </c>
      <c r="BM55" s="15" t="s">
        <v>189</v>
      </c>
      <c r="BN55" s="15" t="s">
        <v>190</v>
      </c>
      <c r="BO55" s="15" t="s">
        <v>191</v>
      </c>
      <c r="BR55" s="15" t="s">
        <v>192</v>
      </c>
      <c r="BS55" s="15" t="s">
        <v>193</v>
      </c>
      <c r="BT55" s="15" t="s">
        <v>194</v>
      </c>
      <c r="BU55" s="15" t="s">
        <v>195</v>
      </c>
      <c r="BV55" s="15" t="s">
        <v>196</v>
      </c>
      <c r="BW55" s="15" t="s">
        <v>251</v>
      </c>
      <c r="CB55" s="15" t="s">
        <v>128</v>
      </c>
      <c r="CC55" s="15">
        <v>1</v>
      </c>
      <c r="CN55" s="15" t="s">
        <v>198</v>
      </c>
      <c r="CW55" s="10">
        <v>2</v>
      </c>
      <c r="CX55" s="15" t="s">
        <v>332</v>
      </c>
    </row>
    <row r="56" spans="1:102" s="15" customFormat="1" x14ac:dyDescent="0.3">
      <c r="A56" s="11" t="s">
        <v>126</v>
      </c>
      <c r="B56" s="10" t="s">
        <v>333</v>
      </c>
      <c r="C56" s="12" t="s">
        <v>334</v>
      </c>
      <c r="D56" s="10">
        <v>12</v>
      </c>
      <c r="E56" s="13">
        <v>100000</v>
      </c>
      <c r="F56" s="14" t="s">
        <v>244</v>
      </c>
      <c r="G56" s="14" t="s">
        <v>244</v>
      </c>
      <c r="H56" s="15" t="s">
        <v>326</v>
      </c>
      <c r="I56" s="8"/>
      <c r="J56" s="10"/>
      <c r="AW56" s="15" t="s">
        <v>128</v>
      </c>
      <c r="AX56" s="15" t="s">
        <v>327</v>
      </c>
      <c r="AY56" s="15" t="s">
        <v>328</v>
      </c>
      <c r="BH56" s="15" t="s">
        <v>184</v>
      </c>
      <c r="BI56" s="15" t="s">
        <v>185</v>
      </c>
      <c r="BJ56" s="15" t="s">
        <v>186</v>
      </c>
      <c r="BK56" s="15" t="s">
        <v>187</v>
      </c>
      <c r="BL56" s="15" t="s">
        <v>188</v>
      </c>
      <c r="BM56" s="15" t="s">
        <v>189</v>
      </c>
      <c r="BN56" s="15" t="s">
        <v>190</v>
      </c>
      <c r="BO56" s="15" t="s">
        <v>191</v>
      </c>
      <c r="BR56" s="15" t="s">
        <v>192</v>
      </c>
      <c r="BS56" s="15" t="s">
        <v>193</v>
      </c>
      <c r="BT56" s="15" t="s">
        <v>194</v>
      </c>
      <c r="BU56" s="15" t="s">
        <v>195</v>
      </c>
      <c r="BV56" s="15" t="s">
        <v>196</v>
      </c>
      <c r="BW56" s="15" t="s">
        <v>251</v>
      </c>
      <c r="CB56" s="15" t="s">
        <v>128</v>
      </c>
      <c r="CC56" s="15">
        <v>1</v>
      </c>
      <c r="CN56" s="15" t="s">
        <v>198</v>
      </c>
      <c r="CW56" s="10">
        <v>2</v>
      </c>
      <c r="CX56" s="15" t="s">
        <v>335</v>
      </c>
    </row>
    <row r="57" spans="1:102" s="15" customFormat="1" x14ac:dyDescent="0.3">
      <c r="A57" s="11" t="s">
        <v>126</v>
      </c>
      <c r="B57" s="10" t="s">
        <v>336</v>
      </c>
      <c r="C57" s="12" t="s">
        <v>341</v>
      </c>
      <c r="D57" s="10">
        <v>12</v>
      </c>
      <c r="E57" s="13">
        <v>100000</v>
      </c>
      <c r="F57" s="14" t="s">
        <v>243</v>
      </c>
      <c r="G57" s="14" t="s">
        <v>244</v>
      </c>
      <c r="H57" s="15" t="s">
        <v>326</v>
      </c>
      <c r="I57" s="8"/>
      <c r="J57" s="10"/>
      <c r="AV57" s="15" t="s">
        <v>181</v>
      </c>
      <c r="AW57" s="15" t="s">
        <v>182</v>
      </c>
      <c r="AX57" s="15" t="s">
        <v>337</v>
      </c>
      <c r="AY57" s="15" t="s">
        <v>338</v>
      </c>
      <c r="BH57" s="15" t="s">
        <v>184</v>
      </c>
      <c r="BI57" s="15" t="s">
        <v>185</v>
      </c>
      <c r="BJ57" s="15" t="s">
        <v>186</v>
      </c>
      <c r="BK57" s="15" t="s">
        <v>187</v>
      </c>
      <c r="BL57" s="15" t="s">
        <v>188</v>
      </c>
      <c r="BM57" s="15" t="s">
        <v>189</v>
      </c>
      <c r="BN57" s="15" t="s">
        <v>190</v>
      </c>
      <c r="BO57" s="15" t="s">
        <v>191</v>
      </c>
      <c r="BR57" s="15" t="s">
        <v>192</v>
      </c>
      <c r="BS57" s="15" t="s">
        <v>193</v>
      </c>
      <c r="BT57" s="15" t="s">
        <v>194</v>
      </c>
      <c r="BU57" s="15" t="s">
        <v>195</v>
      </c>
      <c r="BV57" s="15" t="s">
        <v>196</v>
      </c>
      <c r="BW57" s="15" t="s">
        <v>251</v>
      </c>
      <c r="CB57" s="15" t="s">
        <v>129</v>
      </c>
      <c r="CC57" s="15">
        <v>1</v>
      </c>
      <c r="CN57" s="15" t="s">
        <v>198</v>
      </c>
      <c r="CW57" s="10">
        <v>2</v>
      </c>
      <c r="CX57" s="15" t="s">
        <v>339</v>
      </c>
    </row>
    <row r="58" spans="1:102" s="15" customFormat="1" x14ac:dyDescent="0.3">
      <c r="A58" s="11" t="s">
        <v>126</v>
      </c>
      <c r="B58" s="10" t="s">
        <v>340</v>
      </c>
      <c r="C58" s="12" t="s">
        <v>341</v>
      </c>
      <c r="D58" s="10">
        <v>12</v>
      </c>
      <c r="E58" s="13">
        <v>100000</v>
      </c>
      <c r="F58" s="14" t="s">
        <v>244</v>
      </c>
      <c r="G58" s="14" t="s">
        <v>244</v>
      </c>
      <c r="H58" s="15" t="s">
        <v>326</v>
      </c>
      <c r="I58" s="8"/>
      <c r="J58" s="10"/>
      <c r="AW58" s="15" t="s">
        <v>128</v>
      </c>
      <c r="AX58" s="15" t="s">
        <v>337</v>
      </c>
      <c r="AY58" s="15" t="s">
        <v>338</v>
      </c>
      <c r="BH58" s="15" t="s">
        <v>184</v>
      </c>
      <c r="BI58" s="15" t="s">
        <v>185</v>
      </c>
      <c r="BJ58" s="15" t="s">
        <v>186</v>
      </c>
      <c r="BK58" s="15" t="s">
        <v>187</v>
      </c>
      <c r="BL58" s="15" t="s">
        <v>188</v>
      </c>
      <c r="BM58" s="15" t="s">
        <v>189</v>
      </c>
      <c r="BN58" s="15" t="s">
        <v>190</v>
      </c>
      <c r="BO58" s="15" t="s">
        <v>191</v>
      </c>
      <c r="BR58" s="15" t="s">
        <v>192</v>
      </c>
      <c r="BS58" s="15" t="s">
        <v>193</v>
      </c>
      <c r="BT58" s="15" t="s">
        <v>194</v>
      </c>
      <c r="BU58" s="15" t="s">
        <v>195</v>
      </c>
      <c r="BV58" s="15" t="s">
        <v>196</v>
      </c>
      <c r="BW58" s="15" t="s">
        <v>251</v>
      </c>
      <c r="CB58" s="15" t="s">
        <v>128</v>
      </c>
      <c r="CC58" s="15">
        <v>1</v>
      </c>
      <c r="CN58" s="15" t="s">
        <v>198</v>
      </c>
      <c r="CW58" s="10">
        <v>2</v>
      </c>
      <c r="CX58" s="15" t="s">
        <v>342</v>
      </c>
    </row>
    <row r="59" spans="1:102" s="15" customFormat="1" x14ac:dyDescent="0.3">
      <c r="A59" s="11" t="s">
        <v>126</v>
      </c>
      <c r="B59" s="10" t="s">
        <v>343</v>
      </c>
      <c r="C59" s="12" t="s">
        <v>344</v>
      </c>
      <c r="D59" s="10">
        <v>12</v>
      </c>
      <c r="E59" s="13">
        <v>100000</v>
      </c>
      <c r="F59" s="14" t="s">
        <v>244</v>
      </c>
      <c r="G59" s="14" t="s">
        <v>244</v>
      </c>
      <c r="H59" s="15" t="s">
        <v>326</v>
      </c>
      <c r="I59" s="8"/>
      <c r="J59" s="10"/>
      <c r="AW59" s="15" t="s">
        <v>128</v>
      </c>
      <c r="AX59" s="15" t="s">
        <v>337</v>
      </c>
      <c r="AY59" s="15" t="s">
        <v>338</v>
      </c>
      <c r="BH59" s="15" t="s">
        <v>184</v>
      </c>
      <c r="BI59" s="15" t="s">
        <v>185</v>
      </c>
      <c r="BJ59" s="15" t="s">
        <v>186</v>
      </c>
      <c r="BK59" s="15" t="s">
        <v>187</v>
      </c>
      <c r="BL59" s="15" t="s">
        <v>188</v>
      </c>
      <c r="BM59" s="15" t="s">
        <v>189</v>
      </c>
      <c r="BN59" s="15" t="s">
        <v>190</v>
      </c>
      <c r="BO59" s="15" t="s">
        <v>191</v>
      </c>
      <c r="BR59" s="15" t="s">
        <v>192</v>
      </c>
      <c r="BS59" s="15" t="s">
        <v>193</v>
      </c>
      <c r="BT59" s="15" t="s">
        <v>194</v>
      </c>
      <c r="BU59" s="15" t="s">
        <v>195</v>
      </c>
      <c r="BV59" s="15" t="s">
        <v>196</v>
      </c>
      <c r="BW59" s="15" t="s">
        <v>251</v>
      </c>
      <c r="CB59" s="15" t="s">
        <v>128</v>
      </c>
      <c r="CC59" s="15">
        <v>1</v>
      </c>
      <c r="CN59" s="15" t="s">
        <v>198</v>
      </c>
      <c r="CW59" s="10">
        <v>2</v>
      </c>
      <c r="CX59" s="15" t="s">
        <v>345</v>
      </c>
    </row>
    <row r="60" spans="1:102" s="15" customFormat="1" x14ac:dyDescent="0.3">
      <c r="A60" s="11" t="s">
        <v>126</v>
      </c>
      <c r="B60" s="10" t="s">
        <v>346</v>
      </c>
      <c r="C60" s="12" t="s">
        <v>350</v>
      </c>
      <c r="D60" s="10">
        <v>12</v>
      </c>
      <c r="E60" s="13">
        <v>100000</v>
      </c>
      <c r="F60" s="14" t="s">
        <v>243</v>
      </c>
      <c r="G60" s="14" t="s">
        <v>244</v>
      </c>
      <c r="H60" s="15" t="s">
        <v>211</v>
      </c>
      <c r="I60" s="8"/>
      <c r="J60" s="10"/>
      <c r="AV60" s="15" t="s">
        <v>181</v>
      </c>
      <c r="AW60" s="15" t="s">
        <v>182</v>
      </c>
      <c r="AX60" s="15" t="s">
        <v>347</v>
      </c>
      <c r="BH60" s="15" t="s">
        <v>184</v>
      </c>
      <c r="BI60" s="15" t="s">
        <v>185</v>
      </c>
      <c r="BJ60" s="15" t="s">
        <v>186</v>
      </c>
      <c r="BK60" s="15" t="s">
        <v>187</v>
      </c>
      <c r="BL60" s="15" t="s">
        <v>188</v>
      </c>
      <c r="BM60" s="15" t="s">
        <v>189</v>
      </c>
      <c r="BN60" s="15" t="s">
        <v>190</v>
      </c>
      <c r="BO60" s="15" t="s">
        <v>191</v>
      </c>
      <c r="BR60" s="15" t="s">
        <v>192</v>
      </c>
      <c r="BS60" s="15" t="s">
        <v>193</v>
      </c>
      <c r="BT60" s="15" t="s">
        <v>194</v>
      </c>
      <c r="BU60" s="15" t="s">
        <v>195</v>
      </c>
      <c r="BV60" s="15" t="s">
        <v>196</v>
      </c>
      <c r="BW60" s="15" t="s">
        <v>251</v>
      </c>
      <c r="CB60" s="15" t="s">
        <v>129</v>
      </c>
      <c r="CC60" s="15">
        <v>1</v>
      </c>
      <c r="CN60" s="15" t="s">
        <v>198</v>
      </c>
      <c r="CW60" s="10">
        <v>2</v>
      </c>
      <c r="CX60" s="15" t="s">
        <v>348</v>
      </c>
    </row>
    <row r="61" spans="1:102" s="15" customFormat="1" x14ac:dyDescent="0.3">
      <c r="A61" s="11" t="s">
        <v>126</v>
      </c>
      <c r="B61" s="10" t="s">
        <v>349</v>
      </c>
      <c r="C61" s="12" t="s">
        <v>350</v>
      </c>
      <c r="D61" s="10">
        <v>12</v>
      </c>
      <c r="E61" s="13">
        <v>100000</v>
      </c>
      <c r="F61" s="14" t="s">
        <v>244</v>
      </c>
      <c r="G61" s="14" t="s">
        <v>244</v>
      </c>
      <c r="H61" s="15" t="s">
        <v>211</v>
      </c>
      <c r="I61" s="8"/>
      <c r="J61" s="10"/>
      <c r="AW61" s="15" t="s">
        <v>128</v>
      </c>
      <c r="AX61" s="15" t="s">
        <v>347</v>
      </c>
      <c r="BH61" s="15" t="s">
        <v>184</v>
      </c>
      <c r="BI61" s="15" t="s">
        <v>185</v>
      </c>
      <c r="BJ61" s="15" t="s">
        <v>186</v>
      </c>
      <c r="BK61" s="15" t="s">
        <v>187</v>
      </c>
      <c r="BL61" s="15" t="s">
        <v>188</v>
      </c>
      <c r="BM61" s="15" t="s">
        <v>189</v>
      </c>
      <c r="BN61" s="15" t="s">
        <v>190</v>
      </c>
      <c r="BO61" s="15" t="s">
        <v>191</v>
      </c>
      <c r="BR61" s="15" t="s">
        <v>192</v>
      </c>
      <c r="BS61" s="15" t="s">
        <v>193</v>
      </c>
      <c r="BT61" s="15" t="s">
        <v>194</v>
      </c>
      <c r="BU61" s="15" t="s">
        <v>195</v>
      </c>
      <c r="BV61" s="15" t="s">
        <v>196</v>
      </c>
      <c r="BW61" s="15" t="s">
        <v>251</v>
      </c>
      <c r="CB61" s="15" t="s">
        <v>128</v>
      </c>
      <c r="CC61" s="15">
        <v>1</v>
      </c>
      <c r="CN61" s="15" t="s">
        <v>198</v>
      </c>
      <c r="CW61" s="10">
        <v>2</v>
      </c>
      <c r="CX61" s="15" t="s">
        <v>351</v>
      </c>
    </row>
    <row r="62" spans="1:102" s="15" customFormat="1" x14ac:dyDescent="0.3">
      <c r="A62" s="11" t="s">
        <v>126</v>
      </c>
      <c r="B62" s="10" t="s">
        <v>352</v>
      </c>
      <c r="C62" s="12" t="s">
        <v>353</v>
      </c>
      <c r="D62" s="10">
        <v>12</v>
      </c>
      <c r="E62" s="13">
        <v>100000</v>
      </c>
      <c r="F62" s="14" t="s">
        <v>244</v>
      </c>
      <c r="G62" s="14" t="s">
        <v>244</v>
      </c>
      <c r="H62" s="15" t="s">
        <v>211</v>
      </c>
      <c r="I62" s="8"/>
      <c r="J62" s="10"/>
      <c r="AW62" s="15" t="s">
        <v>128</v>
      </c>
      <c r="AX62" s="15" t="s">
        <v>347</v>
      </c>
      <c r="BH62" s="15" t="s">
        <v>184</v>
      </c>
      <c r="BI62" s="15" t="s">
        <v>185</v>
      </c>
      <c r="BJ62" s="15" t="s">
        <v>186</v>
      </c>
      <c r="BK62" s="15" t="s">
        <v>187</v>
      </c>
      <c r="BL62" s="15" t="s">
        <v>188</v>
      </c>
      <c r="BM62" s="15" t="s">
        <v>189</v>
      </c>
      <c r="BN62" s="15" t="s">
        <v>190</v>
      </c>
      <c r="BO62" s="15" t="s">
        <v>191</v>
      </c>
      <c r="BR62" s="15" t="s">
        <v>192</v>
      </c>
      <c r="BS62" s="15" t="s">
        <v>193</v>
      </c>
      <c r="BT62" s="15" t="s">
        <v>194</v>
      </c>
      <c r="BU62" s="15" t="s">
        <v>195</v>
      </c>
      <c r="BV62" s="15" t="s">
        <v>196</v>
      </c>
      <c r="BW62" s="15" t="s">
        <v>251</v>
      </c>
      <c r="CB62" s="15" t="s">
        <v>128</v>
      </c>
      <c r="CC62" s="15">
        <v>1</v>
      </c>
      <c r="CN62" s="15" t="s">
        <v>198</v>
      </c>
      <c r="CW62" s="10">
        <v>2</v>
      </c>
      <c r="CX62" s="15" t="s">
        <v>354</v>
      </c>
    </row>
    <row r="63" spans="1:102" s="15" customFormat="1" x14ac:dyDescent="0.3">
      <c r="A63" s="11" t="s">
        <v>126</v>
      </c>
      <c r="B63" s="10" t="s">
        <v>355</v>
      </c>
      <c r="C63" s="12" t="s">
        <v>360</v>
      </c>
      <c r="D63" s="10">
        <v>12</v>
      </c>
      <c r="E63" s="13">
        <v>100000</v>
      </c>
      <c r="F63" s="14" t="s">
        <v>243</v>
      </c>
      <c r="G63" s="14" t="s">
        <v>244</v>
      </c>
      <c r="H63" s="15" t="s">
        <v>326</v>
      </c>
      <c r="I63" s="8"/>
      <c r="J63" s="10"/>
      <c r="AV63" s="15" t="s">
        <v>181</v>
      </c>
      <c r="AW63" s="15" t="s">
        <v>182</v>
      </c>
      <c r="AX63" s="15" t="s">
        <v>356</v>
      </c>
      <c r="AY63" s="15" t="s">
        <v>357</v>
      </c>
      <c r="BH63" s="15" t="s">
        <v>184</v>
      </c>
      <c r="BI63" s="15" t="s">
        <v>185</v>
      </c>
      <c r="BJ63" s="15" t="s">
        <v>186</v>
      </c>
      <c r="BK63" s="15" t="s">
        <v>187</v>
      </c>
      <c r="BL63" s="15" t="s">
        <v>188</v>
      </c>
      <c r="BM63" s="15" t="s">
        <v>189</v>
      </c>
      <c r="BN63" s="15" t="s">
        <v>190</v>
      </c>
      <c r="BO63" s="15" t="s">
        <v>191</v>
      </c>
      <c r="BR63" s="15" t="s">
        <v>192</v>
      </c>
      <c r="BS63" s="15" t="s">
        <v>193</v>
      </c>
      <c r="BT63" s="15" t="s">
        <v>194</v>
      </c>
      <c r="BU63" s="15" t="s">
        <v>195</v>
      </c>
      <c r="BV63" s="15" t="s">
        <v>196</v>
      </c>
      <c r="BW63" s="15" t="s">
        <v>251</v>
      </c>
      <c r="CB63" s="15" t="s">
        <v>129</v>
      </c>
      <c r="CC63" s="15">
        <v>1</v>
      </c>
      <c r="CN63" s="15" t="s">
        <v>198</v>
      </c>
      <c r="CW63" s="10">
        <v>2</v>
      </c>
      <c r="CX63" s="15" t="s">
        <v>358</v>
      </c>
    </row>
    <row r="64" spans="1:102" s="15" customFormat="1" x14ac:dyDescent="0.3">
      <c r="A64" s="11" t="s">
        <v>126</v>
      </c>
      <c r="B64" s="10" t="s">
        <v>359</v>
      </c>
      <c r="C64" s="12" t="s">
        <v>360</v>
      </c>
      <c r="D64" s="10">
        <v>12</v>
      </c>
      <c r="E64" s="13">
        <v>100000</v>
      </c>
      <c r="F64" s="14" t="s">
        <v>244</v>
      </c>
      <c r="G64" s="14" t="s">
        <v>244</v>
      </c>
      <c r="H64" s="15" t="s">
        <v>326</v>
      </c>
      <c r="I64" s="8"/>
      <c r="J64" s="10"/>
      <c r="AW64" s="15" t="s">
        <v>128</v>
      </c>
      <c r="AX64" s="15" t="s">
        <v>356</v>
      </c>
      <c r="AY64" s="15" t="s">
        <v>357</v>
      </c>
      <c r="BH64" s="15" t="s">
        <v>184</v>
      </c>
      <c r="BI64" s="15" t="s">
        <v>185</v>
      </c>
      <c r="BJ64" s="15" t="s">
        <v>186</v>
      </c>
      <c r="BK64" s="15" t="s">
        <v>187</v>
      </c>
      <c r="BL64" s="15" t="s">
        <v>188</v>
      </c>
      <c r="BM64" s="15" t="s">
        <v>189</v>
      </c>
      <c r="BN64" s="15" t="s">
        <v>190</v>
      </c>
      <c r="BO64" s="15" t="s">
        <v>191</v>
      </c>
      <c r="BR64" s="15" t="s">
        <v>192</v>
      </c>
      <c r="BS64" s="15" t="s">
        <v>193</v>
      </c>
      <c r="BT64" s="15" t="s">
        <v>194</v>
      </c>
      <c r="BU64" s="15" t="s">
        <v>195</v>
      </c>
      <c r="BV64" s="15" t="s">
        <v>196</v>
      </c>
      <c r="BW64" s="15" t="s">
        <v>251</v>
      </c>
      <c r="CB64" s="15" t="s">
        <v>128</v>
      </c>
      <c r="CC64" s="15">
        <v>1</v>
      </c>
      <c r="CN64" s="15" t="s">
        <v>198</v>
      </c>
      <c r="CW64" s="10">
        <v>2</v>
      </c>
      <c r="CX64" s="15" t="s">
        <v>361</v>
      </c>
    </row>
    <row r="65" spans="1:102" s="15" customFormat="1" x14ac:dyDescent="0.3">
      <c r="A65" s="11" t="s">
        <v>126</v>
      </c>
      <c r="B65" s="10" t="s">
        <v>362</v>
      </c>
      <c r="C65" s="12" t="s">
        <v>363</v>
      </c>
      <c r="D65" s="10">
        <v>12</v>
      </c>
      <c r="E65" s="13">
        <v>100000</v>
      </c>
      <c r="F65" s="14" t="s">
        <v>244</v>
      </c>
      <c r="G65" s="14" t="s">
        <v>244</v>
      </c>
      <c r="H65" s="15" t="s">
        <v>326</v>
      </c>
      <c r="I65" s="8"/>
      <c r="J65" s="10"/>
      <c r="AW65" s="15" t="s">
        <v>128</v>
      </c>
      <c r="AX65" s="15" t="s">
        <v>356</v>
      </c>
      <c r="AY65" s="15" t="s">
        <v>357</v>
      </c>
      <c r="BH65" s="15" t="s">
        <v>184</v>
      </c>
      <c r="BI65" s="15" t="s">
        <v>185</v>
      </c>
      <c r="BJ65" s="15" t="s">
        <v>186</v>
      </c>
      <c r="BK65" s="15" t="s">
        <v>187</v>
      </c>
      <c r="BL65" s="15" t="s">
        <v>188</v>
      </c>
      <c r="BM65" s="15" t="s">
        <v>189</v>
      </c>
      <c r="BN65" s="15" t="s">
        <v>190</v>
      </c>
      <c r="BO65" s="15" t="s">
        <v>191</v>
      </c>
      <c r="BR65" s="15" t="s">
        <v>192</v>
      </c>
      <c r="BS65" s="15" t="s">
        <v>193</v>
      </c>
      <c r="BT65" s="15" t="s">
        <v>194</v>
      </c>
      <c r="BU65" s="15" t="s">
        <v>195</v>
      </c>
      <c r="BV65" s="15" t="s">
        <v>196</v>
      </c>
      <c r="BW65" s="15" t="s">
        <v>251</v>
      </c>
      <c r="CB65" s="15" t="s">
        <v>128</v>
      </c>
      <c r="CC65" s="15">
        <v>1</v>
      </c>
      <c r="CN65" s="15" t="s">
        <v>198</v>
      </c>
      <c r="CW65" s="10">
        <v>2</v>
      </c>
      <c r="CX65" s="15" t="s">
        <v>364</v>
      </c>
    </row>
    <row r="66" spans="1:102" s="15" customFormat="1" x14ac:dyDescent="0.3">
      <c r="A66" s="11" t="s">
        <v>126</v>
      </c>
      <c r="B66" s="10" t="s">
        <v>365</v>
      </c>
      <c r="C66" s="12" t="s">
        <v>369</v>
      </c>
      <c r="D66" s="10">
        <v>12</v>
      </c>
      <c r="E66" s="13">
        <v>100000</v>
      </c>
      <c r="F66" s="14" t="s">
        <v>243</v>
      </c>
      <c r="G66" s="14" t="s">
        <v>244</v>
      </c>
      <c r="H66" s="15" t="s">
        <v>211</v>
      </c>
      <c r="I66" s="8"/>
      <c r="J66" s="10"/>
      <c r="AV66" s="15" t="s">
        <v>181</v>
      </c>
      <c r="AW66" s="15" t="s">
        <v>182</v>
      </c>
      <c r="AX66" s="15" t="s">
        <v>366</v>
      </c>
      <c r="BH66" s="15" t="s">
        <v>184</v>
      </c>
      <c r="BI66" s="15" t="s">
        <v>185</v>
      </c>
      <c r="BJ66" s="15" t="s">
        <v>186</v>
      </c>
      <c r="BK66" s="15" t="s">
        <v>187</v>
      </c>
      <c r="BL66" s="15" t="s">
        <v>188</v>
      </c>
      <c r="BM66" s="15" t="s">
        <v>189</v>
      </c>
      <c r="BN66" s="15" t="s">
        <v>190</v>
      </c>
      <c r="BO66" s="15" t="s">
        <v>191</v>
      </c>
      <c r="BR66" s="15" t="s">
        <v>192</v>
      </c>
      <c r="BS66" s="15" t="s">
        <v>193</v>
      </c>
      <c r="BT66" s="15" t="s">
        <v>194</v>
      </c>
      <c r="BU66" s="15" t="s">
        <v>195</v>
      </c>
      <c r="BV66" s="15" t="s">
        <v>196</v>
      </c>
      <c r="BW66" s="15" t="s">
        <v>251</v>
      </c>
      <c r="CB66" s="15" t="s">
        <v>129</v>
      </c>
      <c r="CC66" s="15">
        <v>1</v>
      </c>
      <c r="CN66" s="15" t="s">
        <v>198</v>
      </c>
      <c r="CW66" s="10">
        <v>2</v>
      </c>
      <c r="CX66" s="15" t="s">
        <v>367</v>
      </c>
    </row>
    <row r="67" spans="1:102" s="15" customFormat="1" x14ac:dyDescent="0.3">
      <c r="A67" s="11" t="s">
        <v>126</v>
      </c>
      <c r="B67" s="10" t="s">
        <v>368</v>
      </c>
      <c r="C67" s="12" t="s">
        <v>369</v>
      </c>
      <c r="D67" s="10">
        <v>12</v>
      </c>
      <c r="E67" s="13">
        <v>100000</v>
      </c>
      <c r="F67" s="14" t="s">
        <v>244</v>
      </c>
      <c r="G67" s="14" t="s">
        <v>244</v>
      </c>
      <c r="H67" s="15" t="s">
        <v>211</v>
      </c>
      <c r="I67" s="8"/>
      <c r="J67" s="10"/>
      <c r="AW67" s="15" t="s">
        <v>128</v>
      </c>
      <c r="AX67" s="15" t="s">
        <v>366</v>
      </c>
      <c r="BH67" s="15" t="s">
        <v>184</v>
      </c>
      <c r="BI67" s="15" t="s">
        <v>185</v>
      </c>
      <c r="BJ67" s="15" t="s">
        <v>186</v>
      </c>
      <c r="BK67" s="15" t="s">
        <v>187</v>
      </c>
      <c r="BL67" s="15" t="s">
        <v>188</v>
      </c>
      <c r="BM67" s="15" t="s">
        <v>189</v>
      </c>
      <c r="BN67" s="15" t="s">
        <v>190</v>
      </c>
      <c r="BO67" s="15" t="s">
        <v>191</v>
      </c>
      <c r="BR67" s="15" t="s">
        <v>192</v>
      </c>
      <c r="BS67" s="15" t="s">
        <v>193</v>
      </c>
      <c r="BT67" s="15" t="s">
        <v>194</v>
      </c>
      <c r="BU67" s="15" t="s">
        <v>195</v>
      </c>
      <c r="BV67" s="15" t="s">
        <v>196</v>
      </c>
      <c r="BW67" s="15" t="s">
        <v>251</v>
      </c>
      <c r="CB67" s="15" t="s">
        <v>128</v>
      </c>
      <c r="CC67" s="15">
        <v>1</v>
      </c>
      <c r="CN67" s="15" t="s">
        <v>198</v>
      </c>
      <c r="CW67" s="10">
        <v>2</v>
      </c>
      <c r="CX67" s="15" t="s">
        <v>370</v>
      </c>
    </row>
    <row r="68" spans="1:102" s="15" customFormat="1" x14ac:dyDescent="0.3">
      <c r="A68" s="11" t="s">
        <v>126</v>
      </c>
      <c r="B68" s="10" t="s">
        <v>371</v>
      </c>
      <c r="C68" s="12" t="s">
        <v>372</v>
      </c>
      <c r="D68" s="10">
        <v>12</v>
      </c>
      <c r="E68" s="13">
        <v>100000</v>
      </c>
      <c r="F68" s="14" t="s">
        <v>244</v>
      </c>
      <c r="G68" s="14" t="s">
        <v>244</v>
      </c>
      <c r="H68" s="15" t="s">
        <v>211</v>
      </c>
      <c r="I68" s="8"/>
      <c r="J68" s="10"/>
      <c r="AW68" s="15" t="s">
        <v>128</v>
      </c>
      <c r="AX68" s="15" t="s">
        <v>366</v>
      </c>
      <c r="BH68" s="15" t="s">
        <v>184</v>
      </c>
      <c r="BI68" s="15" t="s">
        <v>185</v>
      </c>
      <c r="BJ68" s="15" t="s">
        <v>186</v>
      </c>
      <c r="BK68" s="15" t="s">
        <v>187</v>
      </c>
      <c r="BL68" s="15" t="s">
        <v>188</v>
      </c>
      <c r="BM68" s="15" t="s">
        <v>189</v>
      </c>
      <c r="BN68" s="15" t="s">
        <v>190</v>
      </c>
      <c r="BO68" s="15" t="s">
        <v>191</v>
      </c>
      <c r="BR68" s="15" t="s">
        <v>192</v>
      </c>
      <c r="BS68" s="15" t="s">
        <v>193</v>
      </c>
      <c r="BT68" s="15" t="s">
        <v>194</v>
      </c>
      <c r="BU68" s="15" t="s">
        <v>195</v>
      </c>
      <c r="BV68" s="15" t="s">
        <v>196</v>
      </c>
      <c r="BW68" s="15" t="s">
        <v>251</v>
      </c>
      <c r="CB68" s="15" t="s">
        <v>128</v>
      </c>
      <c r="CC68" s="15">
        <v>1</v>
      </c>
      <c r="CN68" s="15" t="s">
        <v>198</v>
      </c>
      <c r="CW68" s="10">
        <v>2</v>
      </c>
      <c r="CX68" s="15" t="s">
        <v>373</v>
      </c>
    </row>
    <row r="69" spans="1:102" s="15" customFormat="1" x14ac:dyDescent="0.3">
      <c r="A69" s="11" t="s">
        <v>126</v>
      </c>
      <c r="B69" s="10" t="s">
        <v>374</v>
      </c>
      <c r="C69" s="12" t="s">
        <v>379</v>
      </c>
      <c r="D69" s="10">
        <v>12</v>
      </c>
      <c r="E69" s="13">
        <v>100000</v>
      </c>
      <c r="F69" s="14" t="s">
        <v>243</v>
      </c>
      <c r="G69" s="14" t="s">
        <v>244</v>
      </c>
      <c r="H69" s="15" t="s">
        <v>326</v>
      </c>
      <c r="I69" s="8"/>
      <c r="J69" s="10"/>
      <c r="AV69" s="15" t="s">
        <v>181</v>
      </c>
      <c r="AW69" s="15" t="s">
        <v>182</v>
      </c>
      <c r="AX69" s="15" t="s">
        <v>375</v>
      </c>
      <c r="AY69" s="15" t="s">
        <v>376</v>
      </c>
      <c r="BH69" s="15" t="s">
        <v>184</v>
      </c>
      <c r="BI69" s="15" t="s">
        <v>185</v>
      </c>
      <c r="BJ69" s="15" t="s">
        <v>186</v>
      </c>
      <c r="BK69" s="15" t="s">
        <v>187</v>
      </c>
      <c r="BL69" s="15" t="s">
        <v>188</v>
      </c>
      <c r="BM69" s="15" t="s">
        <v>189</v>
      </c>
      <c r="BN69" s="15" t="s">
        <v>190</v>
      </c>
      <c r="BO69" s="15" t="s">
        <v>191</v>
      </c>
      <c r="BR69" s="15" t="s">
        <v>192</v>
      </c>
      <c r="BS69" s="15" t="s">
        <v>193</v>
      </c>
      <c r="BT69" s="15" t="s">
        <v>194</v>
      </c>
      <c r="BU69" s="15" t="s">
        <v>195</v>
      </c>
      <c r="BV69" s="15" t="s">
        <v>196</v>
      </c>
      <c r="BW69" s="15" t="s">
        <v>251</v>
      </c>
      <c r="CB69" s="15" t="s">
        <v>129</v>
      </c>
      <c r="CC69" s="15">
        <v>1</v>
      </c>
      <c r="CN69" s="15" t="s">
        <v>198</v>
      </c>
      <c r="CW69" s="10">
        <v>2</v>
      </c>
      <c r="CX69" s="15" t="s">
        <v>377</v>
      </c>
    </row>
    <row r="70" spans="1:102" s="15" customFormat="1" x14ac:dyDescent="0.3">
      <c r="A70" s="11" t="s">
        <v>126</v>
      </c>
      <c r="B70" s="10" t="s">
        <v>378</v>
      </c>
      <c r="C70" s="12" t="s">
        <v>379</v>
      </c>
      <c r="D70" s="10">
        <v>12</v>
      </c>
      <c r="E70" s="13">
        <v>100000</v>
      </c>
      <c r="F70" s="14" t="s">
        <v>244</v>
      </c>
      <c r="G70" s="14" t="s">
        <v>244</v>
      </c>
      <c r="H70" s="15" t="s">
        <v>326</v>
      </c>
      <c r="I70" s="8"/>
      <c r="J70" s="10"/>
      <c r="AW70" s="15" t="s">
        <v>128</v>
      </c>
      <c r="AX70" s="15" t="s">
        <v>375</v>
      </c>
      <c r="AY70" s="15" t="s">
        <v>376</v>
      </c>
      <c r="BH70" s="15" t="s">
        <v>184</v>
      </c>
      <c r="BI70" s="15" t="s">
        <v>185</v>
      </c>
      <c r="BJ70" s="15" t="s">
        <v>186</v>
      </c>
      <c r="BK70" s="15" t="s">
        <v>187</v>
      </c>
      <c r="BL70" s="15" t="s">
        <v>188</v>
      </c>
      <c r="BM70" s="15" t="s">
        <v>189</v>
      </c>
      <c r="BN70" s="15" t="s">
        <v>190</v>
      </c>
      <c r="BO70" s="15" t="s">
        <v>191</v>
      </c>
      <c r="BR70" s="15" t="s">
        <v>192</v>
      </c>
      <c r="BS70" s="15" t="s">
        <v>193</v>
      </c>
      <c r="BT70" s="15" t="s">
        <v>194</v>
      </c>
      <c r="BU70" s="15" t="s">
        <v>195</v>
      </c>
      <c r="BV70" s="15" t="s">
        <v>196</v>
      </c>
      <c r="BW70" s="15" t="s">
        <v>251</v>
      </c>
      <c r="CB70" s="15" t="s">
        <v>128</v>
      </c>
      <c r="CC70" s="15">
        <v>1</v>
      </c>
      <c r="CN70" s="15" t="s">
        <v>198</v>
      </c>
      <c r="CW70" s="10">
        <v>2</v>
      </c>
      <c r="CX70" s="15" t="s">
        <v>380</v>
      </c>
    </row>
    <row r="71" spans="1:102" s="15" customFormat="1" x14ac:dyDescent="0.3">
      <c r="A71" s="11" t="s">
        <v>126</v>
      </c>
      <c r="B71" s="10" t="s">
        <v>381</v>
      </c>
      <c r="C71" s="12" t="s">
        <v>382</v>
      </c>
      <c r="D71" s="10">
        <v>12</v>
      </c>
      <c r="E71" s="13">
        <v>100000</v>
      </c>
      <c r="F71" s="14" t="s">
        <v>244</v>
      </c>
      <c r="G71" s="14" t="s">
        <v>244</v>
      </c>
      <c r="H71" s="15" t="s">
        <v>326</v>
      </c>
      <c r="I71" s="8"/>
      <c r="J71" s="10"/>
      <c r="AW71" s="15" t="s">
        <v>128</v>
      </c>
      <c r="AX71" s="15" t="s">
        <v>375</v>
      </c>
      <c r="AY71" s="15" t="s">
        <v>376</v>
      </c>
      <c r="BH71" s="15" t="s">
        <v>184</v>
      </c>
      <c r="BI71" s="15" t="s">
        <v>185</v>
      </c>
      <c r="BJ71" s="15" t="s">
        <v>186</v>
      </c>
      <c r="BK71" s="15" t="s">
        <v>187</v>
      </c>
      <c r="BL71" s="15" t="s">
        <v>188</v>
      </c>
      <c r="BM71" s="15" t="s">
        <v>189</v>
      </c>
      <c r="BN71" s="15" t="s">
        <v>190</v>
      </c>
      <c r="BO71" s="15" t="s">
        <v>191</v>
      </c>
      <c r="BR71" s="15" t="s">
        <v>192</v>
      </c>
      <c r="BS71" s="15" t="s">
        <v>193</v>
      </c>
      <c r="BT71" s="15" t="s">
        <v>194</v>
      </c>
      <c r="BU71" s="15" t="s">
        <v>195</v>
      </c>
      <c r="BV71" s="15" t="s">
        <v>196</v>
      </c>
      <c r="BW71" s="15" t="s">
        <v>251</v>
      </c>
      <c r="CB71" s="15" t="s">
        <v>128</v>
      </c>
      <c r="CC71" s="15">
        <v>1</v>
      </c>
      <c r="CN71" s="15" t="s">
        <v>198</v>
      </c>
      <c r="CW71" s="10">
        <v>2</v>
      </c>
      <c r="CX71" s="15" t="s">
        <v>383</v>
      </c>
    </row>
    <row r="72" spans="1:102" s="15" customFormat="1" x14ac:dyDescent="0.3">
      <c r="A72" s="11" t="s">
        <v>126</v>
      </c>
      <c r="B72" s="10" t="s">
        <v>384</v>
      </c>
      <c r="C72" s="12" t="s">
        <v>387</v>
      </c>
      <c r="D72" s="10">
        <v>12</v>
      </c>
      <c r="E72" s="13">
        <v>100000</v>
      </c>
      <c r="F72" s="14" t="s">
        <v>243</v>
      </c>
      <c r="G72" s="14" t="s">
        <v>244</v>
      </c>
      <c r="H72" s="15" t="s">
        <v>211</v>
      </c>
      <c r="I72" s="8"/>
      <c r="J72" s="10"/>
      <c r="AV72" s="15" t="s">
        <v>181</v>
      </c>
      <c r="AW72" s="15" t="s">
        <v>182</v>
      </c>
      <c r="AX72" s="15" t="s">
        <v>250</v>
      </c>
      <c r="BH72" s="15" t="s">
        <v>184</v>
      </c>
      <c r="BI72" s="15" t="s">
        <v>185</v>
      </c>
      <c r="BJ72" s="15" t="s">
        <v>186</v>
      </c>
      <c r="BK72" s="15" t="s">
        <v>187</v>
      </c>
      <c r="BL72" s="15" t="s">
        <v>188</v>
      </c>
      <c r="BM72" s="15" t="s">
        <v>189</v>
      </c>
      <c r="BN72" s="15" t="s">
        <v>190</v>
      </c>
      <c r="BO72" s="15" t="s">
        <v>191</v>
      </c>
      <c r="BR72" s="15" t="s">
        <v>192</v>
      </c>
      <c r="BS72" s="15" t="s">
        <v>193</v>
      </c>
      <c r="BT72" s="15" t="s">
        <v>194</v>
      </c>
      <c r="BU72" s="15" t="s">
        <v>195</v>
      </c>
      <c r="BV72" s="15" t="s">
        <v>196</v>
      </c>
      <c r="BW72" s="15" t="s">
        <v>251</v>
      </c>
      <c r="CB72" s="15" t="s">
        <v>129</v>
      </c>
      <c r="CC72" s="15">
        <v>1</v>
      </c>
      <c r="CN72" s="15" t="s">
        <v>198</v>
      </c>
      <c r="CW72" s="10">
        <v>2</v>
      </c>
      <c r="CX72" s="15" t="s">
        <v>385</v>
      </c>
    </row>
    <row r="73" spans="1:102" s="15" customFormat="1" x14ac:dyDescent="0.3">
      <c r="A73" s="11" t="s">
        <v>126</v>
      </c>
      <c r="B73" s="10" t="s">
        <v>386</v>
      </c>
      <c r="C73" s="12" t="s">
        <v>387</v>
      </c>
      <c r="D73" s="10">
        <v>12</v>
      </c>
      <c r="E73" s="13">
        <v>100000</v>
      </c>
      <c r="F73" s="14" t="s">
        <v>244</v>
      </c>
      <c r="G73" s="14" t="s">
        <v>244</v>
      </c>
      <c r="H73" s="15" t="s">
        <v>211</v>
      </c>
      <c r="I73" s="8"/>
      <c r="J73" s="10"/>
      <c r="AW73" s="15" t="s">
        <v>128</v>
      </c>
      <c r="AX73" s="15" t="s">
        <v>250</v>
      </c>
      <c r="BH73" s="15" t="s">
        <v>184</v>
      </c>
      <c r="BI73" s="15" t="s">
        <v>185</v>
      </c>
      <c r="BJ73" s="15" t="s">
        <v>186</v>
      </c>
      <c r="BK73" s="15" t="s">
        <v>187</v>
      </c>
      <c r="BL73" s="15" t="s">
        <v>188</v>
      </c>
      <c r="BM73" s="15" t="s">
        <v>189</v>
      </c>
      <c r="BN73" s="15" t="s">
        <v>190</v>
      </c>
      <c r="BO73" s="15" t="s">
        <v>191</v>
      </c>
      <c r="BR73" s="15" t="s">
        <v>192</v>
      </c>
      <c r="BS73" s="15" t="s">
        <v>193</v>
      </c>
      <c r="BT73" s="15" t="s">
        <v>194</v>
      </c>
      <c r="BU73" s="15" t="s">
        <v>195</v>
      </c>
      <c r="BV73" s="15" t="s">
        <v>196</v>
      </c>
      <c r="BW73" s="15" t="s">
        <v>251</v>
      </c>
      <c r="CB73" s="15" t="s">
        <v>128</v>
      </c>
      <c r="CC73" s="15">
        <v>1</v>
      </c>
      <c r="CN73" s="15" t="s">
        <v>198</v>
      </c>
      <c r="CW73" s="10">
        <v>2</v>
      </c>
      <c r="CX73" s="15" t="s">
        <v>388</v>
      </c>
    </row>
    <row r="74" spans="1:102" s="15" customFormat="1" x14ac:dyDescent="0.3">
      <c r="A74" s="11" t="s">
        <v>126</v>
      </c>
      <c r="B74" s="10" t="s">
        <v>389</v>
      </c>
      <c r="C74" s="12" t="s">
        <v>390</v>
      </c>
      <c r="D74" s="10">
        <v>12</v>
      </c>
      <c r="E74" s="13">
        <v>100000</v>
      </c>
      <c r="F74" s="14" t="s">
        <v>244</v>
      </c>
      <c r="G74" s="14" t="s">
        <v>244</v>
      </c>
      <c r="H74" s="15" t="s">
        <v>211</v>
      </c>
      <c r="I74" s="8"/>
      <c r="J74" s="10"/>
      <c r="AW74" s="15" t="s">
        <v>128</v>
      </c>
      <c r="AX74" s="15" t="s">
        <v>250</v>
      </c>
      <c r="BH74" s="15" t="s">
        <v>184</v>
      </c>
      <c r="BI74" s="15" t="s">
        <v>185</v>
      </c>
      <c r="BJ74" s="15" t="s">
        <v>186</v>
      </c>
      <c r="BK74" s="15" t="s">
        <v>187</v>
      </c>
      <c r="BL74" s="15" t="s">
        <v>188</v>
      </c>
      <c r="BM74" s="15" t="s">
        <v>189</v>
      </c>
      <c r="BN74" s="15" t="s">
        <v>190</v>
      </c>
      <c r="BO74" s="15" t="s">
        <v>191</v>
      </c>
      <c r="BR74" s="15" t="s">
        <v>192</v>
      </c>
      <c r="BS74" s="15" t="s">
        <v>193</v>
      </c>
      <c r="BT74" s="15" t="s">
        <v>194</v>
      </c>
      <c r="BU74" s="15" t="s">
        <v>195</v>
      </c>
      <c r="BV74" s="15" t="s">
        <v>196</v>
      </c>
      <c r="BW74" s="15" t="s">
        <v>251</v>
      </c>
      <c r="CB74" s="15" t="s">
        <v>128</v>
      </c>
      <c r="CC74" s="15">
        <v>1</v>
      </c>
      <c r="CN74" s="15" t="s">
        <v>198</v>
      </c>
      <c r="CW74" s="10">
        <v>2</v>
      </c>
      <c r="CX74" s="15" t="s">
        <v>391</v>
      </c>
    </row>
    <row r="75" spans="1:102" s="15" customFormat="1" x14ac:dyDescent="0.3">
      <c r="A75" s="11" t="s">
        <v>126</v>
      </c>
      <c r="B75" s="10" t="s">
        <v>392</v>
      </c>
      <c r="C75" s="12" t="s">
        <v>978</v>
      </c>
      <c r="D75" s="10">
        <v>12</v>
      </c>
      <c r="E75" s="13">
        <v>100000</v>
      </c>
      <c r="F75" s="14" t="s">
        <v>243</v>
      </c>
      <c r="G75" s="14" t="s">
        <v>244</v>
      </c>
      <c r="H75" s="15" t="s">
        <v>211</v>
      </c>
      <c r="I75" s="8"/>
      <c r="J75" s="10"/>
      <c r="AV75" s="15" t="s">
        <v>181</v>
      </c>
      <c r="AW75" s="15" t="s">
        <v>182</v>
      </c>
      <c r="AX75" s="15" t="s">
        <v>393</v>
      </c>
      <c r="BH75" s="15" t="s">
        <v>184</v>
      </c>
      <c r="BI75" s="15" t="s">
        <v>185</v>
      </c>
      <c r="BJ75" s="15" t="s">
        <v>186</v>
      </c>
      <c r="BK75" s="15" t="s">
        <v>187</v>
      </c>
      <c r="BL75" s="15" t="s">
        <v>188</v>
      </c>
      <c r="BM75" s="15" t="s">
        <v>189</v>
      </c>
      <c r="BN75" s="15" t="s">
        <v>190</v>
      </c>
      <c r="BO75" s="15" t="s">
        <v>191</v>
      </c>
      <c r="BR75" s="15" t="s">
        <v>192</v>
      </c>
      <c r="BS75" s="15" t="s">
        <v>193</v>
      </c>
      <c r="BT75" s="15" t="s">
        <v>194</v>
      </c>
      <c r="BU75" s="15" t="s">
        <v>195</v>
      </c>
      <c r="BV75" s="15" t="s">
        <v>196</v>
      </c>
      <c r="BW75" s="15" t="s">
        <v>251</v>
      </c>
      <c r="CB75" s="15" t="s">
        <v>129</v>
      </c>
      <c r="CC75" s="15">
        <v>1</v>
      </c>
      <c r="CN75" s="15" t="s">
        <v>198</v>
      </c>
      <c r="CW75" s="10">
        <v>2</v>
      </c>
      <c r="CX75" s="15" t="s">
        <v>394</v>
      </c>
    </row>
    <row r="76" spans="1:102" s="15" customFormat="1" x14ac:dyDescent="0.3">
      <c r="A76" s="11" t="s">
        <v>126</v>
      </c>
      <c r="B76" s="10" t="s">
        <v>395</v>
      </c>
      <c r="C76" s="12" t="s">
        <v>3606</v>
      </c>
      <c r="D76" s="10">
        <v>12</v>
      </c>
      <c r="E76" s="13">
        <v>100000</v>
      </c>
      <c r="F76" s="14" t="s">
        <v>243</v>
      </c>
      <c r="G76" s="14" t="s">
        <v>244</v>
      </c>
      <c r="H76" s="15" t="s">
        <v>211</v>
      </c>
      <c r="I76" s="8"/>
      <c r="J76" s="10"/>
      <c r="AV76" s="15" t="s">
        <v>181</v>
      </c>
      <c r="AW76" s="15" t="s">
        <v>182</v>
      </c>
      <c r="AX76" s="15" t="s">
        <v>396</v>
      </c>
      <c r="BH76" s="15" t="s">
        <v>184</v>
      </c>
      <c r="BI76" s="15" t="s">
        <v>185</v>
      </c>
      <c r="BJ76" s="15" t="s">
        <v>186</v>
      </c>
      <c r="BK76" s="15" t="s">
        <v>187</v>
      </c>
      <c r="BL76" s="15" t="s">
        <v>188</v>
      </c>
      <c r="BM76" s="15" t="s">
        <v>189</v>
      </c>
      <c r="BN76" s="15" t="s">
        <v>190</v>
      </c>
      <c r="BO76" s="15" t="s">
        <v>191</v>
      </c>
      <c r="BR76" s="15" t="s">
        <v>192</v>
      </c>
      <c r="BS76" s="15" t="s">
        <v>193</v>
      </c>
      <c r="BT76" s="15" t="s">
        <v>194</v>
      </c>
      <c r="BU76" s="15" t="s">
        <v>195</v>
      </c>
      <c r="BV76" s="15" t="s">
        <v>196</v>
      </c>
      <c r="BW76" s="15" t="s">
        <v>293</v>
      </c>
      <c r="CB76" s="15" t="s">
        <v>129</v>
      </c>
      <c r="CC76" s="15">
        <v>1</v>
      </c>
      <c r="CN76" s="15" t="s">
        <v>198</v>
      </c>
      <c r="CW76" s="10">
        <v>2</v>
      </c>
      <c r="CX76" s="15" t="s">
        <v>397</v>
      </c>
    </row>
    <row r="77" spans="1:102" s="15" customFormat="1" x14ac:dyDescent="0.3">
      <c r="A77" s="11" t="s">
        <v>126</v>
      </c>
      <c r="B77" s="10" t="s">
        <v>398</v>
      </c>
      <c r="C77" s="12" t="s">
        <v>3616</v>
      </c>
      <c r="D77" s="10">
        <v>12</v>
      </c>
      <c r="E77" s="13">
        <v>100000</v>
      </c>
      <c r="F77" s="14" t="s">
        <v>243</v>
      </c>
      <c r="G77" s="14" t="s">
        <v>244</v>
      </c>
      <c r="H77" s="15" t="s">
        <v>211</v>
      </c>
      <c r="I77" s="8"/>
      <c r="J77" s="10"/>
      <c r="AV77" s="15" t="s">
        <v>181</v>
      </c>
      <c r="AW77" s="15" t="s">
        <v>182</v>
      </c>
      <c r="AX77" s="15" t="s">
        <v>399</v>
      </c>
      <c r="BH77" s="15" t="s">
        <v>184</v>
      </c>
      <c r="BI77" s="15" t="s">
        <v>185</v>
      </c>
      <c r="BJ77" s="15" t="s">
        <v>186</v>
      </c>
      <c r="BK77" s="15" t="s">
        <v>187</v>
      </c>
      <c r="BL77" s="15" t="s">
        <v>188</v>
      </c>
      <c r="BM77" s="15" t="s">
        <v>189</v>
      </c>
      <c r="BN77" s="15" t="s">
        <v>190</v>
      </c>
      <c r="BO77" s="15" t="s">
        <v>191</v>
      </c>
      <c r="BR77" s="15" t="s">
        <v>192</v>
      </c>
      <c r="BS77" s="15" t="s">
        <v>193</v>
      </c>
      <c r="BT77" s="15" t="s">
        <v>194</v>
      </c>
      <c r="BU77" s="15" t="s">
        <v>195</v>
      </c>
      <c r="BV77" s="15" t="s">
        <v>196</v>
      </c>
      <c r="BW77" s="15" t="s">
        <v>289</v>
      </c>
      <c r="CB77" s="15" t="s">
        <v>129</v>
      </c>
      <c r="CC77" s="15">
        <v>1</v>
      </c>
      <c r="CN77" s="15" t="s">
        <v>198</v>
      </c>
      <c r="CW77" s="10">
        <v>2</v>
      </c>
      <c r="CX77" s="15" t="s">
        <v>400</v>
      </c>
    </row>
    <row r="78" spans="1:102" s="15" customFormat="1" x14ac:dyDescent="0.3">
      <c r="A78" s="11" t="s">
        <v>126</v>
      </c>
      <c r="B78" s="10" t="s">
        <v>401</v>
      </c>
      <c r="C78" s="12" t="s">
        <v>407</v>
      </c>
      <c r="D78" s="10">
        <v>12</v>
      </c>
      <c r="E78" s="13">
        <v>100000</v>
      </c>
      <c r="F78" s="14" t="s">
        <v>243</v>
      </c>
      <c r="G78" s="14" t="s">
        <v>244</v>
      </c>
      <c r="H78" s="15" t="s">
        <v>402</v>
      </c>
      <c r="I78" s="8"/>
      <c r="J78" s="10"/>
      <c r="AV78" s="15" t="s">
        <v>181</v>
      </c>
      <c r="AW78" s="15" t="s">
        <v>182</v>
      </c>
      <c r="AX78" s="15" t="s">
        <v>403</v>
      </c>
      <c r="BH78" s="15" t="s">
        <v>184</v>
      </c>
      <c r="BI78" s="15" t="s">
        <v>185</v>
      </c>
      <c r="BJ78" s="15" t="s">
        <v>186</v>
      </c>
      <c r="BK78" s="15" t="s">
        <v>187</v>
      </c>
      <c r="BL78" s="15" t="s">
        <v>188</v>
      </c>
      <c r="BM78" s="15" t="s">
        <v>189</v>
      </c>
      <c r="BN78" s="15" t="s">
        <v>190</v>
      </c>
      <c r="BO78" s="15" t="s">
        <v>191</v>
      </c>
      <c r="BR78" s="15" t="s">
        <v>192</v>
      </c>
      <c r="BS78" s="15" t="s">
        <v>193</v>
      </c>
      <c r="BT78" s="15" t="s">
        <v>194</v>
      </c>
      <c r="BU78" s="15" t="s">
        <v>195</v>
      </c>
      <c r="BV78" s="15" t="s">
        <v>196</v>
      </c>
      <c r="BW78" s="15" t="s">
        <v>404</v>
      </c>
      <c r="CB78" s="15" t="s">
        <v>129</v>
      </c>
      <c r="CC78" s="15">
        <v>1</v>
      </c>
      <c r="CN78" s="15" t="s">
        <v>198</v>
      </c>
      <c r="CW78" s="10">
        <v>2</v>
      </c>
      <c r="CX78" s="15" t="s">
        <v>405</v>
      </c>
    </row>
    <row r="79" spans="1:102" s="15" customFormat="1" x14ac:dyDescent="0.3">
      <c r="A79" s="11" t="s">
        <v>126</v>
      </c>
      <c r="B79" s="10" t="s">
        <v>406</v>
      </c>
      <c r="C79" s="12" t="s">
        <v>407</v>
      </c>
      <c r="D79" s="10">
        <v>12</v>
      </c>
      <c r="E79" s="13">
        <v>100000</v>
      </c>
      <c r="F79" s="14" t="s">
        <v>244</v>
      </c>
      <c r="G79" s="14" t="s">
        <v>244</v>
      </c>
      <c r="H79" s="15" t="s">
        <v>402</v>
      </c>
      <c r="I79" s="8"/>
      <c r="J79" s="10"/>
      <c r="AW79" s="15" t="s">
        <v>128</v>
      </c>
      <c r="AX79" s="15" t="s">
        <v>403</v>
      </c>
      <c r="BH79" s="15" t="s">
        <v>184</v>
      </c>
      <c r="BI79" s="15" t="s">
        <v>185</v>
      </c>
      <c r="BJ79" s="15" t="s">
        <v>186</v>
      </c>
      <c r="BK79" s="15" t="s">
        <v>187</v>
      </c>
      <c r="BL79" s="15" t="s">
        <v>188</v>
      </c>
      <c r="BM79" s="15" t="s">
        <v>189</v>
      </c>
      <c r="BN79" s="15" t="s">
        <v>190</v>
      </c>
      <c r="BO79" s="15" t="s">
        <v>191</v>
      </c>
      <c r="BR79" s="15" t="s">
        <v>192</v>
      </c>
      <c r="BS79" s="15" t="s">
        <v>193</v>
      </c>
      <c r="BT79" s="15" t="s">
        <v>194</v>
      </c>
      <c r="BU79" s="15" t="s">
        <v>195</v>
      </c>
      <c r="BV79" s="15" t="s">
        <v>196</v>
      </c>
      <c r="BW79" s="15" t="s">
        <v>404</v>
      </c>
      <c r="CB79" s="15" t="s">
        <v>128</v>
      </c>
      <c r="CC79" s="15">
        <v>1</v>
      </c>
      <c r="CN79" s="15" t="s">
        <v>198</v>
      </c>
      <c r="CW79" s="10">
        <v>2</v>
      </c>
      <c r="CX79" s="15" t="s">
        <v>408</v>
      </c>
    </row>
    <row r="80" spans="1:102" s="15" customFormat="1" x14ac:dyDescent="0.3">
      <c r="A80" s="11" t="s">
        <v>126</v>
      </c>
      <c r="B80" s="10" t="s">
        <v>409</v>
      </c>
      <c r="C80" s="12" t="s">
        <v>3788</v>
      </c>
      <c r="D80" s="10">
        <v>12</v>
      </c>
      <c r="E80" s="13">
        <v>1000000</v>
      </c>
      <c r="F80" s="14" t="s">
        <v>209</v>
      </c>
      <c r="G80" s="14" t="s">
        <v>210</v>
      </c>
      <c r="H80" s="15" t="s">
        <v>211</v>
      </c>
      <c r="I80" s="8"/>
      <c r="J80" s="10"/>
      <c r="AV80" s="15" t="s">
        <v>212</v>
      </c>
      <c r="AW80" s="15" t="s">
        <v>213</v>
      </c>
      <c r="AX80" s="15" t="s">
        <v>410</v>
      </c>
      <c r="BH80" s="15" t="s">
        <v>184</v>
      </c>
      <c r="BI80" s="15" t="s">
        <v>185</v>
      </c>
      <c r="BJ80" s="15" t="s">
        <v>186</v>
      </c>
      <c r="BK80" s="15" t="s">
        <v>187</v>
      </c>
      <c r="BL80" s="15" t="s">
        <v>188</v>
      </c>
      <c r="BM80" s="15" t="s">
        <v>189</v>
      </c>
      <c r="BN80" s="15" t="s">
        <v>190</v>
      </c>
      <c r="BO80" s="15" t="s">
        <v>191</v>
      </c>
      <c r="BR80" s="15" t="s">
        <v>192</v>
      </c>
      <c r="BS80" s="15" t="s">
        <v>193</v>
      </c>
      <c r="BT80" s="15" t="s">
        <v>194</v>
      </c>
      <c r="BU80" s="15" t="s">
        <v>195</v>
      </c>
      <c r="BV80" s="15" t="s">
        <v>196</v>
      </c>
      <c r="BW80" s="15" t="s">
        <v>196</v>
      </c>
      <c r="CB80" s="15" t="s">
        <v>129</v>
      </c>
      <c r="CC80" s="15">
        <v>1</v>
      </c>
      <c r="CN80" s="15" t="s">
        <v>198</v>
      </c>
      <c r="CW80" s="10">
        <v>2</v>
      </c>
      <c r="CX80" s="15" t="s">
        <v>411</v>
      </c>
    </row>
    <row r="81" spans="1:102" s="15" customFormat="1" x14ac:dyDescent="0.3">
      <c r="A81" s="11" t="s">
        <v>126</v>
      </c>
      <c r="B81" s="10" t="s">
        <v>412</v>
      </c>
      <c r="C81" s="12" t="s">
        <v>3789</v>
      </c>
      <c r="D81" s="10">
        <v>12</v>
      </c>
      <c r="E81" s="13">
        <v>1000000</v>
      </c>
      <c r="F81" s="14" t="s">
        <v>209</v>
      </c>
      <c r="G81" s="14" t="s">
        <v>210</v>
      </c>
      <c r="H81" s="15" t="s">
        <v>211</v>
      </c>
      <c r="I81" s="8"/>
      <c r="J81" s="10"/>
      <c r="AV81" s="15" t="s">
        <v>212</v>
      </c>
      <c r="AW81" s="15" t="s">
        <v>213</v>
      </c>
      <c r="AX81" s="15" t="s">
        <v>413</v>
      </c>
      <c r="BH81" s="15" t="s">
        <v>184</v>
      </c>
      <c r="BI81" s="15" t="s">
        <v>185</v>
      </c>
      <c r="BJ81" s="15" t="s">
        <v>186</v>
      </c>
      <c r="BK81" s="15" t="s">
        <v>187</v>
      </c>
      <c r="BL81" s="15" t="s">
        <v>188</v>
      </c>
      <c r="BM81" s="15" t="s">
        <v>189</v>
      </c>
      <c r="BN81" s="15" t="s">
        <v>190</v>
      </c>
      <c r="BO81" s="15" t="s">
        <v>191</v>
      </c>
      <c r="BR81" s="15" t="s">
        <v>192</v>
      </c>
      <c r="BS81" s="15" t="s">
        <v>193</v>
      </c>
      <c r="BT81" s="15" t="s">
        <v>194</v>
      </c>
      <c r="BU81" s="15" t="s">
        <v>195</v>
      </c>
      <c r="BV81" s="15" t="s">
        <v>196</v>
      </c>
      <c r="BW81" s="15" t="s">
        <v>196</v>
      </c>
      <c r="CB81" s="15" t="s">
        <v>129</v>
      </c>
      <c r="CC81" s="15">
        <v>1</v>
      </c>
      <c r="CN81" s="15" t="s">
        <v>198</v>
      </c>
      <c r="CW81" s="10">
        <v>2</v>
      </c>
      <c r="CX81" s="15" t="s">
        <v>414</v>
      </c>
    </row>
    <row r="82" spans="1:102" s="15" customFormat="1" x14ac:dyDescent="0.3">
      <c r="A82" s="11" t="s">
        <v>126</v>
      </c>
      <c r="B82" s="10" t="s">
        <v>415</v>
      </c>
      <c r="C82" s="12" t="s">
        <v>3790</v>
      </c>
      <c r="D82" s="10">
        <v>12</v>
      </c>
      <c r="E82" s="13">
        <v>1000000</v>
      </c>
      <c r="F82" s="14" t="s">
        <v>209</v>
      </c>
      <c r="G82" s="14" t="s">
        <v>210</v>
      </c>
      <c r="H82" s="15" t="s">
        <v>254</v>
      </c>
      <c r="I82" s="8"/>
      <c r="J82" s="10"/>
      <c r="AV82" s="15" t="s">
        <v>212</v>
      </c>
      <c r="AW82" s="15" t="s">
        <v>213</v>
      </c>
      <c r="AX82" s="15" t="s">
        <v>416</v>
      </c>
      <c r="BH82" s="15" t="s">
        <v>184</v>
      </c>
      <c r="BI82" s="15" t="s">
        <v>185</v>
      </c>
      <c r="BJ82" s="15" t="s">
        <v>186</v>
      </c>
      <c r="BK82" s="15" t="s">
        <v>187</v>
      </c>
      <c r="BL82" s="15" t="s">
        <v>188</v>
      </c>
      <c r="BM82" s="15" t="s">
        <v>189</v>
      </c>
      <c r="BN82" s="15" t="s">
        <v>190</v>
      </c>
      <c r="BO82" s="15" t="s">
        <v>191</v>
      </c>
      <c r="BR82" s="15" t="s">
        <v>192</v>
      </c>
      <c r="BS82" s="15" t="s">
        <v>193</v>
      </c>
      <c r="BT82" s="15" t="s">
        <v>194</v>
      </c>
      <c r="BU82" s="15" t="s">
        <v>195</v>
      </c>
      <c r="BV82" s="15" t="s">
        <v>196</v>
      </c>
      <c r="BW82" s="15" t="s">
        <v>196</v>
      </c>
      <c r="CB82" s="15" t="s">
        <v>129</v>
      </c>
      <c r="CC82" s="15">
        <v>1</v>
      </c>
      <c r="CN82" s="15" t="s">
        <v>198</v>
      </c>
      <c r="CW82" s="10">
        <v>2</v>
      </c>
      <c r="CX82" s="15" t="s">
        <v>417</v>
      </c>
    </row>
    <row r="83" spans="1:102" s="15" customFormat="1" x14ac:dyDescent="0.3">
      <c r="A83" s="11" t="s">
        <v>126</v>
      </c>
      <c r="B83" s="10" t="s">
        <v>418</v>
      </c>
      <c r="C83" s="12" t="s">
        <v>3791</v>
      </c>
      <c r="D83" s="10">
        <v>12</v>
      </c>
      <c r="E83" s="13">
        <v>1000000</v>
      </c>
      <c r="F83" s="14" t="s">
        <v>243</v>
      </c>
      <c r="G83" s="14" t="s">
        <v>244</v>
      </c>
      <c r="H83" s="15" t="s">
        <v>211</v>
      </c>
      <c r="I83" s="8"/>
      <c r="J83" s="10"/>
      <c r="AV83" s="15" t="s">
        <v>181</v>
      </c>
      <c r="AW83" s="15" t="s">
        <v>182</v>
      </c>
      <c r="AX83" s="15" t="s">
        <v>419</v>
      </c>
      <c r="BH83" s="15" t="s">
        <v>184</v>
      </c>
      <c r="BI83" s="15" t="s">
        <v>185</v>
      </c>
      <c r="BJ83" s="15" t="s">
        <v>186</v>
      </c>
      <c r="BK83" s="15" t="s">
        <v>187</v>
      </c>
      <c r="BL83" s="15" t="s">
        <v>188</v>
      </c>
      <c r="BM83" s="15" t="s">
        <v>189</v>
      </c>
      <c r="BN83" s="15" t="s">
        <v>190</v>
      </c>
      <c r="BO83" s="15" t="s">
        <v>191</v>
      </c>
      <c r="BR83" s="15" t="s">
        <v>192</v>
      </c>
      <c r="BS83" s="15" t="s">
        <v>193</v>
      </c>
      <c r="BT83" s="15" t="s">
        <v>194</v>
      </c>
      <c r="BU83" s="15" t="s">
        <v>195</v>
      </c>
      <c r="BV83" s="15" t="s">
        <v>196</v>
      </c>
      <c r="BW83" s="15" t="s">
        <v>251</v>
      </c>
      <c r="CB83" s="15" t="s">
        <v>129</v>
      </c>
      <c r="CC83" s="15">
        <v>1</v>
      </c>
      <c r="CN83" s="15" t="s">
        <v>198</v>
      </c>
      <c r="CW83" s="10">
        <v>2</v>
      </c>
      <c r="CX83" s="15" t="s">
        <v>420</v>
      </c>
    </row>
    <row r="84" spans="1:102" s="15" customFormat="1" x14ac:dyDescent="0.3">
      <c r="A84" s="11" t="s">
        <v>126</v>
      </c>
      <c r="B84" s="10" t="s">
        <v>421</v>
      </c>
      <c r="C84" s="12" t="s">
        <v>3792</v>
      </c>
      <c r="D84" s="10">
        <v>12</v>
      </c>
      <c r="E84" s="13">
        <v>10000</v>
      </c>
      <c r="F84" s="14" t="s">
        <v>243</v>
      </c>
      <c r="G84" s="14" t="s">
        <v>244</v>
      </c>
      <c r="H84" s="15" t="s">
        <v>254</v>
      </c>
      <c r="I84" s="8"/>
      <c r="J84" s="10"/>
      <c r="AV84" s="15" t="s">
        <v>181</v>
      </c>
      <c r="AW84" s="15" t="s">
        <v>182</v>
      </c>
      <c r="AX84" s="15" t="s">
        <v>422</v>
      </c>
      <c r="BH84" s="15" t="s">
        <v>184</v>
      </c>
      <c r="BI84" s="15" t="s">
        <v>185</v>
      </c>
      <c r="BJ84" s="15" t="s">
        <v>186</v>
      </c>
      <c r="BK84" s="15" t="s">
        <v>187</v>
      </c>
      <c r="BL84" s="15" t="s">
        <v>188</v>
      </c>
      <c r="BM84" s="15" t="s">
        <v>189</v>
      </c>
      <c r="BN84" s="15" t="s">
        <v>190</v>
      </c>
      <c r="BO84" s="15" t="s">
        <v>191</v>
      </c>
      <c r="BR84" s="15" t="s">
        <v>192</v>
      </c>
      <c r="BS84" s="15" t="s">
        <v>193</v>
      </c>
      <c r="BT84" s="15" t="s">
        <v>194</v>
      </c>
      <c r="BU84" s="15" t="s">
        <v>195</v>
      </c>
      <c r="BV84" s="15" t="s">
        <v>196</v>
      </c>
      <c r="BW84" s="15" t="s">
        <v>323</v>
      </c>
      <c r="CB84" s="15" t="s">
        <v>129</v>
      </c>
      <c r="CC84" s="15">
        <v>1</v>
      </c>
      <c r="CN84" s="15" t="s">
        <v>198</v>
      </c>
      <c r="CW84" s="10">
        <v>2</v>
      </c>
      <c r="CX84" s="15" t="s">
        <v>423</v>
      </c>
    </row>
    <row r="85" spans="1:102" s="15" customFormat="1" x14ac:dyDescent="0.3">
      <c r="A85" s="11" t="s">
        <v>126</v>
      </c>
      <c r="B85" s="10" t="s">
        <v>424</v>
      </c>
      <c r="C85" s="12" t="s">
        <v>428</v>
      </c>
      <c r="D85" s="10">
        <v>12</v>
      </c>
      <c r="E85" s="13">
        <v>1000000</v>
      </c>
      <c r="F85" s="14" t="s">
        <v>209</v>
      </c>
      <c r="G85" s="14" t="s">
        <v>210</v>
      </c>
      <c r="H85" s="15" t="s">
        <v>211</v>
      </c>
      <c r="I85" s="8"/>
      <c r="J85" s="10"/>
      <c r="AV85" s="15" t="s">
        <v>212</v>
      </c>
      <c r="AW85" s="15" t="s">
        <v>213</v>
      </c>
      <c r="AX85" s="15" t="s">
        <v>425</v>
      </c>
      <c r="BH85" s="15" t="s">
        <v>184</v>
      </c>
      <c r="BI85" s="15" t="s">
        <v>185</v>
      </c>
      <c r="BJ85" s="15" t="s">
        <v>186</v>
      </c>
      <c r="BK85" s="15" t="s">
        <v>187</v>
      </c>
      <c r="BL85" s="15" t="s">
        <v>188</v>
      </c>
      <c r="BM85" s="15" t="s">
        <v>189</v>
      </c>
      <c r="BN85" s="15" t="s">
        <v>190</v>
      </c>
      <c r="BO85" s="15" t="s">
        <v>191</v>
      </c>
      <c r="BR85" s="15" t="s">
        <v>192</v>
      </c>
      <c r="BS85" s="15" t="s">
        <v>193</v>
      </c>
      <c r="BT85" s="15" t="s">
        <v>194</v>
      </c>
      <c r="BU85" s="15" t="s">
        <v>195</v>
      </c>
      <c r="BV85" s="15" t="s">
        <v>196</v>
      </c>
      <c r="BW85" s="15" t="s">
        <v>195</v>
      </c>
      <c r="CB85" s="15" t="s">
        <v>129</v>
      </c>
      <c r="CC85" s="15">
        <v>1</v>
      </c>
      <c r="CN85" s="15" t="s">
        <v>198</v>
      </c>
      <c r="CW85" s="10">
        <v>2</v>
      </c>
      <c r="CX85" s="15" t="s">
        <v>426</v>
      </c>
    </row>
    <row r="86" spans="1:102" s="15" customFormat="1" x14ac:dyDescent="0.3">
      <c r="A86" s="11" t="s">
        <v>126</v>
      </c>
      <c r="B86" s="10" t="s">
        <v>427</v>
      </c>
      <c r="C86" s="12" t="s">
        <v>428</v>
      </c>
      <c r="D86" s="10">
        <v>12</v>
      </c>
      <c r="E86" s="13">
        <v>1000000</v>
      </c>
      <c r="F86" s="14" t="s">
        <v>210</v>
      </c>
      <c r="G86" s="14" t="s">
        <v>210</v>
      </c>
      <c r="H86" s="15" t="s">
        <v>211</v>
      </c>
      <c r="I86" s="8"/>
      <c r="J86" s="10"/>
      <c r="AW86" s="15" t="s">
        <v>128</v>
      </c>
      <c r="AX86" s="15" t="s">
        <v>425</v>
      </c>
      <c r="BH86" s="15" t="s">
        <v>184</v>
      </c>
      <c r="BI86" s="15" t="s">
        <v>185</v>
      </c>
      <c r="BJ86" s="15" t="s">
        <v>186</v>
      </c>
      <c r="BK86" s="15" t="s">
        <v>187</v>
      </c>
      <c r="BL86" s="15" t="s">
        <v>188</v>
      </c>
      <c r="BM86" s="15" t="s">
        <v>189</v>
      </c>
      <c r="BN86" s="15" t="s">
        <v>190</v>
      </c>
      <c r="BO86" s="15" t="s">
        <v>191</v>
      </c>
      <c r="BR86" s="15" t="s">
        <v>192</v>
      </c>
      <c r="BS86" s="15" t="s">
        <v>193</v>
      </c>
      <c r="BT86" s="15" t="s">
        <v>194</v>
      </c>
      <c r="BU86" s="15" t="s">
        <v>195</v>
      </c>
      <c r="BV86" s="15" t="s">
        <v>196</v>
      </c>
      <c r="BW86" s="15" t="s">
        <v>195</v>
      </c>
      <c r="CB86" s="15" t="s">
        <v>128</v>
      </c>
      <c r="CC86" s="15">
        <v>1</v>
      </c>
      <c r="CN86" s="15" t="s">
        <v>198</v>
      </c>
      <c r="CW86" s="10">
        <v>2</v>
      </c>
      <c r="CX86" s="15" t="s">
        <v>429</v>
      </c>
    </row>
    <row r="87" spans="1:102" s="15" customFormat="1" x14ac:dyDescent="0.3">
      <c r="A87" s="11" t="s">
        <v>126</v>
      </c>
      <c r="B87" s="10" t="s">
        <v>430</v>
      </c>
      <c r="C87" s="12" t="s">
        <v>431</v>
      </c>
      <c r="D87" s="10">
        <v>12</v>
      </c>
      <c r="E87" s="13">
        <v>1000000</v>
      </c>
      <c r="F87" s="14" t="s">
        <v>210</v>
      </c>
      <c r="G87" s="14" t="s">
        <v>210</v>
      </c>
      <c r="H87" s="15" t="s">
        <v>211</v>
      </c>
      <c r="I87" s="8"/>
      <c r="J87" s="10"/>
      <c r="AW87" s="15" t="s">
        <v>128</v>
      </c>
      <c r="AX87" s="15" t="s">
        <v>425</v>
      </c>
      <c r="BH87" s="15" t="s">
        <v>184</v>
      </c>
      <c r="BI87" s="15" t="s">
        <v>185</v>
      </c>
      <c r="BJ87" s="15" t="s">
        <v>186</v>
      </c>
      <c r="BK87" s="15" t="s">
        <v>187</v>
      </c>
      <c r="BL87" s="15" t="s">
        <v>188</v>
      </c>
      <c r="BM87" s="15" t="s">
        <v>189</v>
      </c>
      <c r="BN87" s="15" t="s">
        <v>190</v>
      </c>
      <c r="BO87" s="15" t="s">
        <v>191</v>
      </c>
      <c r="BR87" s="15" t="s">
        <v>192</v>
      </c>
      <c r="BS87" s="15" t="s">
        <v>193</v>
      </c>
      <c r="BT87" s="15" t="s">
        <v>194</v>
      </c>
      <c r="BU87" s="15" t="s">
        <v>195</v>
      </c>
      <c r="BV87" s="15" t="s">
        <v>196</v>
      </c>
      <c r="BW87" s="15" t="s">
        <v>195</v>
      </c>
      <c r="CB87" s="15" t="s">
        <v>128</v>
      </c>
      <c r="CC87" s="15">
        <v>1</v>
      </c>
      <c r="CN87" s="15" t="s">
        <v>198</v>
      </c>
      <c r="CW87" s="10">
        <v>2</v>
      </c>
      <c r="CX87" s="15" t="s">
        <v>432</v>
      </c>
    </row>
    <row r="88" spans="1:102" s="15" customFormat="1" x14ac:dyDescent="0.3">
      <c r="A88" s="11" t="s">
        <v>126</v>
      </c>
      <c r="B88" s="10" t="s">
        <v>433</v>
      </c>
      <c r="C88" s="12" t="s">
        <v>3793</v>
      </c>
      <c r="D88" s="10">
        <v>12</v>
      </c>
      <c r="E88" s="13">
        <v>1000000</v>
      </c>
      <c r="F88" s="14" t="s">
        <v>243</v>
      </c>
      <c r="G88" s="14" t="s">
        <v>244</v>
      </c>
      <c r="H88" s="15" t="s">
        <v>211</v>
      </c>
      <c r="I88" s="8"/>
      <c r="J88" s="10"/>
      <c r="AV88" s="15" t="s">
        <v>181</v>
      </c>
      <c r="AW88" s="15" t="s">
        <v>182</v>
      </c>
      <c r="AX88" s="15" t="s">
        <v>434</v>
      </c>
      <c r="BH88" s="15" t="s">
        <v>184</v>
      </c>
      <c r="BI88" s="15" t="s">
        <v>185</v>
      </c>
      <c r="BJ88" s="15" t="s">
        <v>186</v>
      </c>
      <c r="BK88" s="15" t="s">
        <v>187</v>
      </c>
      <c r="BL88" s="15" t="s">
        <v>188</v>
      </c>
      <c r="BM88" s="15" t="s">
        <v>189</v>
      </c>
      <c r="BN88" s="15" t="s">
        <v>190</v>
      </c>
      <c r="BO88" s="15" t="s">
        <v>191</v>
      </c>
      <c r="BR88" s="15" t="s">
        <v>192</v>
      </c>
      <c r="BS88" s="15" t="s">
        <v>193</v>
      </c>
      <c r="BT88" s="15" t="s">
        <v>194</v>
      </c>
      <c r="BU88" s="15" t="s">
        <v>195</v>
      </c>
      <c r="BV88" s="15" t="s">
        <v>196</v>
      </c>
      <c r="BW88" s="15" t="s">
        <v>251</v>
      </c>
      <c r="CB88" s="15" t="s">
        <v>129</v>
      </c>
      <c r="CC88" s="15">
        <v>1</v>
      </c>
      <c r="CN88" s="15" t="s">
        <v>198</v>
      </c>
      <c r="CW88" s="10">
        <v>2</v>
      </c>
      <c r="CX88" s="15" t="s">
        <v>435</v>
      </c>
    </row>
    <row r="89" spans="1:102" s="15" customFormat="1" x14ac:dyDescent="0.3">
      <c r="A89" s="11" t="s">
        <v>126</v>
      </c>
      <c r="B89" s="10" t="s">
        <v>436</v>
      </c>
      <c r="C89" s="12" t="s">
        <v>3645</v>
      </c>
      <c r="D89" s="10">
        <v>12</v>
      </c>
      <c r="E89" s="13">
        <v>100000</v>
      </c>
      <c r="F89" s="14" t="s">
        <v>243</v>
      </c>
      <c r="G89" s="14" t="s">
        <v>244</v>
      </c>
      <c r="H89" s="15" t="s">
        <v>254</v>
      </c>
      <c r="I89" s="8"/>
      <c r="J89" s="10"/>
      <c r="AV89" s="15" t="s">
        <v>181</v>
      </c>
      <c r="AW89" s="15" t="s">
        <v>182</v>
      </c>
      <c r="AX89" s="15" t="s">
        <v>437</v>
      </c>
      <c r="BH89" s="15" t="s">
        <v>184</v>
      </c>
      <c r="BI89" s="15" t="s">
        <v>185</v>
      </c>
      <c r="BJ89" s="15" t="s">
        <v>186</v>
      </c>
      <c r="BK89" s="15" t="s">
        <v>187</v>
      </c>
      <c r="BL89" s="15" t="s">
        <v>188</v>
      </c>
      <c r="BM89" s="15" t="s">
        <v>189</v>
      </c>
      <c r="BN89" s="15" t="s">
        <v>190</v>
      </c>
      <c r="BO89" s="15" t="s">
        <v>191</v>
      </c>
      <c r="BR89" s="15" t="s">
        <v>192</v>
      </c>
      <c r="BS89" s="15" t="s">
        <v>193</v>
      </c>
      <c r="BT89" s="15" t="s">
        <v>194</v>
      </c>
      <c r="BU89" s="15" t="s">
        <v>195</v>
      </c>
      <c r="BV89" s="15" t="s">
        <v>196</v>
      </c>
      <c r="BW89" s="15" t="s">
        <v>404</v>
      </c>
      <c r="CB89" s="15" t="s">
        <v>129</v>
      </c>
      <c r="CC89" s="15">
        <v>1</v>
      </c>
      <c r="CN89" s="15" t="s">
        <v>198</v>
      </c>
      <c r="CW89" s="10">
        <v>2</v>
      </c>
      <c r="CX89" s="15" t="s">
        <v>438</v>
      </c>
    </row>
    <row r="90" spans="1:102" s="15" customFormat="1" x14ac:dyDescent="0.3">
      <c r="A90" s="11" t="s">
        <v>126</v>
      </c>
      <c r="B90" s="10" t="s">
        <v>439</v>
      </c>
      <c r="C90" s="12" t="s">
        <v>3647</v>
      </c>
      <c r="D90" s="10">
        <v>12</v>
      </c>
      <c r="E90" s="13">
        <v>100000</v>
      </c>
      <c r="F90" s="14" t="s">
        <v>243</v>
      </c>
      <c r="G90" s="14" t="s">
        <v>244</v>
      </c>
      <c r="H90" s="15" t="s">
        <v>254</v>
      </c>
      <c r="I90" s="8"/>
      <c r="J90" s="10"/>
      <c r="AV90" s="15" t="s">
        <v>181</v>
      </c>
      <c r="AW90" s="15" t="s">
        <v>182</v>
      </c>
      <c r="AX90" s="15" t="s">
        <v>440</v>
      </c>
      <c r="BH90" s="15" t="s">
        <v>184</v>
      </c>
      <c r="BI90" s="15" t="s">
        <v>185</v>
      </c>
      <c r="BJ90" s="15" t="s">
        <v>186</v>
      </c>
      <c r="BK90" s="15" t="s">
        <v>187</v>
      </c>
      <c r="BL90" s="15" t="s">
        <v>188</v>
      </c>
      <c r="BM90" s="15" t="s">
        <v>189</v>
      </c>
      <c r="BN90" s="15" t="s">
        <v>190</v>
      </c>
      <c r="BO90" s="15" t="s">
        <v>191</v>
      </c>
      <c r="BR90" s="15" t="s">
        <v>192</v>
      </c>
      <c r="BS90" s="15" t="s">
        <v>193</v>
      </c>
      <c r="BT90" s="15" t="s">
        <v>194</v>
      </c>
      <c r="BU90" s="15" t="s">
        <v>195</v>
      </c>
      <c r="BV90" s="15" t="s">
        <v>196</v>
      </c>
      <c r="BW90" s="15" t="s">
        <v>404</v>
      </c>
      <c r="CB90" s="15" t="s">
        <v>129</v>
      </c>
      <c r="CC90" s="15">
        <v>1</v>
      </c>
      <c r="CN90" s="15" t="s">
        <v>198</v>
      </c>
      <c r="CW90" s="10">
        <v>2</v>
      </c>
      <c r="CX90" s="15" t="s">
        <v>441</v>
      </c>
    </row>
    <row r="91" spans="1:102" s="15" customFormat="1" x14ac:dyDescent="0.3">
      <c r="A91" s="11" t="s">
        <v>126</v>
      </c>
      <c r="B91" s="10" t="s">
        <v>442</v>
      </c>
      <c r="C91" s="12" t="s">
        <v>3649</v>
      </c>
      <c r="D91" s="10">
        <v>12</v>
      </c>
      <c r="E91" s="13">
        <v>500000</v>
      </c>
      <c r="F91" s="14" t="s">
        <v>243</v>
      </c>
      <c r="G91" s="14" t="s">
        <v>244</v>
      </c>
      <c r="H91" s="15" t="s">
        <v>254</v>
      </c>
      <c r="I91" s="8"/>
      <c r="J91" s="10"/>
      <c r="AV91" s="15" t="s">
        <v>181</v>
      </c>
      <c r="AW91" s="15" t="s">
        <v>182</v>
      </c>
      <c r="AX91" s="15" t="s">
        <v>443</v>
      </c>
      <c r="BH91" s="15" t="s">
        <v>184</v>
      </c>
      <c r="BI91" s="15" t="s">
        <v>185</v>
      </c>
      <c r="BJ91" s="15" t="s">
        <v>186</v>
      </c>
      <c r="BK91" s="15" t="s">
        <v>187</v>
      </c>
      <c r="BL91" s="15" t="s">
        <v>188</v>
      </c>
      <c r="BM91" s="15" t="s">
        <v>189</v>
      </c>
      <c r="BN91" s="15" t="s">
        <v>190</v>
      </c>
      <c r="BO91" s="15" t="s">
        <v>191</v>
      </c>
      <c r="BR91" s="15" t="s">
        <v>192</v>
      </c>
      <c r="BS91" s="15" t="s">
        <v>193</v>
      </c>
      <c r="BT91" s="15" t="s">
        <v>194</v>
      </c>
      <c r="BU91" s="15" t="s">
        <v>195</v>
      </c>
      <c r="BV91" s="15" t="s">
        <v>196</v>
      </c>
      <c r="BW91" s="15" t="s">
        <v>404</v>
      </c>
      <c r="CB91" s="15" t="s">
        <v>129</v>
      </c>
      <c r="CC91" s="15">
        <v>1</v>
      </c>
      <c r="CN91" s="15" t="s">
        <v>198</v>
      </c>
      <c r="CW91" s="10">
        <v>2</v>
      </c>
      <c r="CX91" s="15" t="s">
        <v>444</v>
      </c>
    </row>
    <row r="92" spans="1:102" s="15" customFormat="1" x14ac:dyDescent="0.3">
      <c r="A92" s="11" t="s">
        <v>126</v>
      </c>
      <c r="B92" s="10" t="s">
        <v>445</v>
      </c>
      <c r="C92" s="12" t="s">
        <v>3651</v>
      </c>
      <c r="D92" s="10">
        <v>12</v>
      </c>
      <c r="E92" s="13">
        <v>1000000</v>
      </c>
      <c r="F92" s="14" t="s">
        <v>243</v>
      </c>
      <c r="G92" s="14" t="s">
        <v>244</v>
      </c>
      <c r="H92" s="15" t="s">
        <v>254</v>
      </c>
      <c r="I92" s="8"/>
      <c r="J92" s="10"/>
      <c r="AV92" s="15" t="s">
        <v>181</v>
      </c>
      <c r="AW92" s="15" t="s">
        <v>182</v>
      </c>
      <c r="AX92" s="15" t="s">
        <v>446</v>
      </c>
      <c r="BH92" s="15" t="s">
        <v>184</v>
      </c>
      <c r="BI92" s="15" t="s">
        <v>185</v>
      </c>
      <c r="BJ92" s="15" t="s">
        <v>186</v>
      </c>
      <c r="BK92" s="15" t="s">
        <v>187</v>
      </c>
      <c r="BL92" s="15" t="s">
        <v>188</v>
      </c>
      <c r="BM92" s="15" t="s">
        <v>189</v>
      </c>
      <c r="BN92" s="15" t="s">
        <v>190</v>
      </c>
      <c r="BO92" s="15" t="s">
        <v>191</v>
      </c>
      <c r="BR92" s="15" t="s">
        <v>192</v>
      </c>
      <c r="BS92" s="15" t="s">
        <v>193</v>
      </c>
      <c r="BT92" s="15" t="s">
        <v>194</v>
      </c>
      <c r="BU92" s="15" t="s">
        <v>195</v>
      </c>
      <c r="BV92" s="15" t="s">
        <v>196</v>
      </c>
      <c r="BW92" s="15" t="s">
        <v>404</v>
      </c>
      <c r="CB92" s="15" t="s">
        <v>129</v>
      </c>
      <c r="CC92" s="15">
        <v>1</v>
      </c>
      <c r="CN92" s="15" t="s">
        <v>198</v>
      </c>
      <c r="CW92" s="10">
        <v>2</v>
      </c>
      <c r="CX92" s="15" t="s">
        <v>447</v>
      </c>
    </row>
    <row r="93" spans="1:102" s="15" customFormat="1" x14ac:dyDescent="0.3">
      <c r="A93" s="11" t="s">
        <v>126</v>
      </c>
      <c r="B93" s="10" t="s">
        <v>448</v>
      </c>
      <c r="C93" s="12" t="s">
        <v>3653</v>
      </c>
      <c r="D93" s="10">
        <v>12</v>
      </c>
      <c r="E93" s="13">
        <v>1000000</v>
      </c>
      <c r="F93" s="14" t="s">
        <v>243</v>
      </c>
      <c r="G93" s="14" t="s">
        <v>244</v>
      </c>
      <c r="H93" s="15" t="s">
        <v>254</v>
      </c>
      <c r="I93" s="8"/>
      <c r="J93" s="10"/>
      <c r="AV93" s="15" t="s">
        <v>181</v>
      </c>
      <c r="AW93" s="15" t="s">
        <v>182</v>
      </c>
      <c r="AX93" s="15" t="s">
        <v>449</v>
      </c>
      <c r="BH93" s="15" t="s">
        <v>184</v>
      </c>
      <c r="BI93" s="15" t="s">
        <v>185</v>
      </c>
      <c r="BJ93" s="15" t="s">
        <v>186</v>
      </c>
      <c r="BK93" s="15" t="s">
        <v>187</v>
      </c>
      <c r="BL93" s="15" t="s">
        <v>188</v>
      </c>
      <c r="BM93" s="15" t="s">
        <v>189</v>
      </c>
      <c r="BN93" s="15" t="s">
        <v>190</v>
      </c>
      <c r="BO93" s="15" t="s">
        <v>191</v>
      </c>
      <c r="BR93" s="15" t="s">
        <v>192</v>
      </c>
      <c r="BS93" s="15" t="s">
        <v>193</v>
      </c>
      <c r="BT93" s="15" t="s">
        <v>194</v>
      </c>
      <c r="BU93" s="15" t="s">
        <v>195</v>
      </c>
      <c r="BV93" s="15" t="s">
        <v>196</v>
      </c>
      <c r="BW93" s="15" t="s">
        <v>404</v>
      </c>
      <c r="CB93" s="15" t="s">
        <v>129</v>
      </c>
      <c r="CC93" s="15">
        <v>1</v>
      </c>
      <c r="CN93" s="15" t="s">
        <v>198</v>
      </c>
      <c r="CW93" s="10">
        <v>2</v>
      </c>
      <c r="CX93" s="15" t="s">
        <v>450</v>
      </c>
    </row>
    <row r="94" spans="1:102" s="15" customFormat="1" x14ac:dyDescent="0.3">
      <c r="A94" s="11" t="s">
        <v>126</v>
      </c>
      <c r="B94" s="10" t="s">
        <v>451</v>
      </c>
      <c r="C94" s="12" t="s">
        <v>3794</v>
      </c>
      <c r="D94" s="10">
        <v>12</v>
      </c>
      <c r="E94" s="13">
        <v>1000000</v>
      </c>
      <c r="F94" s="14" t="s">
        <v>243</v>
      </c>
      <c r="G94" s="14" t="s">
        <v>244</v>
      </c>
      <c r="H94" s="15" t="s">
        <v>211</v>
      </c>
      <c r="I94" s="8"/>
      <c r="J94" s="10"/>
      <c r="AV94" s="15" t="s">
        <v>181</v>
      </c>
      <c r="AW94" s="15" t="s">
        <v>182</v>
      </c>
      <c r="AX94" s="15" t="s">
        <v>452</v>
      </c>
      <c r="BH94" s="15" t="s">
        <v>184</v>
      </c>
      <c r="BI94" s="15" t="s">
        <v>185</v>
      </c>
      <c r="BJ94" s="15" t="s">
        <v>186</v>
      </c>
      <c r="BK94" s="15" t="s">
        <v>187</v>
      </c>
      <c r="BL94" s="15" t="s">
        <v>188</v>
      </c>
      <c r="BM94" s="15" t="s">
        <v>189</v>
      </c>
      <c r="BN94" s="15" t="s">
        <v>190</v>
      </c>
      <c r="BO94" s="15" t="s">
        <v>191</v>
      </c>
      <c r="BR94" s="15" t="s">
        <v>192</v>
      </c>
      <c r="BS94" s="15" t="s">
        <v>193</v>
      </c>
      <c r="BT94" s="15" t="s">
        <v>194</v>
      </c>
      <c r="BU94" s="15" t="s">
        <v>195</v>
      </c>
      <c r="BV94" s="15" t="s">
        <v>196</v>
      </c>
      <c r="BW94" s="15" t="s">
        <v>293</v>
      </c>
      <c r="CB94" s="15" t="s">
        <v>129</v>
      </c>
      <c r="CC94" s="15">
        <v>1</v>
      </c>
      <c r="CN94" s="15" t="s">
        <v>198</v>
      </c>
      <c r="CW94" s="10">
        <v>2</v>
      </c>
      <c r="CX94" s="15" t="s">
        <v>453</v>
      </c>
    </row>
    <row r="95" spans="1:102" s="15" customFormat="1" x14ac:dyDescent="0.3">
      <c r="A95" s="11" t="s">
        <v>126</v>
      </c>
      <c r="B95" s="10" t="s">
        <v>454</v>
      </c>
      <c r="C95" s="12" t="s">
        <v>3690</v>
      </c>
      <c r="D95" s="10">
        <v>12</v>
      </c>
      <c r="E95" s="13">
        <v>10000</v>
      </c>
      <c r="F95" s="14" t="s">
        <v>243</v>
      </c>
      <c r="G95" s="14" t="s">
        <v>244</v>
      </c>
      <c r="H95" s="15" t="s">
        <v>402</v>
      </c>
      <c r="I95" s="8"/>
      <c r="J95" s="10"/>
      <c r="AV95" s="15" t="s">
        <v>181</v>
      </c>
      <c r="AW95" s="15" t="s">
        <v>182</v>
      </c>
      <c r="AX95" s="15" t="s">
        <v>455</v>
      </c>
      <c r="BH95" s="15" t="s">
        <v>184</v>
      </c>
      <c r="BI95" s="15" t="s">
        <v>185</v>
      </c>
      <c r="BJ95" s="15" t="s">
        <v>186</v>
      </c>
      <c r="BK95" s="15" t="s">
        <v>187</v>
      </c>
      <c r="BL95" s="15" t="s">
        <v>188</v>
      </c>
      <c r="BM95" s="15" t="s">
        <v>189</v>
      </c>
      <c r="BN95" s="15" t="s">
        <v>190</v>
      </c>
      <c r="BO95" s="15" t="s">
        <v>191</v>
      </c>
      <c r="BR95" s="15" t="s">
        <v>192</v>
      </c>
      <c r="BS95" s="15" t="s">
        <v>193</v>
      </c>
      <c r="BT95" s="15" t="s">
        <v>194</v>
      </c>
      <c r="BU95" s="15" t="s">
        <v>195</v>
      </c>
      <c r="BV95" s="15" t="s">
        <v>196</v>
      </c>
      <c r="BW95" s="15" t="s">
        <v>456</v>
      </c>
      <c r="CB95" s="15" t="s">
        <v>129</v>
      </c>
      <c r="CC95" s="15">
        <v>1</v>
      </c>
      <c r="CN95" s="15" t="s">
        <v>198</v>
      </c>
      <c r="CW95" s="10">
        <v>2</v>
      </c>
      <c r="CX95" s="15" t="s">
        <v>457</v>
      </c>
    </row>
    <row r="96" spans="1:102" s="15" customFormat="1" x14ac:dyDescent="0.3">
      <c r="A96" s="11" t="s">
        <v>126</v>
      </c>
      <c r="B96" s="10" t="s">
        <v>458</v>
      </c>
      <c r="C96" s="12" t="s">
        <v>3577</v>
      </c>
      <c r="D96" s="10">
        <v>12</v>
      </c>
      <c r="E96" s="13">
        <v>100000</v>
      </c>
      <c r="F96" s="14" t="s">
        <v>243</v>
      </c>
      <c r="G96" s="14" t="s">
        <v>244</v>
      </c>
      <c r="H96" s="15" t="s">
        <v>402</v>
      </c>
      <c r="I96" s="8"/>
      <c r="J96" s="10"/>
      <c r="AV96" s="15" t="s">
        <v>181</v>
      </c>
      <c r="AW96" s="15" t="s">
        <v>182</v>
      </c>
      <c r="AX96" s="15" t="s">
        <v>459</v>
      </c>
      <c r="BH96" s="15" t="s">
        <v>184</v>
      </c>
      <c r="BI96" s="15" t="s">
        <v>185</v>
      </c>
      <c r="BJ96" s="15" t="s">
        <v>186</v>
      </c>
      <c r="BK96" s="15" t="s">
        <v>187</v>
      </c>
      <c r="BL96" s="15" t="s">
        <v>188</v>
      </c>
      <c r="BM96" s="15" t="s">
        <v>189</v>
      </c>
      <c r="BN96" s="15" t="s">
        <v>190</v>
      </c>
      <c r="BO96" s="15" t="s">
        <v>191</v>
      </c>
      <c r="BR96" s="15" t="s">
        <v>192</v>
      </c>
      <c r="BS96" s="15" t="s">
        <v>193</v>
      </c>
      <c r="BT96" s="15" t="s">
        <v>194</v>
      </c>
      <c r="BU96" s="15" t="s">
        <v>195</v>
      </c>
      <c r="BV96" s="15" t="s">
        <v>196</v>
      </c>
      <c r="BW96" s="15" t="s">
        <v>460</v>
      </c>
      <c r="CB96" s="15" t="s">
        <v>129</v>
      </c>
      <c r="CC96" s="15">
        <v>1</v>
      </c>
      <c r="CN96" s="15" t="s">
        <v>198</v>
      </c>
      <c r="CW96" s="10">
        <v>2</v>
      </c>
      <c r="CX96" s="15" t="s">
        <v>461</v>
      </c>
    </row>
    <row r="97" spans="1:102" s="15" customFormat="1" x14ac:dyDescent="0.3">
      <c r="A97" s="11" t="s">
        <v>126</v>
      </c>
      <c r="B97" s="10" t="s">
        <v>462</v>
      </c>
      <c r="C97" s="12" t="s">
        <v>463</v>
      </c>
      <c r="D97" s="10">
        <v>12</v>
      </c>
      <c r="E97" s="13">
        <v>1000000</v>
      </c>
      <c r="F97" s="14" t="s">
        <v>210</v>
      </c>
      <c r="G97" s="14" t="s">
        <v>210</v>
      </c>
      <c r="H97" s="15" t="s">
        <v>312</v>
      </c>
      <c r="I97" s="8"/>
      <c r="J97" s="10"/>
      <c r="AW97" s="15" t="s">
        <v>128</v>
      </c>
      <c r="AX97" s="15" t="s">
        <v>464</v>
      </c>
      <c r="BF97" s="15" t="s">
        <v>465</v>
      </c>
      <c r="BG97" s="15" t="s">
        <v>466</v>
      </c>
      <c r="BH97" s="15" t="s">
        <v>184</v>
      </c>
      <c r="BI97" s="15" t="s">
        <v>185</v>
      </c>
      <c r="BJ97" s="15" t="s">
        <v>186</v>
      </c>
      <c r="BK97" s="15" t="s">
        <v>187</v>
      </c>
      <c r="BL97" s="15" t="s">
        <v>188</v>
      </c>
      <c r="BM97" s="15" t="s">
        <v>189</v>
      </c>
      <c r="BN97" s="15" t="s">
        <v>190</v>
      </c>
      <c r="BO97" s="15" t="s">
        <v>191</v>
      </c>
      <c r="BP97" s="15" t="s">
        <v>467</v>
      </c>
      <c r="BQ97" s="15" t="s">
        <v>468</v>
      </c>
      <c r="BR97" s="15" t="s">
        <v>192</v>
      </c>
      <c r="BS97" s="15" t="s">
        <v>193</v>
      </c>
      <c r="BT97" s="15" t="s">
        <v>194</v>
      </c>
      <c r="BU97" s="15" t="s">
        <v>195</v>
      </c>
      <c r="BV97" s="15" t="s">
        <v>196</v>
      </c>
      <c r="BW97" s="15" t="s">
        <v>272</v>
      </c>
      <c r="CB97" s="15" t="s">
        <v>128</v>
      </c>
      <c r="CC97" s="15">
        <v>1</v>
      </c>
      <c r="CN97" s="15" t="s">
        <v>469</v>
      </c>
      <c r="CW97" s="10">
        <v>2</v>
      </c>
      <c r="CX97" s="15" t="s">
        <v>470</v>
      </c>
    </row>
    <row r="98" spans="1:102" s="15" customFormat="1" x14ac:dyDescent="0.3">
      <c r="A98" s="11" t="s">
        <v>126</v>
      </c>
      <c r="B98" s="10" t="s">
        <v>471</v>
      </c>
      <c r="C98" s="12" t="s">
        <v>472</v>
      </c>
      <c r="D98" s="10">
        <v>12</v>
      </c>
      <c r="E98" s="13">
        <v>1000000</v>
      </c>
      <c r="F98" s="14" t="s">
        <v>210</v>
      </c>
      <c r="G98" s="14" t="s">
        <v>210</v>
      </c>
      <c r="H98" s="15" t="s">
        <v>312</v>
      </c>
      <c r="I98" s="8"/>
      <c r="J98" s="10"/>
      <c r="AW98" s="15" t="s">
        <v>128</v>
      </c>
      <c r="AX98" s="15" t="s">
        <v>464</v>
      </c>
      <c r="BF98" s="15" t="s">
        <v>465</v>
      </c>
      <c r="BG98" s="15" t="s">
        <v>466</v>
      </c>
      <c r="BH98" s="15" t="s">
        <v>184</v>
      </c>
      <c r="BI98" s="15" t="s">
        <v>185</v>
      </c>
      <c r="BJ98" s="15" t="s">
        <v>186</v>
      </c>
      <c r="BK98" s="15" t="s">
        <v>187</v>
      </c>
      <c r="BL98" s="15" t="s">
        <v>188</v>
      </c>
      <c r="BM98" s="15" t="s">
        <v>189</v>
      </c>
      <c r="BN98" s="15" t="s">
        <v>190</v>
      </c>
      <c r="BO98" s="15" t="s">
        <v>191</v>
      </c>
      <c r="BP98" s="15" t="s">
        <v>467</v>
      </c>
      <c r="BQ98" s="15" t="s">
        <v>468</v>
      </c>
      <c r="BR98" s="15" t="s">
        <v>192</v>
      </c>
      <c r="BS98" s="15" t="s">
        <v>193</v>
      </c>
      <c r="BT98" s="15" t="s">
        <v>194</v>
      </c>
      <c r="BU98" s="15" t="s">
        <v>195</v>
      </c>
      <c r="BV98" s="15" t="s">
        <v>196</v>
      </c>
      <c r="BW98" s="15" t="s">
        <v>272</v>
      </c>
      <c r="CB98" s="15" t="s">
        <v>128</v>
      </c>
      <c r="CC98" s="15">
        <v>1</v>
      </c>
      <c r="CN98" s="15" t="s">
        <v>469</v>
      </c>
      <c r="CW98" s="10">
        <v>2</v>
      </c>
      <c r="CX98" s="15" t="s">
        <v>473</v>
      </c>
    </row>
    <row r="99" spans="1:102" s="15" customFormat="1" x14ac:dyDescent="0.3">
      <c r="A99" s="11" t="s">
        <v>126</v>
      </c>
      <c r="B99" s="10" t="s">
        <v>474</v>
      </c>
      <c r="C99" s="12" t="s">
        <v>478</v>
      </c>
      <c r="D99" s="10">
        <v>12</v>
      </c>
      <c r="E99" s="13">
        <v>100000</v>
      </c>
      <c r="F99" s="14" t="s">
        <v>243</v>
      </c>
      <c r="G99" s="14" t="s">
        <v>244</v>
      </c>
      <c r="H99" s="15" t="s">
        <v>312</v>
      </c>
      <c r="I99" s="8"/>
      <c r="J99" s="10"/>
      <c r="AV99" s="15" t="s">
        <v>181</v>
      </c>
      <c r="AW99" s="15" t="s">
        <v>182</v>
      </c>
      <c r="AX99" s="15" t="s">
        <v>475</v>
      </c>
      <c r="BH99" s="15" t="s">
        <v>184</v>
      </c>
      <c r="BI99" s="15" t="s">
        <v>185</v>
      </c>
      <c r="BJ99" s="15" t="s">
        <v>186</v>
      </c>
      <c r="BK99" s="15" t="s">
        <v>187</v>
      </c>
      <c r="BL99" s="15" t="s">
        <v>188</v>
      </c>
      <c r="BM99" s="15" t="s">
        <v>189</v>
      </c>
      <c r="BN99" s="15" t="s">
        <v>190</v>
      </c>
      <c r="BO99" s="15" t="s">
        <v>191</v>
      </c>
      <c r="BR99" s="15" t="s">
        <v>192</v>
      </c>
      <c r="BS99" s="15" t="s">
        <v>193</v>
      </c>
      <c r="BT99" s="15" t="s">
        <v>194</v>
      </c>
      <c r="BU99" s="15" t="s">
        <v>195</v>
      </c>
      <c r="BV99" s="15" t="s">
        <v>196</v>
      </c>
      <c r="BW99" s="15" t="s">
        <v>272</v>
      </c>
      <c r="CB99" s="15" t="s">
        <v>129</v>
      </c>
      <c r="CC99" s="15">
        <v>1</v>
      </c>
      <c r="CN99" s="15" t="s">
        <v>273</v>
      </c>
      <c r="CW99" s="10">
        <v>2</v>
      </c>
      <c r="CX99" s="15" t="s">
        <v>476</v>
      </c>
    </row>
    <row r="100" spans="1:102" s="15" customFormat="1" x14ac:dyDescent="0.3">
      <c r="A100" s="11" t="s">
        <v>126</v>
      </c>
      <c r="B100" s="10" t="s">
        <v>477</v>
      </c>
      <c r="C100" s="12" t="s">
        <v>478</v>
      </c>
      <c r="D100" s="10">
        <v>12</v>
      </c>
      <c r="E100" s="13">
        <v>100000</v>
      </c>
      <c r="F100" s="14" t="s">
        <v>244</v>
      </c>
      <c r="G100" s="14" t="s">
        <v>244</v>
      </c>
      <c r="H100" s="15" t="s">
        <v>312</v>
      </c>
      <c r="I100" s="8"/>
      <c r="J100" s="10"/>
      <c r="AW100" s="15" t="s">
        <v>128</v>
      </c>
      <c r="AX100" s="15" t="s">
        <v>475</v>
      </c>
      <c r="BH100" s="15" t="s">
        <v>184</v>
      </c>
      <c r="BI100" s="15" t="s">
        <v>185</v>
      </c>
      <c r="BJ100" s="15" t="s">
        <v>186</v>
      </c>
      <c r="BK100" s="15" t="s">
        <v>187</v>
      </c>
      <c r="BL100" s="15" t="s">
        <v>188</v>
      </c>
      <c r="BM100" s="15" t="s">
        <v>189</v>
      </c>
      <c r="BN100" s="15" t="s">
        <v>190</v>
      </c>
      <c r="BO100" s="15" t="s">
        <v>191</v>
      </c>
      <c r="BR100" s="15" t="s">
        <v>192</v>
      </c>
      <c r="BS100" s="15" t="s">
        <v>193</v>
      </c>
      <c r="BT100" s="15" t="s">
        <v>194</v>
      </c>
      <c r="BU100" s="15" t="s">
        <v>195</v>
      </c>
      <c r="BV100" s="15" t="s">
        <v>196</v>
      </c>
      <c r="BW100" s="15" t="s">
        <v>272</v>
      </c>
      <c r="CB100" s="15" t="s">
        <v>128</v>
      </c>
      <c r="CC100" s="15">
        <v>1</v>
      </c>
      <c r="CN100" s="15" t="s">
        <v>273</v>
      </c>
      <c r="CW100" s="10">
        <v>2</v>
      </c>
      <c r="CX100" s="15" t="s">
        <v>479</v>
      </c>
    </row>
    <row r="101" spans="1:102" s="15" customFormat="1" x14ac:dyDescent="0.3">
      <c r="A101" s="11" t="s">
        <v>126</v>
      </c>
      <c r="B101" s="10" t="s">
        <v>480</v>
      </c>
      <c r="C101" s="12" t="s">
        <v>481</v>
      </c>
      <c r="D101" s="10">
        <v>12</v>
      </c>
      <c r="E101" s="13">
        <v>100000</v>
      </c>
      <c r="F101" s="14" t="s">
        <v>244</v>
      </c>
      <c r="G101" s="14" t="s">
        <v>244</v>
      </c>
      <c r="H101" s="15" t="s">
        <v>312</v>
      </c>
      <c r="I101" s="8"/>
      <c r="J101" s="10"/>
      <c r="AW101" s="15" t="s">
        <v>128</v>
      </c>
      <c r="AX101" s="15" t="s">
        <v>475</v>
      </c>
      <c r="BH101" s="15" t="s">
        <v>184</v>
      </c>
      <c r="BI101" s="15" t="s">
        <v>185</v>
      </c>
      <c r="BJ101" s="15" t="s">
        <v>186</v>
      </c>
      <c r="BK101" s="15" t="s">
        <v>187</v>
      </c>
      <c r="BL101" s="15" t="s">
        <v>188</v>
      </c>
      <c r="BM101" s="15" t="s">
        <v>189</v>
      </c>
      <c r="BN101" s="15" t="s">
        <v>190</v>
      </c>
      <c r="BO101" s="15" t="s">
        <v>191</v>
      </c>
      <c r="BR101" s="15" t="s">
        <v>192</v>
      </c>
      <c r="BS101" s="15" t="s">
        <v>193</v>
      </c>
      <c r="BT101" s="15" t="s">
        <v>194</v>
      </c>
      <c r="BU101" s="15" t="s">
        <v>195</v>
      </c>
      <c r="BV101" s="15" t="s">
        <v>196</v>
      </c>
      <c r="BW101" s="15" t="s">
        <v>272</v>
      </c>
      <c r="CB101" s="15" t="s">
        <v>128</v>
      </c>
      <c r="CC101" s="15">
        <v>1</v>
      </c>
      <c r="CN101" s="15" t="s">
        <v>273</v>
      </c>
      <c r="CW101" s="10">
        <v>2</v>
      </c>
      <c r="CX101" s="15" t="s">
        <v>482</v>
      </c>
    </row>
    <row r="102" spans="1:102" s="15" customFormat="1" x14ac:dyDescent="0.3">
      <c r="A102" s="11" t="s">
        <v>126</v>
      </c>
      <c r="B102" s="10" t="s">
        <v>483</v>
      </c>
      <c r="C102" s="12" t="s">
        <v>487</v>
      </c>
      <c r="D102" s="10">
        <v>12</v>
      </c>
      <c r="E102" s="13">
        <v>1000000</v>
      </c>
      <c r="F102" s="14" t="s">
        <v>209</v>
      </c>
      <c r="G102" s="14" t="s">
        <v>210</v>
      </c>
      <c r="H102" s="15" t="s">
        <v>211</v>
      </c>
      <c r="I102" s="8"/>
      <c r="J102" s="10"/>
      <c r="AV102" s="15" t="s">
        <v>212</v>
      </c>
      <c r="AW102" s="15" t="s">
        <v>213</v>
      </c>
      <c r="AX102" s="15" t="s">
        <v>484</v>
      </c>
      <c r="BH102" s="15" t="s">
        <v>184</v>
      </c>
      <c r="BI102" s="15" t="s">
        <v>185</v>
      </c>
      <c r="BJ102" s="15" t="s">
        <v>186</v>
      </c>
      <c r="BK102" s="15" t="s">
        <v>187</v>
      </c>
      <c r="BL102" s="15" t="s">
        <v>188</v>
      </c>
      <c r="BM102" s="15" t="s">
        <v>189</v>
      </c>
      <c r="BN102" s="15" t="s">
        <v>190</v>
      </c>
      <c r="BO102" s="15" t="s">
        <v>191</v>
      </c>
      <c r="BR102" s="15" t="s">
        <v>192</v>
      </c>
      <c r="BS102" s="15" t="s">
        <v>193</v>
      </c>
      <c r="BT102" s="15" t="s">
        <v>194</v>
      </c>
      <c r="BU102" s="15" t="s">
        <v>195</v>
      </c>
      <c r="BV102" s="15" t="s">
        <v>196</v>
      </c>
      <c r="BW102" s="15" t="s">
        <v>195</v>
      </c>
      <c r="CB102" s="15" t="s">
        <v>129</v>
      </c>
      <c r="CC102" s="15">
        <v>1</v>
      </c>
      <c r="CN102" s="15" t="s">
        <v>225</v>
      </c>
      <c r="CW102" s="10">
        <v>2</v>
      </c>
      <c r="CX102" s="15" t="s">
        <v>485</v>
      </c>
    </row>
    <row r="103" spans="1:102" s="15" customFormat="1" x14ac:dyDescent="0.3">
      <c r="A103" s="11" t="s">
        <v>126</v>
      </c>
      <c r="B103" s="10" t="s">
        <v>486</v>
      </c>
      <c r="C103" s="12" t="s">
        <v>487</v>
      </c>
      <c r="D103" s="10">
        <v>12</v>
      </c>
      <c r="E103" s="13">
        <v>1000000</v>
      </c>
      <c r="F103" s="14" t="s">
        <v>210</v>
      </c>
      <c r="G103" s="14" t="s">
        <v>210</v>
      </c>
      <c r="H103" s="15" t="s">
        <v>211</v>
      </c>
      <c r="I103" s="8"/>
      <c r="J103" s="10"/>
      <c r="AW103" s="15" t="s">
        <v>128</v>
      </c>
      <c r="AX103" s="15" t="s">
        <v>484</v>
      </c>
      <c r="BH103" s="15" t="s">
        <v>184</v>
      </c>
      <c r="BI103" s="15" t="s">
        <v>185</v>
      </c>
      <c r="BJ103" s="15" t="s">
        <v>186</v>
      </c>
      <c r="BK103" s="15" t="s">
        <v>187</v>
      </c>
      <c r="BL103" s="15" t="s">
        <v>188</v>
      </c>
      <c r="BM103" s="15" t="s">
        <v>189</v>
      </c>
      <c r="BN103" s="15" t="s">
        <v>190</v>
      </c>
      <c r="BO103" s="15" t="s">
        <v>191</v>
      </c>
      <c r="BR103" s="15" t="s">
        <v>192</v>
      </c>
      <c r="BS103" s="15" t="s">
        <v>193</v>
      </c>
      <c r="BT103" s="15" t="s">
        <v>194</v>
      </c>
      <c r="BU103" s="15" t="s">
        <v>195</v>
      </c>
      <c r="BV103" s="15" t="s">
        <v>196</v>
      </c>
      <c r="BW103" s="15" t="s">
        <v>195</v>
      </c>
      <c r="CB103" s="15" t="s">
        <v>128</v>
      </c>
      <c r="CC103" s="15">
        <v>1</v>
      </c>
      <c r="CN103" s="15" t="s">
        <v>225</v>
      </c>
      <c r="CW103" s="10">
        <v>2</v>
      </c>
      <c r="CX103" s="15" t="s">
        <v>488</v>
      </c>
    </row>
    <row r="104" spans="1:102" s="15" customFormat="1" x14ac:dyDescent="0.3">
      <c r="A104" s="11" t="s">
        <v>126</v>
      </c>
      <c r="B104" s="10" t="s">
        <v>489</v>
      </c>
      <c r="C104" s="12" t="s">
        <v>490</v>
      </c>
      <c r="D104" s="10">
        <v>12</v>
      </c>
      <c r="E104" s="13">
        <v>1000000</v>
      </c>
      <c r="F104" s="14" t="s">
        <v>210</v>
      </c>
      <c r="G104" s="14" t="s">
        <v>210</v>
      </c>
      <c r="H104" s="15" t="s">
        <v>211</v>
      </c>
      <c r="I104" s="8"/>
      <c r="J104" s="10"/>
      <c r="AW104" s="15" t="s">
        <v>128</v>
      </c>
      <c r="AX104" s="15" t="s">
        <v>484</v>
      </c>
      <c r="BH104" s="15" t="s">
        <v>184</v>
      </c>
      <c r="BI104" s="15" t="s">
        <v>185</v>
      </c>
      <c r="BJ104" s="15" t="s">
        <v>186</v>
      </c>
      <c r="BK104" s="15" t="s">
        <v>187</v>
      </c>
      <c r="BL104" s="15" t="s">
        <v>188</v>
      </c>
      <c r="BM104" s="15" t="s">
        <v>189</v>
      </c>
      <c r="BN104" s="15" t="s">
        <v>190</v>
      </c>
      <c r="BO104" s="15" t="s">
        <v>191</v>
      </c>
      <c r="BR104" s="15" t="s">
        <v>192</v>
      </c>
      <c r="BS104" s="15" t="s">
        <v>193</v>
      </c>
      <c r="BT104" s="15" t="s">
        <v>194</v>
      </c>
      <c r="BU104" s="15" t="s">
        <v>195</v>
      </c>
      <c r="BV104" s="15" t="s">
        <v>196</v>
      </c>
      <c r="BW104" s="15" t="s">
        <v>195</v>
      </c>
      <c r="CB104" s="15" t="s">
        <v>128</v>
      </c>
      <c r="CC104" s="15">
        <v>1</v>
      </c>
      <c r="CN104" s="15" t="s">
        <v>225</v>
      </c>
      <c r="CW104" s="10">
        <v>2</v>
      </c>
      <c r="CX104" s="15" t="s">
        <v>491</v>
      </c>
    </row>
    <row r="105" spans="1:102" s="15" customFormat="1" x14ac:dyDescent="0.3">
      <c r="A105" s="11" t="s">
        <v>126</v>
      </c>
      <c r="B105" s="10" t="s">
        <v>492</v>
      </c>
      <c r="C105" s="12" t="s">
        <v>820</v>
      </c>
      <c r="D105" s="10">
        <v>12</v>
      </c>
      <c r="E105" s="13">
        <v>100000</v>
      </c>
      <c r="F105" s="14" t="s">
        <v>243</v>
      </c>
      <c r="G105" s="14" t="s">
        <v>244</v>
      </c>
      <c r="H105" s="15" t="s">
        <v>254</v>
      </c>
      <c r="I105" s="8" t="s">
        <v>296</v>
      </c>
      <c r="J105" s="10" t="s">
        <v>493</v>
      </c>
      <c r="K105" s="15" t="s">
        <v>494</v>
      </c>
      <c r="AV105" s="15" t="s">
        <v>181</v>
      </c>
      <c r="AW105" s="15" t="s">
        <v>182</v>
      </c>
      <c r="AX105" s="15" t="s">
        <v>495</v>
      </c>
      <c r="AY105" s="15" t="s">
        <v>496</v>
      </c>
      <c r="AZ105" s="15" t="s">
        <v>497</v>
      </c>
      <c r="BA105" s="15" t="s">
        <v>498</v>
      </c>
      <c r="BH105" s="15" t="s">
        <v>184</v>
      </c>
      <c r="BI105" s="15" t="s">
        <v>185</v>
      </c>
      <c r="BJ105" s="15" t="s">
        <v>186</v>
      </c>
      <c r="BK105" s="15" t="s">
        <v>187</v>
      </c>
      <c r="BL105" s="15" t="s">
        <v>188</v>
      </c>
      <c r="BM105" s="15" t="s">
        <v>189</v>
      </c>
      <c r="BN105" s="15" t="s">
        <v>190</v>
      </c>
      <c r="BO105" s="15" t="s">
        <v>191</v>
      </c>
      <c r="BR105" s="15" t="s">
        <v>192</v>
      </c>
      <c r="BS105" s="15" t="s">
        <v>193</v>
      </c>
      <c r="BT105" s="15" t="s">
        <v>194</v>
      </c>
      <c r="BU105" s="15" t="s">
        <v>195</v>
      </c>
      <c r="BV105" s="15" t="s">
        <v>196</v>
      </c>
      <c r="BW105" s="15" t="s">
        <v>272</v>
      </c>
      <c r="CB105" s="15" t="s">
        <v>129</v>
      </c>
      <c r="CC105" s="15">
        <v>1</v>
      </c>
      <c r="CN105" s="15" t="s">
        <v>198</v>
      </c>
      <c r="CW105" s="10">
        <v>2</v>
      </c>
      <c r="CX105" s="15" t="s">
        <v>499</v>
      </c>
    </row>
    <row r="106" spans="1:102" s="15" customFormat="1" x14ac:dyDescent="0.3">
      <c r="A106" s="11" t="s">
        <v>126</v>
      </c>
      <c r="B106" s="10" t="s">
        <v>500</v>
      </c>
      <c r="C106" s="12" t="s">
        <v>501</v>
      </c>
      <c r="D106" s="10">
        <v>12</v>
      </c>
      <c r="E106" s="13">
        <v>10000000</v>
      </c>
      <c r="F106" s="14" t="s">
        <v>210</v>
      </c>
      <c r="G106" s="14" t="s">
        <v>210</v>
      </c>
      <c r="H106" s="15" t="s">
        <v>312</v>
      </c>
      <c r="I106" s="8"/>
      <c r="J106" s="10"/>
      <c r="AW106" s="15" t="s">
        <v>128</v>
      </c>
      <c r="AX106" s="15" t="s">
        <v>502</v>
      </c>
      <c r="BH106" s="15" t="s">
        <v>184</v>
      </c>
      <c r="BI106" s="15" t="s">
        <v>185</v>
      </c>
      <c r="BJ106" s="15" t="s">
        <v>186</v>
      </c>
      <c r="BK106" s="15" t="s">
        <v>187</v>
      </c>
      <c r="BL106" s="15" t="s">
        <v>188</v>
      </c>
      <c r="BM106" s="15" t="s">
        <v>189</v>
      </c>
      <c r="BN106" s="15" t="s">
        <v>190</v>
      </c>
      <c r="BO106" s="15" t="s">
        <v>191</v>
      </c>
      <c r="BR106" s="15" t="s">
        <v>192</v>
      </c>
      <c r="BS106" s="15" t="s">
        <v>193</v>
      </c>
      <c r="BT106" s="15" t="s">
        <v>194</v>
      </c>
      <c r="BU106" s="15" t="s">
        <v>195</v>
      </c>
      <c r="BV106" s="15" t="s">
        <v>196</v>
      </c>
      <c r="BW106" s="15" t="s">
        <v>272</v>
      </c>
      <c r="CB106" s="15" t="s">
        <v>128</v>
      </c>
      <c r="CC106" s="15">
        <v>1</v>
      </c>
      <c r="CN106" s="15" t="s">
        <v>503</v>
      </c>
      <c r="CW106" s="10">
        <v>2</v>
      </c>
      <c r="CX106" s="15" t="s">
        <v>504</v>
      </c>
    </row>
    <row r="107" spans="1:102" s="15" customFormat="1" x14ac:dyDescent="0.3">
      <c r="A107" s="11" t="s">
        <v>126</v>
      </c>
      <c r="B107" s="10" t="s">
        <v>505</v>
      </c>
      <c r="C107" s="12" t="s">
        <v>506</v>
      </c>
      <c r="D107" s="10">
        <v>12</v>
      </c>
      <c r="E107" s="13">
        <v>10000000</v>
      </c>
      <c r="F107" s="14" t="s">
        <v>210</v>
      </c>
      <c r="G107" s="14" t="s">
        <v>210</v>
      </c>
      <c r="H107" s="15" t="s">
        <v>312</v>
      </c>
      <c r="I107" s="8"/>
      <c r="J107" s="10"/>
      <c r="AW107" s="15" t="s">
        <v>128</v>
      </c>
      <c r="AX107" s="15" t="s">
        <v>502</v>
      </c>
      <c r="BH107" s="15" t="s">
        <v>184</v>
      </c>
      <c r="BI107" s="15" t="s">
        <v>185</v>
      </c>
      <c r="BJ107" s="15" t="s">
        <v>186</v>
      </c>
      <c r="BK107" s="15" t="s">
        <v>187</v>
      </c>
      <c r="BL107" s="15" t="s">
        <v>188</v>
      </c>
      <c r="BM107" s="15" t="s">
        <v>189</v>
      </c>
      <c r="BN107" s="15" t="s">
        <v>190</v>
      </c>
      <c r="BO107" s="15" t="s">
        <v>191</v>
      </c>
      <c r="BR107" s="15" t="s">
        <v>192</v>
      </c>
      <c r="BS107" s="15" t="s">
        <v>193</v>
      </c>
      <c r="BT107" s="15" t="s">
        <v>194</v>
      </c>
      <c r="BU107" s="15" t="s">
        <v>195</v>
      </c>
      <c r="BV107" s="15" t="s">
        <v>196</v>
      </c>
      <c r="BW107" s="15" t="s">
        <v>272</v>
      </c>
      <c r="CB107" s="15" t="s">
        <v>128</v>
      </c>
      <c r="CC107" s="15">
        <v>1</v>
      </c>
      <c r="CN107" s="15" t="s">
        <v>503</v>
      </c>
      <c r="CW107" s="10">
        <v>2</v>
      </c>
      <c r="CX107" s="15" t="s">
        <v>507</v>
      </c>
    </row>
    <row r="108" spans="1:102" s="15" customFormat="1" x14ac:dyDescent="0.3">
      <c r="A108" s="11" t="s">
        <v>126</v>
      </c>
      <c r="B108" s="10" t="s">
        <v>508</v>
      </c>
      <c r="C108" s="12" t="s">
        <v>3795</v>
      </c>
      <c r="D108" s="10">
        <v>12</v>
      </c>
      <c r="E108" s="13">
        <v>1000000</v>
      </c>
      <c r="F108" s="14" t="s">
        <v>243</v>
      </c>
      <c r="G108" s="14" t="s">
        <v>244</v>
      </c>
      <c r="H108" s="15" t="s">
        <v>254</v>
      </c>
      <c r="I108" s="8"/>
      <c r="J108" s="10"/>
      <c r="AV108" s="15" t="s">
        <v>181</v>
      </c>
      <c r="AW108" s="15" t="s">
        <v>182</v>
      </c>
      <c r="AX108" s="15" t="s">
        <v>509</v>
      </c>
      <c r="BH108" s="15" t="s">
        <v>184</v>
      </c>
      <c r="BI108" s="15" t="s">
        <v>185</v>
      </c>
      <c r="BJ108" s="15" t="s">
        <v>186</v>
      </c>
      <c r="BK108" s="15" t="s">
        <v>187</v>
      </c>
      <c r="BL108" s="15" t="s">
        <v>188</v>
      </c>
      <c r="BM108" s="15" t="s">
        <v>189</v>
      </c>
      <c r="BN108" s="15" t="s">
        <v>190</v>
      </c>
      <c r="BO108" s="15" t="s">
        <v>191</v>
      </c>
      <c r="BR108" s="15" t="s">
        <v>192</v>
      </c>
      <c r="BS108" s="15" t="s">
        <v>193</v>
      </c>
      <c r="BT108" s="15" t="s">
        <v>194</v>
      </c>
      <c r="BU108" s="15" t="s">
        <v>195</v>
      </c>
      <c r="BV108" s="15" t="s">
        <v>196</v>
      </c>
      <c r="BW108" s="15" t="s">
        <v>460</v>
      </c>
      <c r="CB108" s="15" t="s">
        <v>129</v>
      </c>
      <c r="CC108" s="15">
        <v>1</v>
      </c>
      <c r="CN108" s="15" t="s">
        <v>198</v>
      </c>
      <c r="CW108" s="10">
        <v>2</v>
      </c>
      <c r="CX108" s="15" t="s">
        <v>510</v>
      </c>
    </row>
    <row r="109" spans="1:102" s="15" customFormat="1" x14ac:dyDescent="0.3">
      <c r="A109" s="11" t="s">
        <v>126</v>
      </c>
      <c r="B109" s="10" t="s">
        <v>511</v>
      </c>
      <c r="C109" s="12" t="s">
        <v>3579</v>
      </c>
      <c r="D109" s="10">
        <v>12</v>
      </c>
      <c r="E109" s="13">
        <v>100000</v>
      </c>
      <c r="F109" s="14" t="s">
        <v>243</v>
      </c>
      <c r="G109" s="14" t="s">
        <v>244</v>
      </c>
      <c r="H109" s="15" t="s">
        <v>402</v>
      </c>
      <c r="I109" s="8"/>
      <c r="J109" s="10"/>
      <c r="AV109" s="15" t="s">
        <v>181</v>
      </c>
      <c r="AW109" s="15" t="s">
        <v>182</v>
      </c>
      <c r="AX109" s="15" t="s">
        <v>512</v>
      </c>
      <c r="BH109" s="15" t="s">
        <v>184</v>
      </c>
      <c r="BI109" s="15" t="s">
        <v>185</v>
      </c>
      <c r="BJ109" s="15" t="s">
        <v>186</v>
      </c>
      <c r="BK109" s="15" t="s">
        <v>187</v>
      </c>
      <c r="BL109" s="15" t="s">
        <v>188</v>
      </c>
      <c r="BM109" s="15" t="s">
        <v>189</v>
      </c>
      <c r="BN109" s="15" t="s">
        <v>190</v>
      </c>
      <c r="BO109" s="15" t="s">
        <v>191</v>
      </c>
      <c r="BR109" s="15" t="s">
        <v>192</v>
      </c>
      <c r="BS109" s="15" t="s">
        <v>193</v>
      </c>
      <c r="BT109" s="15" t="s">
        <v>194</v>
      </c>
      <c r="BU109" s="15" t="s">
        <v>195</v>
      </c>
      <c r="BV109" s="15" t="s">
        <v>196</v>
      </c>
      <c r="BW109" s="15" t="s">
        <v>460</v>
      </c>
      <c r="CB109" s="15" t="s">
        <v>129</v>
      </c>
      <c r="CC109" s="15">
        <v>1</v>
      </c>
      <c r="CN109" s="15" t="s">
        <v>198</v>
      </c>
      <c r="CW109" s="10">
        <v>2</v>
      </c>
      <c r="CX109" s="15" t="s">
        <v>513</v>
      </c>
    </row>
    <row r="110" spans="1:102" s="15" customFormat="1" x14ac:dyDescent="0.3">
      <c r="A110" s="11" t="s">
        <v>126</v>
      </c>
      <c r="B110" s="10" t="s">
        <v>514</v>
      </c>
      <c r="C110" s="12" t="s">
        <v>519</v>
      </c>
      <c r="D110" s="10">
        <v>12</v>
      </c>
      <c r="E110" s="13">
        <v>1000000</v>
      </c>
      <c r="F110" s="14" t="s">
        <v>243</v>
      </c>
      <c r="G110" s="14" t="s">
        <v>244</v>
      </c>
      <c r="H110" s="15" t="s">
        <v>211</v>
      </c>
      <c r="I110" s="8"/>
      <c r="J110" s="10"/>
      <c r="AV110" s="15" t="s">
        <v>181</v>
      </c>
      <c r="AW110" s="15" t="s">
        <v>182</v>
      </c>
      <c r="AX110" s="15" t="s">
        <v>515</v>
      </c>
      <c r="BH110" s="15" t="s">
        <v>184</v>
      </c>
      <c r="BI110" s="15" t="s">
        <v>185</v>
      </c>
      <c r="BJ110" s="15" t="s">
        <v>186</v>
      </c>
      <c r="BK110" s="15" t="s">
        <v>187</v>
      </c>
      <c r="BL110" s="15" t="s">
        <v>188</v>
      </c>
      <c r="BM110" s="15" t="s">
        <v>189</v>
      </c>
      <c r="BN110" s="15" t="s">
        <v>190</v>
      </c>
      <c r="BO110" s="15" t="s">
        <v>191</v>
      </c>
      <c r="BR110" s="15" t="s">
        <v>192</v>
      </c>
      <c r="BS110" s="15" t="s">
        <v>193</v>
      </c>
      <c r="BT110" s="15" t="s">
        <v>194</v>
      </c>
      <c r="BU110" s="15" t="s">
        <v>195</v>
      </c>
      <c r="BV110" s="15" t="s">
        <v>196</v>
      </c>
      <c r="BW110" s="15" t="s">
        <v>516</v>
      </c>
      <c r="CB110" s="15" t="s">
        <v>129</v>
      </c>
      <c r="CC110" s="15">
        <v>1</v>
      </c>
      <c r="CN110" s="15" t="s">
        <v>198</v>
      </c>
      <c r="CW110" s="10">
        <v>2</v>
      </c>
      <c r="CX110" s="15" t="s">
        <v>517</v>
      </c>
    </row>
    <row r="111" spans="1:102" s="15" customFormat="1" x14ac:dyDescent="0.3">
      <c r="A111" s="11" t="s">
        <v>126</v>
      </c>
      <c r="B111" s="10" t="s">
        <v>518</v>
      </c>
      <c r="C111" s="12" t="s">
        <v>519</v>
      </c>
      <c r="D111" s="10">
        <v>12</v>
      </c>
      <c r="E111" s="13">
        <v>1000000</v>
      </c>
      <c r="F111" s="14" t="s">
        <v>244</v>
      </c>
      <c r="G111" s="14" t="s">
        <v>244</v>
      </c>
      <c r="H111" s="15" t="s">
        <v>211</v>
      </c>
      <c r="I111" s="8"/>
      <c r="J111" s="10"/>
      <c r="AW111" s="15" t="s">
        <v>128</v>
      </c>
      <c r="AX111" s="15" t="s">
        <v>515</v>
      </c>
      <c r="BH111" s="15" t="s">
        <v>184</v>
      </c>
      <c r="BI111" s="15" t="s">
        <v>185</v>
      </c>
      <c r="BJ111" s="15" t="s">
        <v>186</v>
      </c>
      <c r="BK111" s="15" t="s">
        <v>187</v>
      </c>
      <c r="BL111" s="15" t="s">
        <v>188</v>
      </c>
      <c r="BM111" s="15" t="s">
        <v>189</v>
      </c>
      <c r="BN111" s="15" t="s">
        <v>190</v>
      </c>
      <c r="BO111" s="15" t="s">
        <v>191</v>
      </c>
      <c r="BR111" s="15" t="s">
        <v>192</v>
      </c>
      <c r="BS111" s="15" t="s">
        <v>193</v>
      </c>
      <c r="BT111" s="15" t="s">
        <v>194</v>
      </c>
      <c r="BU111" s="15" t="s">
        <v>195</v>
      </c>
      <c r="BV111" s="15" t="s">
        <v>196</v>
      </c>
      <c r="BW111" s="15" t="s">
        <v>516</v>
      </c>
      <c r="CB111" s="15" t="s">
        <v>128</v>
      </c>
      <c r="CC111" s="15">
        <v>1</v>
      </c>
      <c r="CN111" s="15" t="s">
        <v>198</v>
      </c>
      <c r="CW111" s="10">
        <v>2</v>
      </c>
      <c r="CX111" s="15" t="s">
        <v>520</v>
      </c>
    </row>
    <row r="112" spans="1:102" s="15" customFormat="1" x14ac:dyDescent="0.3">
      <c r="A112" s="11" t="s">
        <v>126</v>
      </c>
      <c r="B112" s="10" t="s">
        <v>521</v>
      </c>
      <c r="C112" s="12" t="s">
        <v>522</v>
      </c>
      <c r="D112" s="10">
        <v>12</v>
      </c>
      <c r="E112" s="13">
        <v>1000000</v>
      </c>
      <c r="F112" s="14" t="s">
        <v>244</v>
      </c>
      <c r="G112" s="14" t="s">
        <v>244</v>
      </c>
      <c r="H112" s="15" t="s">
        <v>211</v>
      </c>
      <c r="I112" s="8"/>
      <c r="J112" s="10"/>
      <c r="AW112" s="15" t="s">
        <v>128</v>
      </c>
      <c r="AX112" s="15" t="s">
        <v>515</v>
      </c>
      <c r="BH112" s="15" t="s">
        <v>184</v>
      </c>
      <c r="BI112" s="15" t="s">
        <v>185</v>
      </c>
      <c r="BJ112" s="15" t="s">
        <v>186</v>
      </c>
      <c r="BK112" s="15" t="s">
        <v>187</v>
      </c>
      <c r="BL112" s="15" t="s">
        <v>188</v>
      </c>
      <c r="BM112" s="15" t="s">
        <v>189</v>
      </c>
      <c r="BN112" s="15" t="s">
        <v>190</v>
      </c>
      <c r="BO112" s="15" t="s">
        <v>191</v>
      </c>
      <c r="BR112" s="15" t="s">
        <v>192</v>
      </c>
      <c r="BS112" s="15" t="s">
        <v>193</v>
      </c>
      <c r="BT112" s="15" t="s">
        <v>194</v>
      </c>
      <c r="BU112" s="15" t="s">
        <v>195</v>
      </c>
      <c r="BV112" s="15" t="s">
        <v>196</v>
      </c>
      <c r="BW112" s="15" t="s">
        <v>516</v>
      </c>
      <c r="CB112" s="15" t="s">
        <v>128</v>
      </c>
      <c r="CC112" s="15">
        <v>1</v>
      </c>
      <c r="CN112" s="15" t="s">
        <v>198</v>
      </c>
      <c r="CW112" s="10">
        <v>2</v>
      </c>
      <c r="CX112" s="15" t="s">
        <v>523</v>
      </c>
    </row>
    <row r="113" spans="1:102" s="15" customFormat="1" x14ac:dyDescent="0.3">
      <c r="A113" s="11" t="s">
        <v>126</v>
      </c>
      <c r="B113" s="10" t="s">
        <v>524</v>
      </c>
      <c r="C113" s="12" t="s">
        <v>3796</v>
      </c>
      <c r="D113" s="10">
        <v>12</v>
      </c>
      <c r="E113" s="13">
        <v>100000</v>
      </c>
      <c r="F113" s="14" t="s">
        <v>243</v>
      </c>
      <c r="G113" s="14" t="s">
        <v>244</v>
      </c>
      <c r="H113" s="15" t="s">
        <v>254</v>
      </c>
      <c r="I113" s="8"/>
      <c r="J113" s="10"/>
      <c r="AV113" s="15" t="s">
        <v>181</v>
      </c>
      <c r="AW113" s="15" t="s">
        <v>182</v>
      </c>
      <c r="AX113" s="15" t="s">
        <v>525</v>
      </c>
      <c r="BH113" s="15" t="s">
        <v>184</v>
      </c>
      <c r="BI113" s="15" t="s">
        <v>185</v>
      </c>
      <c r="BJ113" s="15" t="s">
        <v>186</v>
      </c>
      <c r="BK113" s="15" t="s">
        <v>187</v>
      </c>
      <c r="BL113" s="15" t="s">
        <v>188</v>
      </c>
      <c r="BM113" s="15" t="s">
        <v>189</v>
      </c>
      <c r="BN113" s="15" t="s">
        <v>190</v>
      </c>
      <c r="BO113" s="15" t="s">
        <v>191</v>
      </c>
      <c r="BR113" s="15" t="s">
        <v>192</v>
      </c>
      <c r="BS113" s="15" t="s">
        <v>193</v>
      </c>
      <c r="BT113" s="15" t="s">
        <v>194</v>
      </c>
      <c r="BU113" s="15" t="s">
        <v>195</v>
      </c>
      <c r="BV113" s="15" t="s">
        <v>196</v>
      </c>
      <c r="BW113" s="15" t="s">
        <v>251</v>
      </c>
      <c r="CB113" s="15" t="s">
        <v>129</v>
      </c>
      <c r="CC113" s="15">
        <v>1</v>
      </c>
      <c r="CN113" s="15" t="s">
        <v>198</v>
      </c>
      <c r="CW113" s="10">
        <v>2</v>
      </c>
      <c r="CX113" s="15" t="s">
        <v>526</v>
      </c>
    </row>
    <row r="114" spans="1:102" s="15" customFormat="1" x14ac:dyDescent="0.3">
      <c r="A114" s="11" t="s">
        <v>126</v>
      </c>
      <c r="B114" s="10" t="s">
        <v>527</v>
      </c>
      <c r="C114" s="12" t="s">
        <v>531</v>
      </c>
      <c r="D114" s="10">
        <v>12</v>
      </c>
      <c r="E114" s="13">
        <v>1000000</v>
      </c>
      <c r="F114" s="14" t="s">
        <v>243</v>
      </c>
      <c r="G114" s="14" t="s">
        <v>244</v>
      </c>
      <c r="H114" s="15" t="s">
        <v>211</v>
      </c>
      <c r="I114" s="8"/>
      <c r="J114" s="10"/>
      <c r="AV114" s="15" t="s">
        <v>181</v>
      </c>
      <c r="AW114" s="15" t="s">
        <v>182</v>
      </c>
      <c r="AX114" s="15" t="s">
        <v>528</v>
      </c>
      <c r="BH114" s="15" t="s">
        <v>184</v>
      </c>
      <c r="BI114" s="15" t="s">
        <v>185</v>
      </c>
      <c r="BJ114" s="15" t="s">
        <v>186</v>
      </c>
      <c r="BK114" s="15" t="s">
        <v>187</v>
      </c>
      <c r="BL114" s="15" t="s">
        <v>188</v>
      </c>
      <c r="BM114" s="15" t="s">
        <v>189</v>
      </c>
      <c r="BN114" s="15" t="s">
        <v>190</v>
      </c>
      <c r="BO114" s="15" t="s">
        <v>191</v>
      </c>
      <c r="BR114" s="15" t="s">
        <v>192</v>
      </c>
      <c r="BS114" s="15" t="s">
        <v>193</v>
      </c>
      <c r="BT114" s="15" t="s">
        <v>194</v>
      </c>
      <c r="BU114" s="15" t="s">
        <v>195</v>
      </c>
      <c r="BV114" s="15" t="s">
        <v>196</v>
      </c>
      <c r="BW114" s="15" t="s">
        <v>516</v>
      </c>
      <c r="CB114" s="15" t="s">
        <v>129</v>
      </c>
      <c r="CC114" s="15">
        <v>1</v>
      </c>
      <c r="CN114" s="15" t="s">
        <v>198</v>
      </c>
      <c r="CW114" s="10">
        <v>2</v>
      </c>
      <c r="CX114" s="15" t="s">
        <v>529</v>
      </c>
    </row>
    <row r="115" spans="1:102" s="15" customFormat="1" x14ac:dyDescent="0.3">
      <c r="A115" s="11" t="s">
        <v>126</v>
      </c>
      <c r="B115" s="10" t="s">
        <v>530</v>
      </c>
      <c r="C115" s="12" t="s">
        <v>531</v>
      </c>
      <c r="D115" s="10">
        <v>12</v>
      </c>
      <c r="E115" s="13">
        <v>1000000</v>
      </c>
      <c r="F115" s="14" t="s">
        <v>244</v>
      </c>
      <c r="G115" s="14" t="s">
        <v>244</v>
      </c>
      <c r="H115" s="15" t="s">
        <v>211</v>
      </c>
      <c r="I115" s="8"/>
      <c r="J115" s="10"/>
      <c r="AW115" s="15" t="s">
        <v>128</v>
      </c>
      <c r="AX115" s="15" t="s">
        <v>528</v>
      </c>
      <c r="BH115" s="15" t="s">
        <v>184</v>
      </c>
      <c r="BI115" s="15" t="s">
        <v>185</v>
      </c>
      <c r="BJ115" s="15" t="s">
        <v>186</v>
      </c>
      <c r="BK115" s="15" t="s">
        <v>187</v>
      </c>
      <c r="BL115" s="15" t="s">
        <v>188</v>
      </c>
      <c r="BM115" s="15" t="s">
        <v>189</v>
      </c>
      <c r="BN115" s="15" t="s">
        <v>190</v>
      </c>
      <c r="BO115" s="15" t="s">
        <v>191</v>
      </c>
      <c r="BR115" s="15" t="s">
        <v>192</v>
      </c>
      <c r="BS115" s="15" t="s">
        <v>193</v>
      </c>
      <c r="BT115" s="15" t="s">
        <v>194</v>
      </c>
      <c r="BU115" s="15" t="s">
        <v>195</v>
      </c>
      <c r="BV115" s="15" t="s">
        <v>196</v>
      </c>
      <c r="BW115" s="15" t="s">
        <v>516</v>
      </c>
      <c r="CB115" s="15" t="s">
        <v>128</v>
      </c>
      <c r="CC115" s="15">
        <v>1</v>
      </c>
      <c r="CN115" s="15" t="s">
        <v>198</v>
      </c>
      <c r="CW115" s="10">
        <v>2</v>
      </c>
      <c r="CX115" s="15" t="s">
        <v>532</v>
      </c>
    </row>
    <row r="116" spans="1:102" s="15" customFormat="1" x14ac:dyDescent="0.3">
      <c r="A116" s="11" t="s">
        <v>126</v>
      </c>
      <c r="B116" s="10" t="s">
        <v>533</v>
      </c>
      <c r="C116" s="12" t="s">
        <v>534</v>
      </c>
      <c r="D116" s="10">
        <v>12</v>
      </c>
      <c r="E116" s="13">
        <v>1000000</v>
      </c>
      <c r="F116" s="14" t="s">
        <v>244</v>
      </c>
      <c r="G116" s="14" t="s">
        <v>244</v>
      </c>
      <c r="H116" s="15" t="s">
        <v>211</v>
      </c>
      <c r="I116" s="8"/>
      <c r="J116" s="10"/>
      <c r="AW116" s="15" t="s">
        <v>128</v>
      </c>
      <c r="AX116" s="15" t="s">
        <v>528</v>
      </c>
      <c r="BH116" s="15" t="s">
        <v>184</v>
      </c>
      <c r="BI116" s="15" t="s">
        <v>185</v>
      </c>
      <c r="BJ116" s="15" t="s">
        <v>186</v>
      </c>
      <c r="BK116" s="15" t="s">
        <v>187</v>
      </c>
      <c r="BL116" s="15" t="s">
        <v>188</v>
      </c>
      <c r="BM116" s="15" t="s">
        <v>189</v>
      </c>
      <c r="BN116" s="15" t="s">
        <v>190</v>
      </c>
      <c r="BO116" s="15" t="s">
        <v>191</v>
      </c>
      <c r="BR116" s="15" t="s">
        <v>192</v>
      </c>
      <c r="BS116" s="15" t="s">
        <v>193</v>
      </c>
      <c r="BT116" s="15" t="s">
        <v>194</v>
      </c>
      <c r="BU116" s="15" t="s">
        <v>195</v>
      </c>
      <c r="BV116" s="15" t="s">
        <v>196</v>
      </c>
      <c r="BW116" s="15" t="s">
        <v>516</v>
      </c>
      <c r="CB116" s="15" t="s">
        <v>128</v>
      </c>
      <c r="CC116" s="15">
        <v>1</v>
      </c>
      <c r="CN116" s="15" t="s">
        <v>198</v>
      </c>
      <c r="CW116" s="10">
        <v>2</v>
      </c>
      <c r="CX116" s="15" t="s">
        <v>535</v>
      </c>
    </row>
    <row r="117" spans="1:102" s="15" customFormat="1" x14ac:dyDescent="0.3">
      <c r="A117" s="11" t="s">
        <v>126</v>
      </c>
      <c r="B117" s="10" t="s">
        <v>536</v>
      </c>
      <c r="C117" s="12" t="s">
        <v>3670</v>
      </c>
      <c r="D117" s="10">
        <v>12</v>
      </c>
      <c r="E117" s="13">
        <v>10000</v>
      </c>
      <c r="F117" s="14" t="s">
        <v>243</v>
      </c>
      <c r="G117" s="14" t="s">
        <v>244</v>
      </c>
      <c r="H117" s="15" t="s">
        <v>402</v>
      </c>
      <c r="I117" s="8"/>
      <c r="J117" s="10"/>
      <c r="AV117" s="15" t="s">
        <v>181</v>
      </c>
      <c r="AW117" s="15" t="s">
        <v>182</v>
      </c>
      <c r="AX117" s="15" t="s">
        <v>537</v>
      </c>
      <c r="BH117" s="15" t="s">
        <v>184</v>
      </c>
      <c r="BI117" s="15" t="s">
        <v>185</v>
      </c>
      <c r="BJ117" s="15" t="s">
        <v>186</v>
      </c>
      <c r="BK117" s="15" t="s">
        <v>187</v>
      </c>
      <c r="BL117" s="15" t="s">
        <v>188</v>
      </c>
      <c r="BM117" s="15" t="s">
        <v>189</v>
      </c>
      <c r="BN117" s="15" t="s">
        <v>190</v>
      </c>
      <c r="BO117" s="15" t="s">
        <v>191</v>
      </c>
      <c r="BR117" s="15" t="s">
        <v>192</v>
      </c>
      <c r="BS117" s="15" t="s">
        <v>193</v>
      </c>
      <c r="BT117" s="15" t="s">
        <v>194</v>
      </c>
      <c r="BU117" s="15" t="s">
        <v>195</v>
      </c>
      <c r="BV117" s="15" t="s">
        <v>196</v>
      </c>
      <c r="BW117" s="15" t="s">
        <v>205</v>
      </c>
      <c r="CB117" s="15" t="s">
        <v>129</v>
      </c>
      <c r="CC117" s="15">
        <v>1</v>
      </c>
      <c r="CN117" s="15" t="s">
        <v>198</v>
      </c>
      <c r="CW117" s="10">
        <v>1</v>
      </c>
      <c r="CX117" s="15" t="s">
        <v>538</v>
      </c>
    </row>
    <row r="118" spans="1:102" s="15" customFormat="1" x14ac:dyDescent="0.3">
      <c r="A118" s="11" t="s">
        <v>126</v>
      </c>
      <c r="B118" s="10" t="s">
        <v>539</v>
      </c>
      <c r="C118" s="12" t="s">
        <v>540</v>
      </c>
      <c r="D118" s="10">
        <v>12</v>
      </c>
      <c r="E118" s="13">
        <v>1000000</v>
      </c>
      <c r="F118" s="14" t="s">
        <v>541</v>
      </c>
      <c r="G118" s="14" t="s">
        <v>541</v>
      </c>
      <c r="H118" s="15" t="s">
        <v>542</v>
      </c>
      <c r="I118" s="8"/>
      <c r="J118" s="10"/>
      <c r="AW118" s="15" t="s">
        <v>128</v>
      </c>
      <c r="AX118" s="15" t="s">
        <v>543</v>
      </c>
      <c r="AY118" s="15" t="s">
        <v>544</v>
      </c>
      <c r="AZ118" s="15" t="s">
        <v>545</v>
      </c>
      <c r="BF118" s="15" t="s">
        <v>544</v>
      </c>
      <c r="BG118" s="15" t="s">
        <v>545</v>
      </c>
      <c r="BH118" s="15" t="s">
        <v>184</v>
      </c>
      <c r="BI118" s="15" t="s">
        <v>185</v>
      </c>
      <c r="BJ118" s="15" t="s">
        <v>186</v>
      </c>
      <c r="BK118" s="15" t="s">
        <v>187</v>
      </c>
      <c r="BL118" s="15" t="s">
        <v>188</v>
      </c>
      <c r="BM118" s="15" t="s">
        <v>189</v>
      </c>
      <c r="BN118" s="15" t="s">
        <v>190</v>
      </c>
      <c r="BO118" s="15" t="s">
        <v>191</v>
      </c>
      <c r="BP118" s="15" t="s">
        <v>467</v>
      </c>
      <c r="BQ118" s="15" t="s">
        <v>468</v>
      </c>
      <c r="BR118" s="15" t="s">
        <v>192</v>
      </c>
      <c r="BS118" s="15" t="s">
        <v>193</v>
      </c>
      <c r="BT118" s="15" t="s">
        <v>194</v>
      </c>
      <c r="BU118" s="15" t="s">
        <v>195</v>
      </c>
      <c r="BV118" s="15" t="s">
        <v>196</v>
      </c>
      <c r="BW118" s="15" t="s">
        <v>272</v>
      </c>
      <c r="CB118" s="15" t="s">
        <v>128</v>
      </c>
      <c r="CC118" s="15">
        <v>1</v>
      </c>
      <c r="CN118" s="15" t="s">
        <v>469</v>
      </c>
      <c r="CW118" s="10">
        <v>2</v>
      </c>
      <c r="CX118" s="15" t="s">
        <v>546</v>
      </c>
    </row>
    <row r="119" spans="1:102" s="15" customFormat="1" x14ac:dyDescent="0.3">
      <c r="A119" s="11" t="s">
        <v>126</v>
      </c>
      <c r="B119" s="10" t="s">
        <v>547</v>
      </c>
      <c r="C119" s="12" t="s">
        <v>548</v>
      </c>
      <c r="D119" s="10">
        <v>12</v>
      </c>
      <c r="E119" s="13">
        <v>1000000</v>
      </c>
      <c r="F119" s="14" t="s">
        <v>541</v>
      </c>
      <c r="G119" s="14" t="s">
        <v>541</v>
      </c>
      <c r="H119" s="15" t="s">
        <v>542</v>
      </c>
      <c r="I119" s="8"/>
      <c r="J119" s="10"/>
      <c r="AW119" s="15" t="s">
        <v>128</v>
      </c>
      <c r="AX119" s="15" t="s">
        <v>543</v>
      </c>
      <c r="AY119" s="15" t="s">
        <v>544</v>
      </c>
      <c r="AZ119" s="15" t="s">
        <v>545</v>
      </c>
      <c r="BF119" s="15" t="s">
        <v>544</v>
      </c>
      <c r="BG119" s="15" t="s">
        <v>545</v>
      </c>
      <c r="BH119" s="15" t="s">
        <v>184</v>
      </c>
      <c r="BI119" s="15" t="s">
        <v>185</v>
      </c>
      <c r="BJ119" s="15" t="s">
        <v>186</v>
      </c>
      <c r="BK119" s="15" t="s">
        <v>187</v>
      </c>
      <c r="BL119" s="15" t="s">
        <v>188</v>
      </c>
      <c r="BM119" s="15" t="s">
        <v>189</v>
      </c>
      <c r="BN119" s="15" t="s">
        <v>190</v>
      </c>
      <c r="BO119" s="15" t="s">
        <v>191</v>
      </c>
      <c r="BP119" s="15" t="s">
        <v>467</v>
      </c>
      <c r="BQ119" s="15" t="s">
        <v>468</v>
      </c>
      <c r="BR119" s="15" t="s">
        <v>192</v>
      </c>
      <c r="BS119" s="15" t="s">
        <v>193</v>
      </c>
      <c r="BT119" s="15" t="s">
        <v>194</v>
      </c>
      <c r="BU119" s="15" t="s">
        <v>195</v>
      </c>
      <c r="BV119" s="15" t="s">
        <v>196</v>
      </c>
      <c r="BW119" s="15" t="s">
        <v>272</v>
      </c>
      <c r="CB119" s="15" t="s">
        <v>128</v>
      </c>
      <c r="CC119" s="15">
        <v>1</v>
      </c>
      <c r="CN119" s="15" t="s">
        <v>469</v>
      </c>
      <c r="CW119" s="10">
        <v>2</v>
      </c>
      <c r="CX119" s="15" t="s">
        <v>549</v>
      </c>
    </row>
    <row r="120" spans="1:102" s="15" customFormat="1" x14ac:dyDescent="0.3">
      <c r="A120" s="11" t="s">
        <v>126</v>
      </c>
      <c r="B120" s="10" t="s">
        <v>550</v>
      </c>
      <c r="C120" s="12" t="s">
        <v>551</v>
      </c>
      <c r="D120" s="10">
        <v>12</v>
      </c>
      <c r="E120" s="13">
        <v>1000000</v>
      </c>
      <c r="F120" s="14" t="s">
        <v>541</v>
      </c>
      <c r="G120" s="14" t="s">
        <v>541</v>
      </c>
      <c r="H120" s="15" t="s">
        <v>542</v>
      </c>
      <c r="I120" s="8"/>
      <c r="J120" s="10"/>
      <c r="AW120" s="15" t="s">
        <v>128</v>
      </c>
      <c r="AX120" s="15" t="s">
        <v>552</v>
      </c>
      <c r="AY120" s="15" t="s">
        <v>553</v>
      </c>
      <c r="AZ120" s="15" t="s">
        <v>554</v>
      </c>
      <c r="BF120" s="15" t="s">
        <v>553</v>
      </c>
      <c r="BG120" s="15" t="s">
        <v>554</v>
      </c>
      <c r="BH120" s="15" t="s">
        <v>184</v>
      </c>
      <c r="BI120" s="15" t="s">
        <v>185</v>
      </c>
      <c r="BJ120" s="15" t="s">
        <v>186</v>
      </c>
      <c r="BK120" s="15" t="s">
        <v>187</v>
      </c>
      <c r="BL120" s="15" t="s">
        <v>188</v>
      </c>
      <c r="BM120" s="15" t="s">
        <v>189</v>
      </c>
      <c r="BN120" s="15" t="s">
        <v>190</v>
      </c>
      <c r="BO120" s="15" t="s">
        <v>191</v>
      </c>
      <c r="BP120" s="15" t="s">
        <v>467</v>
      </c>
      <c r="BQ120" s="15" t="s">
        <v>468</v>
      </c>
      <c r="BR120" s="15" t="s">
        <v>192</v>
      </c>
      <c r="BS120" s="15" t="s">
        <v>193</v>
      </c>
      <c r="BT120" s="15" t="s">
        <v>194</v>
      </c>
      <c r="BU120" s="15" t="s">
        <v>195</v>
      </c>
      <c r="BV120" s="15" t="s">
        <v>196</v>
      </c>
      <c r="BW120" s="15" t="s">
        <v>272</v>
      </c>
      <c r="CB120" s="15" t="s">
        <v>128</v>
      </c>
      <c r="CC120" s="15">
        <v>1</v>
      </c>
      <c r="CN120" s="15" t="s">
        <v>469</v>
      </c>
      <c r="CW120" s="10">
        <v>2</v>
      </c>
      <c r="CX120" s="15" t="s">
        <v>555</v>
      </c>
    </row>
    <row r="121" spans="1:102" s="15" customFormat="1" x14ac:dyDescent="0.3">
      <c r="A121" s="11" t="s">
        <v>126</v>
      </c>
      <c r="B121" s="10" t="s">
        <v>556</v>
      </c>
      <c r="C121" s="12" t="s">
        <v>557</v>
      </c>
      <c r="D121" s="10">
        <v>12</v>
      </c>
      <c r="E121" s="13">
        <v>1000000</v>
      </c>
      <c r="F121" s="14" t="s">
        <v>541</v>
      </c>
      <c r="G121" s="14" t="s">
        <v>541</v>
      </c>
      <c r="H121" s="15" t="s">
        <v>542</v>
      </c>
      <c r="I121" s="8"/>
      <c r="J121" s="10"/>
      <c r="AW121" s="15" t="s">
        <v>128</v>
      </c>
      <c r="AX121" s="15" t="s">
        <v>552</v>
      </c>
      <c r="AY121" s="15" t="s">
        <v>553</v>
      </c>
      <c r="AZ121" s="15" t="s">
        <v>554</v>
      </c>
      <c r="BF121" s="15" t="s">
        <v>553</v>
      </c>
      <c r="BG121" s="15" t="s">
        <v>554</v>
      </c>
      <c r="BH121" s="15" t="s">
        <v>184</v>
      </c>
      <c r="BI121" s="15" t="s">
        <v>185</v>
      </c>
      <c r="BJ121" s="15" t="s">
        <v>186</v>
      </c>
      <c r="BK121" s="15" t="s">
        <v>187</v>
      </c>
      <c r="BL121" s="15" t="s">
        <v>188</v>
      </c>
      <c r="BM121" s="15" t="s">
        <v>189</v>
      </c>
      <c r="BN121" s="15" t="s">
        <v>190</v>
      </c>
      <c r="BO121" s="15" t="s">
        <v>191</v>
      </c>
      <c r="BP121" s="15" t="s">
        <v>467</v>
      </c>
      <c r="BQ121" s="15" t="s">
        <v>468</v>
      </c>
      <c r="BR121" s="15" t="s">
        <v>192</v>
      </c>
      <c r="BS121" s="15" t="s">
        <v>193</v>
      </c>
      <c r="BT121" s="15" t="s">
        <v>194</v>
      </c>
      <c r="BU121" s="15" t="s">
        <v>195</v>
      </c>
      <c r="BV121" s="15" t="s">
        <v>196</v>
      </c>
      <c r="BW121" s="15" t="s">
        <v>272</v>
      </c>
      <c r="CB121" s="15" t="s">
        <v>128</v>
      </c>
      <c r="CC121" s="15">
        <v>1</v>
      </c>
      <c r="CN121" s="15" t="s">
        <v>469</v>
      </c>
      <c r="CW121" s="10">
        <v>2</v>
      </c>
      <c r="CX121" s="15" t="s">
        <v>558</v>
      </c>
    </row>
    <row r="122" spans="1:102" s="15" customFormat="1" x14ac:dyDescent="0.3">
      <c r="A122" s="11" t="s">
        <v>126</v>
      </c>
      <c r="B122" s="10" t="s">
        <v>559</v>
      </c>
      <c r="C122" s="12" t="s">
        <v>3680</v>
      </c>
      <c r="D122" s="10">
        <v>12</v>
      </c>
      <c r="E122" s="13">
        <v>100000</v>
      </c>
      <c r="F122" s="14" t="s">
        <v>243</v>
      </c>
      <c r="G122" s="14" t="s">
        <v>244</v>
      </c>
      <c r="H122" s="15" t="s">
        <v>402</v>
      </c>
      <c r="I122" s="8"/>
      <c r="J122" s="10"/>
      <c r="AV122" s="15" t="s">
        <v>181</v>
      </c>
      <c r="AW122" s="15" t="s">
        <v>182</v>
      </c>
      <c r="AX122" s="15" t="s">
        <v>560</v>
      </c>
      <c r="BH122" s="15" t="s">
        <v>184</v>
      </c>
      <c r="BI122" s="15" t="s">
        <v>185</v>
      </c>
      <c r="BJ122" s="15" t="s">
        <v>186</v>
      </c>
      <c r="BK122" s="15" t="s">
        <v>187</v>
      </c>
      <c r="BL122" s="15" t="s">
        <v>188</v>
      </c>
      <c r="BM122" s="15" t="s">
        <v>189</v>
      </c>
      <c r="BN122" s="15" t="s">
        <v>190</v>
      </c>
      <c r="BO122" s="15" t="s">
        <v>191</v>
      </c>
      <c r="BR122" s="15" t="s">
        <v>192</v>
      </c>
      <c r="BS122" s="15" t="s">
        <v>193</v>
      </c>
      <c r="BT122" s="15" t="s">
        <v>194</v>
      </c>
      <c r="BU122" s="15" t="s">
        <v>195</v>
      </c>
      <c r="BV122" s="15" t="s">
        <v>196</v>
      </c>
      <c r="BW122" s="15" t="s">
        <v>460</v>
      </c>
      <c r="CB122" s="15" t="s">
        <v>129</v>
      </c>
      <c r="CC122" s="15">
        <v>1</v>
      </c>
      <c r="CN122" s="15" t="s">
        <v>198</v>
      </c>
      <c r="CW122" s="10">
        <v>2</v>
      </c>
      <c r="CX122" s="15" t="s">
        <v>561</v>
      </c>
    </row>
    <row r="123" spans="1:102" s="15" customFormat="1" x14ac:dyDescent="0.3">
      <c r="A123" s="11" t="s">
        <v>126</v>
      </c>
      <c r="B123" s="10" t="s">
        <v>562</v>
      </c>
      <c r="C123" s="12" t="s">
        <v>3676</v>
      </c>
      <c r="D123" s="10">
        <v>12</v>
      </c>
      <c r="E123" s="13">
        <v>50000</v>
      </c>
      <c r="F123" s="14" t="s">
        <v>243</v>
      </c>
      <c r="G123" s="14" t="s">
        <v>244</v>
      </c>
      <c r="H123" s="15" t="s">
        <v>402</v>
      </c>
      <c r="I123" s="8"/>
      <c r="J123" s="10"/>
      <c r="AV123" s="15" t="s">
        <v>181</v>
      </c>
      <c r="AW123" s="15" t="s">
        <v>182</v>
      </c>
      <c r="AX123" s="15" t="s">
        <v>563</v>
      </c>
      <c r="BH123" s="15" t="s">
        <v>184</v>
      </c>
      <c r="BI123" s="15" t="s">
        <v>185</v>
      </c>
      <c r="BJ123" s="15" t="s">
        <v>186</v>
      </c>
      <c r="BK123" s="15" t="s">
        <v>187</v>
      </c>
      <c r="BL123" s="15" t="s">
        <v>188</v>
      </c>
      <c r="BM123" s="15" t="s">
        <v>189</v>
      </c>
      <c r="BN123" s="15" t="s">
        <v>190</v>
      </c>
      <c r="BO123" s="15" t="s">
        <v>191</v>
      </c>
      <c r="BR123" s="15" t="s">
        <v>192</v>
      </c>
      <c r="BS123" s="15" t="s">
        <v>193</v>
      </c>
      <c r="BT123" s="15" t="s">
        <v>194</v>
      </c>
      <c r="BU123" s="15" t="s">
        <v>195</v>
      </c>
      <c r="BV123" s="15" t="s">
        <v>196</v>
      </c>
      <c r="BW123" s="15" t="s">
        <v>516</v>
      </c>
      <c r="CB123" s="15" t="s">
        <v>129</v>
      </c>
      <c r="CC123" s="15">
        <v>1</v>
      </c>
      <c r="CN123" s="15" t="s">
        <v>198</v>
      </c>
      <c r="CW123" s="10">
        <v>2</v>
      </c>
      <c r="CX123" s="15" t="s">
        <v>564</v>
      </c>
    </row>
    <row r="124" spans="1:102" s="15" customFormat="1" x14ac:dyDescent="0.3">
      <c r="A124" s="11" t="s">
        <v>126</v>
      </c>
      <c r="B124" s="10" t="s">
        <v>565</v>
      </c>
      <c r="C124" s="12" t="s">
        <v>3797</v>
      </c>
      <c r="D124" s="10">
        <v>12</v>
      </c>
      <c r="E124" s="13">
        <v>100000</v>
      </c>
      <c r="F124" s="14" t="s">
        <v>243</v>
      </c>
      <c r="G124" s="14" t="s">
        <v>244</v>
      </c>
      <c r="H124" s="15" t="s">
        <v>254</v>
      </c>
      <c r="I124" s="8"/>
      <c r="J124" s="10"/>
      <c r="AV124" s="15" t="s">
        <v>181</v>
      </c>
      <c r="AW124" s="15" t="s">
        <v>182</v>
      </c>
      <c r="AX124" s="15" t="s">
        <v>566</v>
      </c>
      <c r="BH124" s="15" t="s">
        <v>184</v>
      </c>
      <c r="BI124" s="15" t="s">
        <v>185</v>
      </c>
      <c r="BJ124" s="15" t="s">
        <v>186</v>
      </c>
      <c r="BK124" s="15" t="s">
        <v>187</v>
      </c>
      <c r="BL124" s="15" t="s">
        <v>188</v>
      </c>
      <c r="BM124" s="15" t="s">
        <v>189</v>
      </c>
      <c r="BN124" s="15" t="s">
        <v>190</v>
      </c>
      <c r="BO124" s="15" t="s">
        <v>191</v>
      </c>
      <c r="BR124" s="15" t="s">
        <v>192</v>
      </c>
      <c r="BS124" s="15" t="s">
        <v>193</v>
      </c>
      <c r="BT124" s="15" t="s">
        <v>194</v>
      </c>
      <c r="BU124" s="15" t="s">
        <v>195</v>
      </c>
      <c r="BV124" s="15" t="s">
        <v>196</v>
      </c>
      <c r="BW124" s="15" t="s">
        <v>251</v>
      </c>
      <c r="CB124" s="15" t="s">
        <v>129</v>
      </c>
      <c r="CC124" s="15">
        <v>1</v>
      </c>
      <c r="CN124" s="15" t="s">
        <v>198</v>
      </c>
      <c r="CW124" s="10">
        <v>2</v>
      </c>
      <c r="CX124" s="15" t="s">
        <v>567</v>
      </c>
    </row>
    <row r="125" spans="1:102" s="15" customFormat="1" x14ac:dyDescent="0.3">
      <c r="A125" s="11" t="s">
        <v>126</v>
      </c>
      <c r="B125" s="10" t="s">
        <v>568</v>
      </c>
      <c r="C125" s="12" t="s">
        <v>3581</v>
      </c>
      <c r="D125" s="10">
        <v>12</v>
      </c>
      <c r="E125" s="13">
        <v>50000</v>
      </c>
      <c r="F125" s="14" t="s">
        <v>243</v>
      </c>
      <c r="G125" s="14" t="s">
        <v>244</v>
      </c>
      <c r="H125" s="15" t="s">
        <v>402</v>
      </c>
      <c r="I125" s="8"/>
      <c r="J125" s="10"/>
      <c r="AV125" s="15" t="s">
        <v>181</v>
      </c>
      <c r="AW125" s="15" t="s">
        <v>182</v>
      </c>
      <c r="AX125" s="15" t="s">
        <v>569</v>
      </c>
      <c r="BH125" s="15" t="s">
        <v>184</v>
      </c>
      <c r="BI125" s="15" t="s">
        <v>185</v>
      </c>
      <c r="BJ125" s="15" t="s">
        <v>186</v>
      </c>
      <c r="BK125" s="15" t="s">
        <v>187</v>
      </c>
      <c r="BL125" s="15" t="s">
        <v>188</v>
      </c>
      <c r="BM125" s="15" t="s">
        <v>189</v>
      </c>
      <c r="BN125" s="15" t="s">
        <v>190</v>
      </c>
      <c r="BO125" s="15" t="s">
        <v>191</v>
      </c>
      <c r="BR125" s="15" t="s">
        <v>192</v>
      </c>
      <c r="BS125" s="15" t="s">
        <v>193</v>
      </c>
      <c r="BT125" s="15" t="s">
        <v>194</v>
      </c>
      <c r="BU125" s="15" t="s">
        <v>195</v>
      </c>
      <c r="BV125" s="15" t="s">
        <v>196</v>
      </c>
      <c r="BW125" s="15" t="s">
        <v>516</v>
      </c>
      <c r="CB125" s="15" t="s">
        <v>129</v>
      </c>
      <c r="CC125" s="15">
        <v>1</v>
      </c>
      <c r="CN125" s="15" t="s">
        <v>198</v>
      </c>
      <c r="CW125" s="10">
        <v>2</v>
      </c>
      <c r="CX125" s="15" t="s">
        <v>570</v>
      </c>
    </row>
    <row r="126" spans="1:102" s="15" customFormat="1" x14ac:dyDescent="0.3">
      <c r="A126" s="11" t="s">
        <v>126</v>
      </c>
      <c r="B126" s="10" t="s">
        <v>571</v>
      </c>
      <c r="C126" s="12" t="s">
        <v>3798</v>
      </c>
      <c r="D126" s="10">
        <v>12</v>
      </c>
      <c r="E126" s="13">
        <v>10000</v>
      </c>
      <c r="F126" s="14" t="s">
        <v>243</v>
      </c>
      <c r="G126" s="14" t="s">
        <v>244</v>
      </c>
      <c r="H126" s="15" t="s">
        <v>402</v>
      </c>
      <c r="I126" s="8"/>
      <c r="J126" s="10"/>
      <c r="AV126" s="15" t="s">
        <v>181</v>
      </c>
      <c r="AW126" s="15" t="s">
        <v>182</v>
      </c>
      <c r="AX126" s="15" t="s">
        <v>572</v>
      </c>
      <c r="BH126" s="15" t="s">
        <v>184</v>
      </c>
      <c r="BI126" s="15" t="s">
        <v>185</v>
      </c>
      <c r="BJ126" s="15" t="s">
        <v>186</v>
      </c>
      <c r="BK126" s="15" t="s">
        <v>187</v>
      </c>
      <c r="BL126" s="15" t="s">
        <v>188</v>
      </c>
      <c r="BM126" s="15" t="s">
        <v>189</v>
      </c>
      <c r="BN126" s="15" t="s">
        <v>190</v>
      </c>
      <c r="BO126" s="15" t="s">
        <v>191</v>
      </c>
      <c r="BR126" s="15" t="s">
        <v>192</v>
      </c>
      <c r="BS126" s="15" t="s">
        <v>193</v>
      </c>
      <c r="BT126" s="15" t="s">
        <v>194</v>
      </c>
      <c r="BU126" s="15" t="s">
        <v>195</v>
      </c>
      <c r="BV126" s="15" t="s">
        <v>196</v>
      </c>
      <c r="BW126" s="15" t="s">
        <v>205</v>
      </c>
      <c r="CB126" s="15" t="s">
        <v>129</v>
      </c>
      <c r="CC126" s="15">
        <v>1</v>
      </c>
      <c r="CN126" s="15" t="s">
        <v>198</v>
      </c>
      <c r="CW126" s="10">
        <v>1</v>
      </c>
      <c r="CX126" s="15" t="s">
        <v>573</v>
      </c>
    </row>
    <row r="127" spans="1:102" s="15" customFormat="1" x14ac:dyDescent="0.3">
      <c r="A127" s="11" t="s">
        <v>126</v>
      </c>
      <c r="B127" s="10" t="s">
        <v>574</v>
      </c>
      <c r="C127" s="12" t="s">
        <v>578</v>
      </c>
      <c r="D127" s="10">
        <v>12</v>
      </c>
      <c r="E127" s="13">
        <v>1000000</v>
      </c>
      <c r="F127" s="14" t="s">
        <v>243</v>
      </c>
      <c r="G127" s="14" t="s">
        <v>244</v>
      </c>
      <c r="H127" s="15" t="s">
        <v>254</v>
      </c>
      <c r="I127" s="8"/>
      <c r="J127" s="10"/>
      <c r="AV127" s="15" t="s">
        <v>181</v>
      </c>
      <c r="AW127" s="15" t="s">
        <v>182</v>
      </c>
      <c r="AX127" s="15" t="s">
        <v>575</v>
      </c>
      <c r="BH127" s="15" t="s">
        <v>184</v>
      </c>
      <c r="BI127" s="15" t="s">
        <v>185</v>
      </c>
      <c r="BJ127" s="15" t="s">
        <v>186</v>
      </c>
      <c r="BK127" s="15" t="s">
        <v>187</v>
      </c>
      <c r="BL127" s="15" t="s">
        <v>188</v>
      </c>
      <c r="BM127" s="15" t="s">
        <v>189</v>
      </c>
      <c r="BN127" s="15" t="s">
        <v>190</v>
      </c>
      <c r="BO127" s="15" t="s">
        <v>191</v>
      </c>
      <c r="BR127" s="15" t="s">
        <v>192</v>
      </c>
      <c r="BS127" s="15" t="s">
        <v>193</v>
      </c>
      <c r="BT127" s="15" t="s">
        <v>194</v>
      </c>
      <c r="BU127" s="15" t="s">
        <v>195</v>
      </c>
      <c r="BV127" s="15" t="s">
        <v>196</v>
      </c>
      <c r="BW127" s="15" t="s">
        <v>196</v>
      </c>
      <c r="CB127" s="15" t="s">
        <v>129</v>
      </c>
      <c r="CC127" s="15">
        <v>1</v>
      </c>
      <c r="CN127" s="15" t="s">
        <v>198</v>
      </c>
      <c r="CW127" s="10">
        <v>2</v>
      </c>
      <c r="CX127" s="15" t="s">
        <v>576</v>
      </c>
    </row>
    <row r="128" spans="1:102" s="15" customFormat="1" x14ac:dyDescent="0.3">
      <c r="A128" s="11" t="s">
        <v>126</v>
      </c>
      <c r="B128" s="10" t="s">
        <v>577</v>
      </c>
      <c r="C128" s="12" t="s">
        <v>578</v>
      </c>
      <c r="D128" s="10">
        <v>12</v>
      </c>
      <c r="E128" s="13">
        <v>1000000</v>
      </c>
      <c r="F128" s="14" t="s">
        <v>244</v>
      </c>
      <c r="G128" s="14" t="s">
        <v>244</v>
      </c>
      <c r="H128" s="15" t="s">
        <v>254</v>
      </c>
      <c r="I128" s="8"/>
      <c r="J128" s="10"/>
      <c r="AW128" s="15" t="s">
        <v>128</v>
      </c>
      <c r="AX128" s="15" t="s">
        <v>575</v>
      </c>
      <c r="BH128" s="15" t="s">
        <v>184</v>
      </c>
      <c r="BI128" s="15" t="s">
        <v>185</v>
      </c>
      <c r="BJ128" s="15" t="s">
        <v>186</v>
      </c>
      <c r="BK128" s="15" t="s">
        <v>187</v>
      </c>
      <c r="BL128" s="15" t="s">
        <v>188</v>
      </c>
      <c r="BM128" s="15" t="s">
        <v>189</v>
      </c>
      <c r="BN128" s="15" t="s">
        <v>190</v>
      </c>
      <c r="BO128" s="15" t="s">
        <v>191</v>
      </c>
      <c r="BR128" s="15" t="s">
        <v>192</v>
      </c>
      <c r="BS128" s="15" t="s">
        <v>193</v>
      </c>
      <c r="BT128" s="15" t="s">
        <v>194</v>
      </c>
      <c r="BU128" s="15" t="s">
        <v>195</v>
      </c>
      <c r="BV128" s="15" t="s">
        <v>196</v>
      </c>
      <c r="BW128" s="15" t="s">
        <v>196</v>
      </c>
      <c r="CB128" s="15" t="s">
        <v>128</v>
      </c>
      <c r="CC128" s="15">
        <v>1</v>
      </c>
      <c r="CN128" s="15" t="s">
        <v>198</v>
      </c>
      <c r="CW128" s="10">
        <v>2</v>
      </c>
      <c r="CX128" s="15" t="s">
        <v>579</v>
      </c>
    </row>
    <row r="129" spans="1:102" s="15" customFormat="1" x14ac:dyDescent="0.3">
      <c r="A129" s="11" t="s">
        <v>126</v>
      </c>
      <c r="B129" s="10" t="s">
        <v>580</v>
      </c>
      <c r="C129" s="12" t="s">
        <v>3799</v>
      </c>
      <c r="D129" s="10">
        <v>12</v>
      </c>
      <c r="E129" s="13">
        <v>10000000</v>
      </c>
      <c r="F129" s="14" t="s">
        <v>209</v>
      </c>
      <c r="G129" s="14" t="s">
        <v>210</v>
      </c>
      <c r="H129" s="15" t="s">
        <v>254</v>
      </c>
      <c r="I129" s="8"/>
      <c r="J129" s="10"/>
      <c r="AV129" s="15" t="s">
        <v>212</v>
      </c>
      <c r="AW129" s="15" t="s">
        <v>213</v>
      </c>
      <c r="AX129" s="15" t="s">
        <v>581</v>
      </c>
      <c r="BH129" s="15" t="s">
        <v>184</v>
      </c>
      <c r="BI129" s="15" t="s">
        <v>185</v>
      </c>
      <c r="BJ129" s="15" t="s">
        <v>186</v>
      </c>
      <c r="BK129" s="15" t="s">
        <v>187</v>
      </c>
      <c r="BL129" s="15" t="s">
        <v>188</v>
      </c>
      <c r="BM129" s="15" t="s">
        <v>189</v>
      </c>
      <c r="BN129" s="15" t="s">
        <v>190</v>
      </c>
      <c r="BO129" s="15" t="s">
        <v>191</v>
      </c>
      <c r="BR129" s="15" t="s">
        <v>192</v>
      </c>
      <c r="BS129" s="15" t="s">
        <v>193</v>
      </c>
      <c r="BT129" s="15" t="s">
        <v>194</v>
      </c>
      <c r="BU129" s="15" t="s">
        <v>195</v>
      </c>
      <c r="BV129" s="15" t="s">
        <v>196</v>
      </c>
      <c r="BW129" s="15" t="s">
        <v>251</v>
      </c>
      <c r="CB129" s="15" t="s">
        <v>129</v>
      </c>
      <c r="CC129" s="15">
        <v>1</v>
      </c>
      <c r="CN129" s="15" t="s">
        <v>198</v>
      </c>
      <c r="CW129" s="10">
        <v>2</v>
      </c>
      <c r="CX129" s="15" t="s">
        <v>582</v>
      </c>
    </row>
    <row r="130" spans="1:102" s="15" customFormat="1" x14ac:dyDescent="0.3">
      <c r="A130" s="11" t="s">
        <v>126</v>
      </c>
      <c r="B130" s="10" t="s">
        <v>583</v>
      </c>
      <c r="C130" s="12" t="s">
        <v>3800</v>
      </c>
      <c r="D130" s="10">
        <v>12</v>
      </c>
      <c r="E130" s="13">
        <v>10000000</v>
      </c>
      <c r="F130" s="14" t="s">
        <v>209</v>
      </c>
      <c r="G130" s="14" t="s">
        <v>210</v>
      </c>
      <c r="H130" s="15" t="s">
        <v>254</v>
      </c>
      <c r="I130" s="8"/>
      <c r="J130" s="10"/>
      <c r="AV130" s="15" t="s">
        <v>212</v>
      </c>
      <c r="AW130" s="15" t="s">
        <v>213</v>
      </c>
      <c r="AX130" s="15" t="s">
        <v>584</v>
      </c>
      <c r="BH130" s="15" t="s">
        <v>184</v>
      </c>
      <c r="BI130" s="15" t="s">
        <v>185</v>
      </c>
      <c r="BJ130" s="15" t="s">
        <v>186</v>
      </c>
      <c r="BK130" s="15" t="s">
        <v>187</v>
      </c>
      <c r="BL130" s="15" t="s">
        <v>188</v>
      </c>
      <c r="BM130" s="15" t="s">
        <v>189</v>
      </c>
      <c r="BN130" s="15" t="s">
        <v>190</v>
      </c>
      <c r="BO130" s="15" t="s">
        <v>191</v>
      </c>
      <c r="BR130" s="15" t="s">
        <v>192</v>
      </c>
      <c r="BS130" s="15" t="s">
        <v>193</v>
      </c>
      <c r="BT130" s="15" t="s">
        <v>194</v>
      </c>
      <c r="BU130" s="15" t="s">
        <v>195</v>
      </c>
      <c r="BV130" s="15" t="s">
        <v>196</v>
      </c>
      <c r="BW130" s="15" t="s">
        <v>456</v>
      </c>
      <c r="CB130" s="15" t="s">
        <v>129</v>
      </c>
      <c r="CC130" s="15">
        <v>1</v>
      </c>
      <c r="CN130" s="15" t="s">
        <v>198</v>
      </c>
      <c r="CW130" s="10">
        <v>2</v>
      </c>
      <c r="CX130" s="15" t="s">
        <v>585</v>
      </c>
    </row>
    <row r="131" spans="1:102" s="15" customFormat="1" x14ac:dyDescent="0.3">
      <c r="A131" s="11" t="s">
        <v>126</v>
      </c>
      <c r="B131" s="10" t="s">
        <v>586</v>
      </c>
      <c r="C131" s="12" t="s">
        <v>3692</v>
      </c>
      <c r="D131" s="10">
        <v>12</v>
      </c>
      <c r="E131" s="13">
        <v>10000</v>
      </c>
      <c r="F131" s="14" t="s">
        <v>243</v>
      </c>
      <c r="G131" s="14" t="s">
        <v>244</v>
      </c>
      <c r="H131" s="15" t="s">
        <v>254</v>
      </c>
      <c r="I131" s="8"/>
      <c r="J131" s="10"/>
      <c r="AV131" s="15" t="s">
        <v>181</v>
      </c>
      <c r="AW131" s="15" t="s">
        <v>182</v>
      </c>
      <c r="AX131" s="15" t="s">
        <v>587</v>
      </c>
      <c r="BH131" s="15" t="s">
        <v>184</v>
      </c>
      <c r="BI131" s="15" t="s">
        <v>185</v>
      </c>
      <c r="BJ131" s="15" t="s">
        <v>186</v>
      </c>
      <c r="BK131" s="15" t="s">
        <v>187</v>
      </c>
      <c r="BL131" s="15" t="s">
        <v>188</v>
      </c>
      <c r="BM131" s="15" t="s">
        <v>189</v>
      </c>
      <c r="BN131" s="15" t="s">
        <v>190</v>
      </c>
      <c r="BO131" s="15" t="s">
        <v>191</v>
      </c>
      <c r="BR131" s="15" t="s">
        <v>192</v>
      </c>
      <c r="BS131" s="15" t="s">
        <v>193</v>
      </c>
      <c r="BT131" s="15" t="s">
        <v>194</v>
      </c>
      <c r="BU131" s="15" t="s">
        <v>195</v>
      </c>
      <c r="BV131" s="15" t="s">
        <v>196</v>
      </c>
      <c r="BW131" s="15" t="s">
        <v>456</v>
      </c>
      <c r="CB131" s="15" t="s">
        <v>129</v>
      </c>
      <c r="CC131" s="15">
        <v>1</v>
      </c>
      <c r="CN131" s="15" t="s">
        <v>198</v>
      </c>
      <c r="CW131" s="10">
        <v>2</v>
      </c>
      <c r="CX131" s="15" t="s">
        <v>588</v>
      </c>
    </row>
    <row r="132" spans="1:102" s="15" customFormat="1" x14ac:dyDescent="0.3">
      <c r="A132" s="11" t="s">
        <v>126</v>
      </c>
      <c r="B132" s="10" t="s">
        <v>589</v>
      </c>
      <c r="C132" s="12" t="s">
        <v>3801</v>
      </c>
      <c r="D132" s="10">
        <v>12</v>
      </c>
      <c r="E132" s="13">
        <v>10000000</v>
      </c>
      <c r="F132" s="14" t="s">
        <v>209</v>
      </c>
      <c r="G132" s="14" t="s">
        <v>210</v>
      </c>
      <c r="H132" s="15" t="s">
        <v>254</v>
      </c>
      <c r="I132" s="8"/>
      <c r="J132" s="10"/>
      <c r="AV132" s="15" t="s">
        <v>212</v>
      </c>
      <c r="AW132" s="15" t="s">
        <v>213</v>
      </c>
      <c r="AX132" s="15" t="s">
        <v>590</v>
      </c>
      <c r="BH132" s="15" t="s">
        <v>184</v>
      </c>
      <c r="BI132" s="15" t="s">
        <v>185</v>
      </c>
      <c r="BJ132" s="15" t="s">
        <v>186</v>
      </c>
      <c r="BK132" s="15" t="s">
        <v>187</v>
      </c>
      <c r="BL132" s="15" t="s">
        <v>188</v>
      </c>
      <c r="BM132" s="15" t="s">
        <v>189</v>
      </c>
      <c r="BN132" s="15" t="s">
        <v>190</v>
      </c>
      <c r="BO132" s="15" t="s">
        <v>191</v>
      </c>
      <c r="BR132" s="15" t="s">
        <v>192</v>
      </c>
      <c r="BS132" s="15" t="s">
        <v>193</v>
      </c>
      <c r="BT132" s="15" t="s">
        <v>194</v>
      </c>
      <c r="BU132" s="15" t="s">
        <v>195</v>
      </c>
      <c r="BV132" s="15" t="s">
        <v>196</v>
      </c>
      <c r="BW132" s="15" t="s">
        <v>456</v>
      </c>
      <c r="CB132" s="15" t="s">
        <v>129</v>
      </c>
      <c r="CC132" s="15">
        <v>1</v>
      </c>
      <c r="CN132" s="15" t="s">
        <v>198</v>
      </c>
      <c r="CW132" s="10">
        <v>2</v>
      </c>
      <c r="CX132" s="15" t="s">
        <v>591</v>
      </c>
    </row>
    <row r="133" spans="1:102" s="15" customFormat="1" x14ac:dyDescent="0.3">
      <c r="A133" s="11" t="s">
        <v>126</v>
      </c>
      <c r="B133" s="10" t="s">
        <v>592</v>
      </c>
      <c r="C133" s="12" t="s">
        <v>3802</v>
      </c>
      <c r="D133" s="10">
        <v>12</v>
      </c>
      <c r="E133" s="13">
        <v>100000</v>
      </c>
      <c r="F133" s="14" t="s">
        <v>243</v>
      </c>
      <c r="G133" s="14" t="s">
        <v>244</v>
      </c>
      <c r="H133" s="15" t="s">
        <v>402</v>
      </c>
      <c r="I133" s="8"/>
      <c r="J133" s="10"/>
      <c r="AV133" s="15" t="s">
        <v>181</v>
      </c>
      <c r="AW133" s="15" t="s">
        <v>182</v>
      </c>
      <c r="AX133" s="15" t="s">
        <v>593</v>
      </c>
      <c r="BH133" s="15" t="s">
        <v>184</v>
      </c>
      <c r="BI133" s="15" t="s">
        <v>185</v>
      </c>
      <c r="BJ133" s="15" t="s">
        <v>186</v>
      </c>
      <c r="BK133" s="15" t="s">
        <v>187</v>
      </c>
      <c r="BL133" s="15" t="s">
        <v>188</v>
      </c>
      <c r="BM133" s="15" t="s">
        <v>189</v>
      </c>
      <c r="BN133" s="15" t="s">
        <v>190</v>
      </c>
      <c r="BO133" s="15" t="s">
        <v>191</v>
      </c>
      <c r="BR133" s="15" t="s">
        <v>192</v>
      </c>
      <c r="BS133" s="15" t="s">
        <v>193</v>
      </c>
      <c r="BT133" s="15" t="s">
        <v>194</v>
      </c>
      <c r="BU133" s="15" t="s">
        <v>195</v>
      </c>
      <c r="BV133" s="15" t="s">
        <v>196</v>
      </c>
      <c r="BW133" s="15" t="s">
        <v>251</v>
      </c>
      <c r="CB133" s="15" t="s">
        <v>129</v>
      </c>
      <c r="CC133" s="15">
        <v>1</v>
      </c>
      <c r="CN133" s="15" t="s">
        <v>198</v>
      </c>
      <c r="CW133" s="10">
        <v>2</v>
      </c>
      <c r="CX133" s="15" t="s">
        <v>594</v>
      </c>
    </row>
    <row r="134" spans="1:102" s="15" customFormat="1" x14ac:dyDescent="0.3">
      <c r="A134" s="11" t="s">
        <v>126</v>
      </c>
      <c r="B134" s="10" t="s">
        <v>595</v>
      </c>
      <c r="C134" s="12" t="s">
        <v>3803</v>
      </c>
      <c r="D134" s="10">
        <v>12</v>
      </c>
      <c r="E134" s="13">
        <v>1000000</v>
      </c>
      <c r="F134" s="14" t="s">
        <v>243</v>
      </c>
      <c r="G134" s="14" t="s">
        <v>244</v>
      </c>
      <c r="H134" s="15" t="s">
        <v>596</v>
      </c>
      <c r="I134" s="8"/>
      <c r="J134" s="10"/>
      <c r="AV134" s="15" t="s">
        <v>181</v>
      </c>
      <c r="AW134" s="15" t="s">
        <v>182</v>
      </c>
      <c r="AX134" s="15" t="s">
        <v>597</v>
      </c>
      <c r="AY134" s="15" t="s">
        <v>598</v>
      </c>
      <c r="BH134" s="15" t="s">
        <v>184</v>
      </c>
      <c r="BI134" s="15" t="s">
        <v>185</v>
      </c>
      <c r="BJ134" s="15" t="s">
        <v>186</v>
      </c>
      <c r="BK134" s="15" t="s">
        <v>187</v>
      </c>
      <c r="BL134" s="15" t="s">
        <v>188</v>
      </c>
      <c r="BM134" s="15" t="s">
        <v>189</v>
      </c>
      <c r="BN134" s="15" t="s">
        <v>190</v>
      </c>
      <c r="BO134" s="15" t="s">
        <v>191</v>
      </c>
      <c r="BR134" s="15" t="s">
        <v>192</v>
      </c>
      <c r="BS134" s="15" t="s">
        <v>193</v>
      </c>
      <c r="BT134" s="15" t="s">
        <v>194</v>
      </c>
      <c r="BU134" s="15" t="s">
        <v>195</v>
      </c>
      <c r="BV134" s="15" t="s">
        <v>196</v>
      </c>
      <c r="BW134" s="15" t="s">
        <v>251</v>
      </c>
      <c r="CB134" s="15" t="s">
        <v>129</v>
      </c>
      <c r="CC134" s="15">
        <v>1</v>
      </c>
      <c r="CN134" s="15" t="s">
        <v>198</v>
      </c>
      <c r="CW134" s="10">
        <v>2</v>
      </c>
      <c r="CX134" s="15" t="s">
        <v>599</v>
      </c>
    </row>
    <row r="135" spans="1:102" s="15" customFormat="1" x14ac:dyDescent="0.3">
      <c r="A135" s="11" t="s">
        <v>126</v>
      </c>
      <c r="B135" s="10" t="s">
        <v>600</v>
      </c>
      <c r="C135" s="12" t="s">
        <v>3804</v>
      </c>
      <c r="D135" s="10">
        <v>12</v>
      </c>
      <c r="E135" s="13">
        <v>1000000</v>
      </c>
      <c r="F135" s="14" t="s">
        <v>243</v>
      </c>
      <c r="G135" s="14" t="s">
        <v>244</v>
      </c>
      <c r="H135" s="15" t="s">
        <v>596</v>
      </c>
      <c r="I135" s="8"/>
      <c r="J135" s="10"/>
      <c r="AV135" s="15" t="s">
        <v>181</v>
      </c>
      <c r="AW135" s="15" t="s">
        <v>182</v>
      </c>
      <c r="AX135" s="15" t="s">
        <v>601</v>
      </c>
      <c r="AY135" s="15" t="s">
        <v>602</v>
      </c>
      <c r="BH135" s="15" t="s">
        <v>184</v>
      </c>
      <c r="BI135" s="15" t="s">
        <v>185</v>
      </c>
      <c r="BJ135" s="15" t="s">
        <v>186</v>
      </c>
      <c r="BK135" s="15" t="s">
        <v>187</v>
      </c>
      <c r="BL135" s="15" t="s">
        <v>188</v>
      </c>
      <c r="BM135" s="15" t="s">
        <v>189</v>
      </c>
      <c r="BN135" s="15" t="s">
        <v>190</v>
      </c>
      <c r="BO135" s="15" t="s">
        <v>191</v>
      </c>
      <c r="BR135" s="15" t="s">
        <v>192</v>
      </c>
      <c r="BS135" s="15" t="s">
        <v>193</v>
      </c>
      <c r="BT135" s="15" t="s">
        <v>194</v>
      </c>
      <c r="BU135" s="15" t="s">
        <v>195</v>
      </c>
      <c r="BV135" s="15" t="s">
        <v>196</v>
      </c>
      <c r="BW135" s="15" t="s">
        <v>251</v>
      </c>
      <c r="CB135" s="15" t="s">
        <v>129</v>
      </c>
      <c r="CC135" s="15">
        <v>1</v>
      </c>
      <c r="CN135" s="15" t="s">
        <v>198</v>
      </c>
      <c r="CW135" s="10">
        <v>2</v>
      </c>
      <c r="CX135" s="15" t="s">
        <v>603</v>
      </c>
    </row>
    <row r="136" spans="1:102" s="15" customFormat="1" x14ac:dyDescent="0.3">
      <c r="A136" s="11" t="s">
        <v>126</v>
      </c>
      <c r="B136" s="10" t="s">
        <v>604</v>
      </c>
      <c r="C136" s="12" t="s">
        <v>3805</v>
      </c>
      <c r="D136" s="10">
        <v>12</v>
      </c>
      <c r="E136" s="13">
        <v>1000000</v>
      </c>
      <c r="F136" s="14" t="s">
        <v>243</v>
      </c>
      <c r="G136" s="14" t="s">
        <v>244</v>
      </c>
      <c r="H136" s="15" t="s">
        <v>596</v>
      </c>
      <c r="I136" s="8"/>
      <c r="J136" s="10"/>
      <c r="AV136" s="15" t="s">
        <v>181</v>
      </c>
      <c r="AW136" s="15" t="s">
        <v>182</v>
      </c>
      <c r="AX136" s="15" t="s">
        <v>605</v>
      </c>
      <c r="AY136" s="15" t="s">
        <v>606</v>
      </c>
      <c r="BH136" s="15" t="s">
        <v>184</v>
      </c>
      <c r="BI136" s="15" t="s">
        <v>185</v>
      </c>
      <c r="BJ136" s="15" t="s">
        <v>186</v>
      </c>
      <c r="BK136" s="15" t="s">
        <v>187</v>
      </c>
      <c r="BL136" s="15" t="s">
        <v>188</v>
      </c>
      <c r="BM136" s="15" t="s">
        <v>189</v>
      </c>
      <c r="BN136" s="15" t="s">
        <v>190</v>
      </c>
      <c r="BO136" s="15" t="s">
        <v>191</v>
      </c>
      <c r="BR136" s="15" t="s">
        <v>192</v>
      </c>
      <c r="BS136" s="15" t="s">
        <v>193</v>
      </c>
      <c r="BT136" s="15" t="s">
        <v>194</v>
      </c>
      <c r="BU136" s="15" t="s">
        <v>195</v>
      </c>
      <c r="BV136" s="15" t="s">
        <v>196</v>
      </c>
      <c r="BW136" s="15" t="s">
        <v>251</v>
      </c>
      <c r="CB136" s="15" t="s">
        <v>129</v>
      </c>
      <c r="CC136" s="15">
        <v>1</v>
      </c>
      <c r="CN136" s="15" t="s">
        <v>198</v>
      </c>
      <c r="CW136" s="10">
        <v>2</v>
      </c>
      <c r="CX136" s="15" t="s">
        <v>607</v>
      </c>
    </row>
    <row r="137" spans="1:102" s="15" customFormat="1" x14ac:dyDescent="0.3">
      <c r="A137" s="11" t="s">
        <v>126</v>
      </c>
      <c r="B137" s="10" t="s">
        <v>608</v>
      </c>
      <c r="C137" s="12" t="s">
        <v>3806</v>
      </c>
      <c r="D137" s="10">
        <v>12</v>
      </c>
      <c r="E137" s="13">
        <v>1000000</v>
      </c>
      <c r="F137" s="14" t="s">
        <v>243</v>
      </c>
      <c r="G137" s="14" t="s">
        <v>244</v>
      </c>
      <c r="H137" s="15" t="s">
        <v>596</v>
      </c>
      <c r="I137" s="8"/>
      <c r="J137" s="10"/>
      <c r="AV137" s="15" t="s">
        <v>181</v>
      </c>
      <c r="AW137" s="15" t="s">
        <v>182</v>
      </c>
      <c r="AX137" s="15" t="s">
        <v>609</v>
      </c>
      <c r="AY137" s="15" t="s">
        <v>610</v>
      </c>
      <c r="BH137" s="15" t="s">
        <v>184</v>
      </c>
      <c r="BI137" s="15" t="s">
        <v>185</v>
      </c>
      <c r="BJ137" s="15" t="s">
        <v>186</v>
      </c>
      <c r="BK137" s="15" t="s">
        <v>187</v>
      </c>
      <c r="BL137" s="15" t="s">
        <v>188</v>
      </c>
      <c r="BM137" s="15" t="s">
        <v>189</v>
      </c>
      <c r="BN137" s="15" t="s">
        <v>190</v>
      </c>
      <c r="BO137" s="15" t="s">
        <v>191</v>
      </c>
      <c r="BR137" s="15" t="s">
        <v>192</v>
      </c>
      <c r="BS137" s="15" t="s">
        <v>193</v>
      </c>
      <c r="BT137" s="15" t="s">
        <v>194</v>
      </c>
      <c r="BU137" s="15" t="s">
        <v>195</v>
      </c>
      <c r="BV137" s="15" t="s">
        <v>196</v>
      </c>
      <c r="BW137" s="15" t="s">
        <v>251</v>
      </c>
      <c r="CB137" s="15" t="s">
        <v>129</v>
      </c>
      <c r="CC137" s="15">
        <v>1</v>
      </c>
      <c r="CN137" s="15" t="s">
        <v>198</v>
      </c>
      <c r="CW137" s="10">
        <v>2</v>
      </c>
      <c r="CX137" s="15" t="s">
        <v>611</v>
      </c>
    </row>
    <row r="138" spans="1:102" s="15" customFormat="1" x14ac:dyDescent="0.3">
      <c r="A138" s="11" t="s">
        <v>126</v>
      </c>
      <c r="B138" s="10" t="s">
        <v>612</v>
      </c>
      <c r="C138" s="12" t="s">
        <v>3807</v>
      </c>
      <c r="D138" s="10">
        <v>12</v>
      </c>
      <c r="E138" s="13">
        <v>1000000</v>
      </c>
      <c r="F138" s="14" t="s">
        <v>243</v>
      </c>
      <c r="G138" s="14" t="s">
        <v>244</v>
      </c>
      <c r="H138" s="15" t="s">
        <v>596</v>
      </c>
      <c r="I138" s="8"/>
      <c r="J138" s="10"/>
      <c r="AV138" s="15" t="s">
        <v>181</v>
      </c>
      <c r="AW138" s="15" t="s">
        <v>182</v>
      </c>
      <c r="AX138" s="15" t="s">
        <v>613</v>
      </c>
      <c r="AY138" s="15" t="s">
        <v>614</v>
      </c>
      <c r="BH138" s="15" t="s">
        <v>184</v>
      </c>
      <c r="BI138" s="15" t="s">
        <v>185</v>
      </c>
      <c r="BJ138" s="15" t="s">
        <v>186</v>
      </c>
      <c r="BK138" s="15" t="s">
        <v>187</v>
      </c>
      <c r="BL138" s="15" t="s">
        <v>188</v>
      </c>
      <c r="BM138" s="15" t="s">
        <v>189</v>
      </c>
      <c r="BN138" s="15" t="s">
        <v>190</v>
      </c>
      <c r="BO138" s="15" t="s">
        <v>191</v>
      </c>
      <c r="BR138" s="15" t="s">
        <v>192</v>
      </c>
      <c r="BS138" s="15" t="s">
        <v>193</v>
      </c>
      <c r="BT138" s="15" t="s">
        <v>194</v>
      </c>
      <c r="BU138" s="15" t="s">
        <v>195</v>
      </c>
      <c r="BV138" s="15" t="s">
        <v>196</v>
      </c>
      <c r="BW138" s="15" t="s">
        <v>293</v>
      </c>
      <c r="CB138" s="15" t="s">
        <v>129</v>
      </c>
      <c r="CC138" s="15">
        <v>1</v>
      </c>
      <c r="CN138" s="15" t="s">
        <v>198</v>
      </c>
      <c r="CW138" s="10">
        <v>2</v>
      </c>
      <c r="CX138" s="15" t="s">
        <v>615</v>
      </c>
    </row>
    <row r="139" spans="1:102" s="15" customFormat="1" x14ac:dyDescent="0.3">
      <c r="A139" s="11" t="s">
        <v>126</v>
      </c>
      <c r="B139" s="10" t="s">
        <v>616</v>
      </c>
      <c r="C139" s="12" t="s">
        <v>3808</v>
      </c>
      <c r="D139" s="10">
        <v>12</v>
      </c>
      <c r="E139" s="13">
        <v>1000000</v>
      </c>
      <c r="F139" s="14" t="s">
        <v>243</v>
      </c>
      <c r="G139" s="14" t="s">
        <v>244</v>
      </c>
      <c r="H139" s="15" t="s">
        <v>596</v>
      </c>
      <c r="I139" s="8"/>
      <c r="J139" s="10"/>
      <c r="AV139" s="15" t="s">
        <v>181</v>
      </c>
      <c r="AW139" s="15" t="s">
        <v>182</v>
      </c>
      <c r="AX139" s="15" t="s">
        <v>617</v>
      </c>
      <c r="AY139" s="15" t="s">
        <v>618</v>
      </c>
      <c r="BH139" s="15" t="s">
        <v>184</v>
      </c>
      <c r="BI139" s="15" t="s">
        <v>185</v>
      </c>
      <c r="BJ139" s="15" t="s">
        <v>186</v>
      </c>
      <c r="BK139" s="15" t="s">
        <v>187</v>
      </c>
      <c r="BL139" s="15" t="s">
        <v>188</v>
      </c>
      <c r="BM139" s="15" t="s">
        <v>189</v>
      </c>
      <c r="BN139" s="15" t="s">
        <v>190</v>
      </c>
      <c r="BO139" s="15" t="s">
        <v>191</v>
      </c>
      <c r="BR139" s="15" t="s">
        <v>192</v>
      </c>
      <c r="BS139" s="15" t="s">
        <v>193</v>
      </c>
      <c r="BT139" s="15" t="s">
        <v>194</v>
      </c>
      <c r="BU139" s="15" t="s">
        <v>195</v>
      </c>
      <c r="BV139" s="15" t="s">
        <v>196</v>
      </c>
      <c r="BW139" s="15" t="s">
        <v>251</v>
      </c>
      <c r="CB139" s="15" t="s">
        <v>129</v>
      </c>
      <c r="CC139" s="15">
        <v>1</v>
      </c>
      <c r="CN139" s="15" t="s">
        <v>198</v>
      </c>
      <c r="CW139" s="10">
        <v>2</v>
      </c>
      <c r="CX139" s="15" t="s">
        <v>619</v>
      </c>
    </row>
    <row r="140" spans="1:102" s="15" customFormat="1" x14ac:dyDescent="0.3">
      <c r="A140" s="11" t="s">
        <v>126</v>
      </c>
      <c r="B140" s="10" t="s">
        <v>620</v>
      </c>
      <c r="C140" s="12" t="s">
        <v>3809</v>
      </c>
      <c r="D140" s="10">
        <v>12</v>
      </c>
      <c r="E140" s="13">
        <v>1000000</v>
      </c>
      <c r="F140" s="14" t="s">
        <v>243</v>
      </c>
      <c r="G140" s="14" t="s">
        <v>244</v>
      </c>
      <c r="H140" s="15" t="s">
        <v>596</v>
      </c>
      <c r="I140" s="8"/>
      <c r="J140" s="10"/>
      <c r="AV140" s="15" t="s">
        <v>181</v>
      </c>
      <c r="AW140" s="15" t="s">
        <v>182</v>
      </c>
      <c r="AX140" s="15" t="s">
        <v>621</v>
      </c>
      <c r="AY140" s="15" t="s">
        <v>622</v>
      </c>
      <c r="BH140" s="15" t="s">
        <v>184</v>
      </c>
      <c r="BI140" s="15" t="s">
        <v>185</v>
      </c>
      <c r="BJ140" s="15" t="s">
        <v>186</v>
      </c>
      <c r="BK140" s="15" t="s">
        <v>187</v>
      </c>
      <c r="BL140" s="15" t="s">
        <v>188</v>
      </c>
      <c r="BM140" s="15" t="s">
        <v>189</v>
      </c>
      <c r="BN140" s="15" t="s">
        <v>190</v>
      </c>
      <c r="BO140" s="15" t="s">
        <v>191</v>
      </c>
      <c r="BR140" s="15" t="s">
        <v>192</v>
      </c>
      <c r="BS140" s="15" t="s">
        <v>193</v>
      </c>
      <c r="BT140" s="15" t="s">
        <v>194</v>
      </c>
      <c r="BU140" s="15" t="s">
        <v>195</v>
      </c>
      <c r="BV140" s="15" t="s">
        <v>196</v>
      </c>
      <c r="BW140" s="15" t="s">
        <v>251</v>
      </c>
      <c r="CB140" s="15" t="s">
        <v>129</v>
      </c>
      <c r="CC140" s="15">
        <v>1</v>
      </c>
      <c r="CN140" s="15" t="s">
        <v>198</v>
      </c>
      <c r="CW140" s="10">
        <v>2</v>
      </c>
      <c r="CX140" s="15" t="s">
        <v>623</v>
      </c>
    </row>
    <row r="141" spans="1:102" s="15" customFormat="1" x14ac:dyDescent="0.3">
      <c r="A141" s="11" t="s">
        <v>126</v>
      </c>
      <c r="B141" s="10" t="s">
        <v>624</v>
      </c>
      <c r="C141" s="12" t="s">
        <v>3810</v>
      </c>
      <c r="D141" s="10">
        <v>12</v>
      </c>
      <c r="E141" s="13">
        <v>100000</v>
      </c>
      <c r="F141" s="14" t="s">
        <v>209</v>
      </c>
      <c r="G141" s="14" t="s">
        <v>210</v>
      </c>
      <c r="H141" s="15" t="s">
        <v>211</v>
      </c>
      <c r="I141" s="8"/>
      <c r="J141" s="10"/>
      <c r="AV141" s="15" t="s">
        <v>212</v>
      </c>
      <c r="AW141" s="15" t="s">
        <v>213</v>
      </c>
      <c r="AX141" s="15" t="s">
        <v>625</v>
      </c>
      <c r="BH141" s="15" t="s">
        <v>184</v>
      </c>
      <c r="BI141" s="15" t="s">
        <v>185</v>
      </c>
      <c r="BJ141" s="15" t="s">
        <v>186</v>
      </c>
      <c r="BK141" s="15" t="s">
        <v>187</v>
      </c>
      <c r="BL141" s="15" t="s">
        <v>188</v>
      </c>
      <c r="BM141" s="15" t="s">
        <v>189</v>
      </c>
      <c r="BN141" s="15" t="s">
        <v>190</v>
      </c>
      <c r="BO141" s="15" t="s">
        <v>191</v>
      </c>
      <c r="BR141" s="15" t="s">
        <v>192</v>
      </c>
      <c r="BS141" s="15" t="s">
        <v>193</v>
      </c>
      <c r="BT141" s="15" t="s">
        <v>194</v>
      </c>
      <c r="BU141" s="15" t="s">
        <v>195</v>
      </c>
      <c r="BV141" s="15" t="s">
        <v>196</v>
      </c>
      <c r="BW141" s="15" t="s">
        <v>196</v>
      </c>
      <c r="CB141" s="15" t="s">
        <v>129</v>
      </c>
      <c r="CC141" s="15">
        <v>1</v>
      </c>
      <c r="CN141" s="15" t="s">
        <v>198</v>
      </c>
      <c r="CW141" s="10">
        <v>2</v>
      </c>
      <c r="CX141" s="15" t="s">
        <v>626</v>
      </c>
    </row>
    <row r="142" spans="1:102" s="15" customFormat="1" x14ac:dyDescent="0.3">
      <c r="A142" s="11" t="s">
        <v>126</v>
      </c>
      <c r="B142" s="10" t="s">
        <v>627</v>
      </c>
      <c r="C142" s="12" t="s">
        <v>3683</v>
      </c>
      <c r="D142" s="10">
        <v>12</v>
      </c>
      <c r="E142" s="13">
        <v>1000000</v>
      </c>
      <c r="F142" s="14" t="s">
        <v>209</v>
      </c>
      <c r="G142" s="14" t="s">
        <v>210</v>
      </c>
      <c r="H142" s="15" t="s">
        <v>254</v>
      </c>
      <c r="I142" s="8"/>
      <c r="J142" s="10"/>
      <c r="AV142" s="15" t="s">
        <v>212</v>
      </c>
      <c r="AW142" s="15" t="s">
        <v>213</v>
      </c>
      <c r="AX142" s="15" t="s">
        <v>628</v>
      </c>
      <c r="BH142" s="15" t="s">
        <v>184</v>
      </c>
      <c r="BI142" s="15" t="s">
        <v>185</v>
      </c>
      <c r="BJ142" s="15" t="s">
        <v>186</v>
      </c>
      <c r="BK142" s="15" t="s">
        <v>187</v>
      </c>
      <c r="BL142" s="15" t="s">
        <v>188</v>
      </c>
      <c r="BM142" s="15" t="s">
        <v>189</v>
      </c>
      <c r="BN142" s="15" t="s">
        <v>190</v>
      </c>
      <c r="BO142" s="15" t="s">
        <v>191</v>
      </c>
      <c r="BR142" s="15" t="s">
        <v>192</v>
      </c>
      <c r="BS142" s="15" t="s">
        <v>193</v>
      </c>
      <c r="BT142" s="15" t="s">
        <v>194</v>
      </c>
      <c r="BU142" s="15" t="s">
        <v>195</v>
      </c>
      <c r="BV142" s="15" t="s">
        <v>196</v>
      </c>
      <c r="BW142" s="15" t="s">
        <v>460</v>
      </c>
      <c r="CB142" s="15" t="s">
        <v>129</v>
      </c>
      <c r="CC142" s="15">
        <v>1</v>
      </c>
      <c r="CN142" s="15" t="s">
        <v>198</v>
      </c>
      <c r="CW142" s="10">
        <v>2</v>
      </c>
      <c r="CX142" s="15" t="s">
        <v>629</v>
      </c>
    </row>
    <row r="143" spans="1:102" s="15" customFormat="1" x14ac:dyDescent="0.3">
      <c r="A143" s="11" t="s">
        <v>126</v>
      </c>
      <c r="B143" s="10" t="s">
        <v>630</v>
      </c>
      <c r="C143" s="12" t="s">
        <v>3588</v>
      </c>
      <c r="D143" s="10">
        <v>12</v>
      </c>
      <c r="E143" s="13">
        <v>10000</v>
      </c>
      <c r="F143" s="14" t="s">
        <v>243</v>
      </c>
      <c r="G143" s="14" t="s">
        <v>244</v>
      </c>
      <c r="H143" s="15" t="s">
        <v>402</v>
      </c>
      <c r="I143" s="8"/>
      <c r="J143" s="10"/>
      <c r="AV143" s="15" t="s">
        <v>181</v>
      </c>
      <c r="AW143" s="15" t="s">
        <v>182</v>
      </c>
      <c r="AX143" s="15" t="s">
        <v>631</v>
      </c>
      <c r="BH143" s="15" t="s">
        <v>184</v>
      </c>
      <c r="BI143" s="15" t="s">
        <v>185</v>
      </c>
      <c r="BJ143" s="15" t="s">
        <v>186</v>
      </c>
      <c r="BK143" s="15" t="s">
        <v>187</v>
      </c>
      <c r="BL143" s="15" t="s">
        <v>188</v>
      </c>
      <c r="BM143" s="15" t="s">
        <v>189</v>
      </c>
      <c r="BN143" s="15" t="s">
        <v>190</v>
      </c>
      <c r="BO143" s="15" t="s">
        <v>191</v>
      </c>
      <c r="BR143" s="15" t="s">
        <v>192</v>
      </c>
      <c r="BS143" s="15" t="s">
        <v>193</v>
      </c>
      <c r="BT143" s="15" t="s">
        <v>194</v>
      </c>
      <c r="BU143" s="15" t="s">
        <v>195</v>
      </c>
      <c r="BV143" s="15" t="s">
        <v>196</v>
      </c>
      <c r="BW143" s="15" t="s">
        <v>205</v>
      </c>
      <c r="CB143" s="15" t="s">
        <v>129</v>
      </c>
      <c r="CC143" s="15">
        <v>1</v>
      </c>
      <c r="CN143" s="15" t="s">
        <v>198</v>
      </c>
      <c r="CW143" s="10">
        <v>2</v>
      </c>
      <c r="CX143" s="15" t="s">
        <v>632</v>
      </c>
    </row>
    <row r="144" spans="1:102" s="15" customFormat="1" x14ac:dyDescent="0.3">
      <c r="A144" s="11" t="s">
        <v>126</v>
      </c>
      <c r="B144" s="10" t="s">
        <v>633</v>
      </c>
      <c r="C144" s="12" t="s">
        <v>3620</v>
      </c>
      <c r="D144" s="10">
        <v>12</v>
      </c>
      <c r="E144" s="13">
        <v>100000</v>
      </c>
      <c r="F144" s="14" t="s">
        <v>269</v>
      </c>
      <c r="G144" s="14" t="s">
        <v>210</v>
      </c>
      <c r="H144" s="15" t="s">
        <v>211</v>
      </c>
      <c r="I144" s="8"/>
      <c r="J144" s="10"/>
      <c r="AV144" s="15" t="s">
        <v>212</v>
      </c>
      <c r="AW144" s="15" t="s">
        <v>213</v>
      </c>
      <c r="AX144" s="15" t="s">
        <v>634</v>
      </c>
      <c r="AY144" s="15" t="s">
        <v>635</v>
      </c>
      <c r="AZ144" s="15" t="s">
        <v>636</v>
      </c>
      <c r="BA144" s="15" t="s">
        <v>399</v>
      </c>
      <c r="BH144" s="15" t="s">
        <v>184</v>
      </c>
      <c r="BI144" s="15" t="s">
        <v>185</v>
      </c>
      <c r="BJ144" s="15" t="s">
        <v>186</v>
      </c>
      <c r="BK144" s="15" t="s">
        <v>187</v>
      </c>
      <c r="BL144" s="15" t="s">
        <v>188</v>
      </c>
      <c r="BM144" s="15" t="s">
        <v>189</v>
      </c>
      <c r="BN144" s="15" t="s">
        <v>190</v>
      </c>
      <c r="BO144" s="15" t="s">
        <v>191</v>
      </c>
      <c r="BR144" s="15" t="s">
        <v>192</v>
      </c>
      <c r="BS144" s="15" t="s">
        <v>193</v>
      </c>
      <c r="BT144" s="15" t="s">
        <v>194</v>
      </c>
      <c r="BU144" s="15" t="s">
        <v>195</v>
      </c>
      <c r="BV144" s="15" t="s">
        <v>196</v>
      </c>
      <c r="BW144" s="15" t="s">
        <v>289</v>
      </c>
      <c r="CB144" s="15" t="s">
        <v>129</v>
      </c>
      <c r="CC144" s="15">
        <v>1</v>
      </c>
      <c r="CN144" s="15" t="s">
        <v>637</v>
      </c>
      <c r="CW144" s="10">
        <v>2</v>
      </c>
      <c r="CX144" s="15" t="s">
        <v>638</v>
      </c>
    </row>
    <row r="145" spans="1:102" s="15" customFormat="1" x14ac:dyDescent="0.3">
      <c r="A145" s="11" t="s">
        <v>126</v>
      </c>
      <c r="B145" s="10" t="s">
        <v>639</v>
      </c>
      <c r="C145" s="12" t="s">
        <v>3596</v>
      </c>
      <c r="D145" s="10">
        <v>12</v>
      </c>
      <c r="E145" s="13">
        <v>100000</v>
      </c>
      <c r="F145" s="14" t="s">
        <v>640</v>
      </c>
      <c r="G145" s="14" t="s">
        <v>641</v>
      </c>
      <c r="H145" s="15" t="s">
        <v>642</v>
      </c>
      <c r="I145" s="8"/>
      <c r="J145" s="10"/>
      <c r="AV145" s="15" t="s">
        <v>643</v>
      </c>
      <c r="AW145" s="15" t="s">
        <v>644</v>
      </c>
      <c r="AX145" s="15" t="s">
        <v>475</v>
      </c>
      <c r="AY145" s="15" t="s">
        <v>645</v>
      </c>
      <c r="BH145" s="15" t="s">
        <v>184</v>
      </c>
      <c r="BI145" s="15" t="s">
        <v>185</v>
      </c>
      <c r="BJ145" s="15" t="s">
        <v>186</v>
      </c>
      <c r="BK145" s="15" t="s">
        <v>187</v>
      </c>
      <c r="BL145" s="15" t="s">
        <v>188</v>
      </c>
      <c r="BM145" s="15" t="s">
        <v>189</v>
      </c>
      <c r="BN145" s="15" t="s">
        <v>190</v>
      </c>
      <c r="BO145" s="15" t="s">
        <v>191</v>
      </c>
      <c r="BR145" s="15" t="s">
        <v>192</v>
      </c>
      <c r="BS145" s="15" t="s">
        <v>193</v>
      </c>
      <c r="BT145" s="15" t="s">
        <v>194</v>
      </c>
      <c r="BU145" s="15" t="s">
        <v>195</v>
      </c>
      <c r="BV145" s="15" t="s">
        <v>196</v>
      </c>
      <c r="BW145" s="15" t="s">
        <v>272</v>
      </c>
      <c r="CB145" s="15" t="s">
        <v>129</v>
      </c>
      <c r="CC145" s="15">
        <v>1</v>
      </c>
      <c r="CN145" s="15" t="s">
        <v>273</v>
      </c>
      <c r="CW145" s="10">
        <v>2</v>
      </c>
      <c r="CX145" s="15" t="s">
        <v>646</v>
      </c>
    </row>
    <row r="146" spans="1:102" s="15" customFormat="1" x14ac:dyDescent="0.3">
      <c r="A146" s="11" t="s">
        <v>126</v>
      </c>
      <c r="B146" s="10" t="s">
        <v>647</v>
      </c>
      <c r="C146" s="12" t="s">
        <v>3584</v>
      </c>
      <c r="D146" s="10">
        <v>12</v>
      </c>
      <c r="E146" s="13">
        <v>10000</v>
      </c>
      <c r="F146" s="14" t="s">
        <v>243</v>
      </c>
      <c r="G146" s="14" t="s">
        <v>244</v>
      </c>
      <c r="H146" s="15" t="s">
        <v>254</v>
      </c>
      <c r="I146" s="8"/>
      <c r="J146" s="10"/>
      <c r="AV146" s="15" t="s">
        <v>181</v>
      </c>
      <c r="AW146" s="15" t="s">
        <v>182</v>
      </c>
      <c r="AX146" s="15" t="s">
        <v>648</v>
      </c>
      <c r="BH146" s="15" t="s">
        <v>184</v>
      </c>
      <c r="BI146" s="15" t="s">
        <v>185</v>
      </c>
      <c r="BJ146" s="15" t="s">
        <v>186</v>
      </c>
      <c r="BK146" s="15" t="s">
        <v>187</v>
      </c>
      <c r="BL146" s="15" t="s">
        <v>188</v>
      </c>
      <c r="BM146" s="15" t="s">
        <v>189</v>
      </c>
      <c r="BN146" s="15" t="s">
        <v>190</v>
      </c>
      <c r="BO146" s="15" t="s">
        <v>191</v>
      </c>
      <c r="BR146" s="15" t="s">
        <v>192</v>
      </c>
      <c r="BS146" s="15" t="s">
        <v>193</v>
      </c>
      <c r="BT146" s="15" t="s">
        <v>194</v>
      </c>
      <c r="BU146" s="15" t="s">
        <v>195</v>
      </c>
      <c r="BV146" s="15" t="s">
        <v>196</v>
      </c>
      <c r="BW146" s="15" t="s">
        <v>323</v>
      </c>
      <c r="CB146" s="15" t="s">
        <v>129</v>
      </c>
      <c r="CC146" s="15">
        <v>1</v>
      </c>
      <c r="CN146" s="15" t="s">
        <v>198</v>
      </c>
      <c r="CW146" s="10">
        <v>2</v>
      </c>
      <c r="CX146" s="15" t="s">
        <v>649</v>
      </c>
    </row>
    <row r="147" spans="1:102" s="15" customFormat="1" x14ac:dyDescent="0.3">
      <c r="A147" s="11" t="s">
        <v>126</v>
      </c>
      <c r="B147" s="10" t="s">
        <v>650</v>
      </c>
      <c r="C147" s="12" t="s">
        <v>3811</v>
      </c>
      <c r="D147" s="10">
        <v>12</v>
      </c>
      <c r="E147" s="13">
        <v>100000</v>
      </c>
      <c r="F147" s="14" t="s">
        <v>243</v>
      </c>
      <c r="G147" s="14" t="s">
        <v>244</v>
      </c>
      <c r="H147" s="15" t="s">
        <v>254</v>
      </c>
      <c r="I147" s="8"/>
      <c r="J147" s="10"/>
      <c r="AV147" s="15" t="s">
        <v>181</v>
      </c>
      <c r="AW147" s="15" t="s">
        <v>182</v>
      </c>
      <c r="AX147" s="15" t="s">
        <v>651</v>
      </c>
      <c r="BH147" s="15" t="s">
        <v>184</v>
      </c>
      <c r="BI147" s="15" t="s">
        <v>185</v>
      </c>
      <c r="BJ147" s="15" t="s">
        <v>186</v>
      </c>
      <c r="BK147" s="15" t="s">
        <v>187</v>
      </c>
      <c r="BL147" s="15" t="s">
        <v>188</v>
      </c>
      <c r="BM147" s="15" t="s">
        <v>189</v>
      </c>
      <c r="BN147" s="15" t="s">
        <v>190</v>
      </c>
      <c r="BO147" s="15" t="s">
        <v>191</v>
      </c>
      <c r="BR147" s="15" t="s">
        <v>192</v>
      </c>
      <c r="BS147" s="15" t="s">
        <v>193</v>
      </c>
      <c r="BT147" s="15" t="s">
        <v>194</v>
      </c>
      <c r="BU147" s="15" t="s">
        <v>195</v>
      </c>
      <c r="BV147" s="15" t="s">
        <v>196</v>
      </c>
      <c r="BW147" s="15" t="s">
        <v>251</v>
      </c>
      <c r="CB147" s="15" t="s">
        <v>129</v>
      </c>
      <c r="CC147" s="15">
        <v>1</v>
      </c>
      <c r="CN147" s="15" t="s">
        <v>198</v>
      </c>
      <c r="CW147" s="10">
        <v>2</v>
      </c>
      <c r="CX147" s="15" t="s">
        <v>652</v>
      </c>
    </row>
    <row r="148" spans="1:102" s="15" customFormat="1" x14ac:dyDescent="0.3">
      <c r="A148" s="11" t="s">
        <v>126</v>
      </c>
      <c r="B148" s="10" t="s">
        <v>653</v>
      </c>
      <c r="C148" s="12" t="s">
        <v>3812</v>
      </c>
      <c r="D148" s="10">
        <v>12</v>
      </c>
      <c r="E148" s="13">
        <v>100000</v>
      </c>
      <c r="F148" s="14" t="s">
        <v>243</v>
      </c>
      <c r="G148" s="14" t="s">
        <v>244</v>
      </c>
      <c r="H148" s="15" t="s">
        <v>254</v>
      </c>
      <c r="I148" s="8"/>
      <c r="J148" s="10"/>
      <c r="AV148" s="15" t="s">
        <v>181</v>
      </c>
      <c r="AW148" s="15" t="s">
        <v>182</v>
      </c>
      <c r="AX148" s="15" t="s">
        <v>654</v>
      </c>
      <c r="BH148" s="15" t="s">
        <v>184</v>
      </c>
      <c r="BI148" s="15" t="s">
        <v>185</v>
      </c>
      <c r="BJ148" s="15" t="s">
        <v>186</v>
      </c>
      <c r="BK148" s="15" t="s">
        <v>187</v>
      </c>
      <c r="BL148" s="15" t="s">
        <v>188</v>
      </c>
      <c r="BM148" s="15" t="s">
        <v>189</v>
      </c>
      <c r="BN148" s="15" t="s">
        <v>190</v>
      </c>
      <c r="BO148" s="15" t="s">
        <v>191</v>
      </c>
      <c r="BR148" s="15" t="s">
        <v>192</v>
      </c>
      <c r="BS148" s="15" t="s">
        <v>193</v>
      </c>
      <c r="BT148" s="15" t="s">
        <v>194</v>
      </c>
      <c r="BU148" s="15" t="s">
        <v>195</v>
      </c>
      <c r="BV148" s="15" t="s">
        <v>196</v>
      </c>
      <c r="BW148" s="15" t="s">
        <v>251</v>
      </c>
      <c r="CB148" s="15" t="s">
        <v>129</v>
      </c>
      <c r="CC148" s="15">
        <v>1</v>
      </c>
      <c r="CN148" s="15" t="s">
        <v>198</v>
      </c>
      <c r="CW148" s="10">
        <v>2</v>
      </c>
      <c r="CX148" s="15" t="s">
        <v>655</v>
      </c>
    </row>
    <row r="149" spans="1:102" s="15" customFormat="1" x14ac:dyDescent="0.3">
      <c r="A149" s="11" t="s">
        <v>126</v>
      </c>
      <c r="B149" s="10" t="s">
        <v>656</v>
      </c>
      <c r="C149" s="12" t="s">
        <v>3813</v>
      </c>
      <c r="D149" s="10">
        <v>12</v>
      </c>
      <c r="E149" s="13">
        <v>100000</v>
      </c>
      <c r="F149" s="14" t="s">
        <v>243</v>
      </c>
      <c r="G149" s="14" t="s">
        <v>244</v>
      </c>
      <c r="H149" s="15" t="s">
        <v>254</v>
      </c>
      <c r="I149" s="8"/>
      <c r="J149" s="10"/>
      <c r="AV149" s="15" t="s">
        <v>181</v>
      </c>
      <c r="AW149" s="15" t="s">
        <v>182</v>
      </c>
      <c r="AX149" s="15" t="s">
        <v>657</v>
      </c>
      <c r="BH149" s="15" t="s">
        <v>184</v>
      </c>
      <c r="BI149" s="15" t="s">
        <v>185</v>
      </c>
      <c r="BJ149" s="15" t="s">
        <v>186</v>
      </c>
      <c r="BK149" s="15" t="s">
        <v>187</v>
      </c>
      <c r="BL149" s="15" t="s">
        <v>188</v>
      </c>
      <c r="BM149" s="15" t="s">
        <v>189</v>
      </c>
      <c r="BN149" s="15" t="s">
        <v>190</v>
      </c>
      <c r="BO149" s="15" t="s">
        <v>191</v>
      </c>
      <c r="BR149" s="15" t="s">
        <v>192</v>
      </c>
      <c r="BS149" s="15" t="s">
        <v>193</v>
      </c>
      <c r="BT149" s="15" t="s">
        <v>194</v>
      </c>
      <c r="BU149" s="15" t="s">
        <v>195</v>
      </c>
      <c r="BV149" s="15" t="s">
        <v>196</v>
      </c>
      <c r="BW149" s="15" t="s">
        <v>251</v>
      </c>
      <c r="CB149" s="15" t="s">
        <v>129</v>
      </c>
      <c r="CC149" s="15">
        <v>1</v>
      </c>
      <c r="CN149" s="15" t="s">
        <v>198</v>
      </c>
      <c r="CW149" s="10">
        <v>2</v>
      </c>
      <c r="CX149" s="15" t="s">
        <v>658</v>
      </c>
    </row>
    <row r="150" spans="1:102" s="15" customFormat="1" x14ac:dyDescent="0.3">
      <c r="A150" s="11" t="s">
        <v>126</v>
      </c>
      <c r="B150" s="10" t="s">
        <v>659</v>
      </c>
      <c r="C150" s="12" t="s">
        <v>3814</v>
      </c>
      <c r="D150" s="10">
        <v>12</v>
      </c>
      <c r="E150" s="13">
        <v>100000</v>
      </c>
      <c r="F150" s="14" t="s">
        <v>243</v>
      </c>
      <c r="G150" s="14" t="s">
        <v>244</v>
      </c>
      <c r="H150" s="15" t="s">
        <v>254</v>
      </c>
      <c r="I150" s="8"/>
      <c r="J150" s="10"/>
      <c r="AV150" s="15" t="s">
        <v>181</v>
      </c>
      <c r="AW150" s="15" t="s">
        <v>182</v>
      </c>
      <c r="AX150" s="15" t="s">
        <v>660</v>
      </c>
      <c r="BH150" s="15" t="s">
        <v>184</v>
      </c>
      <c r="BI150" s="15" t="s">
        <v>185</v>
      </c>
      <c r="BJ150" s="15" t="s">
        <v>186</v>
      </c>
      <c r="BK150" s="15" t="s">
        <v>187</v>
      </c>
      <c r="BL150" s="15" t="s">
        <v>188</v>
      </c>
      <c r="BM150" s="15" t="s">
        <v>189</v>
      </c>
      <c r="BN150" s="15" t="s">
        <v>190</v>
      </c>
      <c r="BO150" s="15" t="s">
        <v>191</v>
      </c>
      <c r="BR150" s="15" t="s">
        <v>192</v>
      </c>
      <c r="BS150" s="15" t="s">
        <v>193</v>
      </c>
      <c r="BT150" s="15" t="s">
        <v>194</v>
      </c>
      <c r="BU150" s="15" t="s">
        <v>195</v>
      </c>
      <c r="BV150" s="15" t="s">
        <v>196</v>
      </c>
      <c r="BW150" s="15" t="s">
        <v>251</v>
      </c>
      <c r="CB150" s="15" t="s">
        <v>129</v>
      </c>
      <c r="CC150" s="15">
        <v>1</v>
      </c>
      <c r="CN150" s="15" t="s">
        <v>198</v>
      </c>
      <c r="CW150" s="10">
        <v>2</v>
      </c>
      <c r="CX150" s="15" t="s">
        <v>661</v>
      </c>
    </row>
    <row r="151" spans="1:102" s="15" customFormat="1" x14ac:dyDescent="0.3">
      <c r="A151" s="11" t="s">
        <v>126</v>
      </c>
      <c r="B151" s="10" t="s">
        <v>662</v>
      </c>
      <c r="C151" s="12" t="s">
        <v>3815</v>
      </c>
      <c r="D151" s="10">
        <v>12</v>
      </c>
      <c r="E151" s="13">
        <v>100000</v>
      </c>
      <c r="F151" s="14" t="s">
        <v>243</v>
      </c>
      <c r="G151" s="14" t="s">
        <v>244</v>
      </c>
      <c r="H151" s="15" t="s">
        <v>254</v>
      </c>
      <c r="I151" s="8"/>
      <c r="J151" s="10"/>
      <c r="AV151" s="15" t="s">
        <v>181</v>
      </c>
      <c r="AW151" s="15" t="s">
        <v>182</v>
      </c>
      <c r="AX151" s="15" t="s">
        <v>663</v>
      </c>
      <c r="BH151" s="15" t="s">
        <v>184</v>
      </c>
      <c r="BI151" s="15" t="s">
        <v>185</v>
      </c>
      <c r="BJ151" s="15" t="s">
        <v>186</v>
      </c>
      <c r="BK151" s="15" t="s">
        <v>187</v>
      </c>
      <c r="BL151" s="15" t="s">
        <v>188</v>
      </c>
      <c r="BM151" s="15" t="s">
        <v>189</v>
      </c>
      <c r="BN151" s="15" t="s">
        <v>190</v>
      </c>
      <c r="BO151" s="15" t="s">
        <v>191</v>
      </c>
      <c r="BR151" s="15" t="s">
        <v>192</v>
      </c>
      <c r="BS151" s="15" t="s">
        <v>193</v>
      </c>
      <c r="BT151" s="15" t="s">
        <v>194</v>
      </c>
      <c r="BU151" s="15" t="s">
        <v>195</v>
      </c>
      <c r="BV151" s="15" t="s">
        <v>196</v>
      </c>
      <c r="BW151" s="15" t="s">
        <v>251</v>
      </c>
      <c r="CB151" s="15" t="s">
        <v>129</v>
      </c>
      <c r="CC151" s="15">
        <v>1</v>
      </c>
      <c r="CN151" s="15" t="s">
        <v>198</v>
      </c>
      <c r="CW151" s="10">
        <v>2</v>
      </c>
      <c r="CX151" s="15" t="s">
        <v>664</v>
      </c>
    </row>
    <row r="152" spans="1:102" s="15" customFormat="1" x14ac:dyDescent="0.3">
      <c r="A152" s="11" t="s">
        <v>126</v>
      </c>
      <c r="B152" s="10" t="s">
        <v>665</v>
      </c>
      <c r="C152" s="12" t="s">
        <v>3816</v>
      </c>
      <c r="D152" s="10">
        <v>12</v>
      </c>
      <c r="E152" s="13">
        <v>1000000</v>
      </c>
      <c r="F152" s="14" t="s">
        <v>243</v>
      </c>
      <c r="G152" s="14" t="s">
        <v>244</v>
      </c>
      <c r="H152" s="15" t="s">
        <v>254</v>
      </c>
      <c r="I152" s="8"/>
      <c r="J152" s="10"/>
      <c r="AV152" s="15" t="s">
        <v>181</v>
      </c>
      <c r="AW152" s="15" t="s">
        <v>182</v>
      </c>
      <c r="AX152" s="15" t="s">
        <v>666</v>
      </c>
      <c r="BH152" s="15" t="s">
        <v>184</v>
      </c>
      <c r="BI152" s="15" t="s">
        <v>185</v>
      </c>
      <c r="BJ152" s="15" t="s">
        <v>186</v>
      </c>
      <c r="BK152" s="15" t="s">
        <v>187</v>
      </c>
      <c r="BL152" s="15" t="s">
        <v>188</v>
      </c>
      <c r="BM152" s="15" t="s">
        <v>189</v>
      </c>
      <c r="BN152" s="15" t="s">
        <v>190</v>
      </c>
      <c r="BO152" s="15" t="s">
        <v>191</v>
      </c>
      <c r="BR152" s="15" t="s">
        <v>192</v>
      </c>
      <c r="BS152" s="15" t="s">
        <v>193</v>
      </c>
      <c r="BT152" s="15" t="s">
        <v>194</v>
      </c>
      <c r="BU152" s="15" t="s">
        <v>195</v>
      </c>
      <c r="BV152" s="15" t="s">
        <v>196</v>
      </c>
      <c r="BW152" s="15" t="s">
        <v>251</v>
      </c>
      <c r="CB152" s="15" t="s">
        <v>129</v>
      </c>
      <c r="CC152" s="15">
        <v>1</v>
      </c>
      <c r="CN152" s="15" t="s">
        <v>198</v>
      </c>
      <c r="CW152" s="10">
        <v>2</v>
      </c>
      <c r="CX152" s="15" t="s">
        <v>667</v>
      </c>
    </row>
    <row r="153" spans="1:102" s="15" customFormat="1" x14ac:dyDescent="0.3">
      <c r="A153" s="11" t="s">
        <v>126</v>
      </c>
      <c r="B153" s="10" t="s">
        <v>668</v>
      </c>
      <c r="C153" s="12" t="s">
        <v>3817</v>
      </c>
      <c r="D153" s="10">
        <v>12</v>
      </c>
      <c r="E153" s="13">
        <v>1000000</v>
      </c>
      <c r="F153" s="14" t="s">
        <v>243</v>
      </c>
      <c r="G153" s="14" t="s">
        <v>244</v>
      </c>
      <c r="H153" s="15" t="s">
        <v>254</v>
      </c>
      <c r="I153" s="8"/>
      <c r="J153" s="10"/>
      <c r="AV153" s="15" t="s">
        <v>181</v>
      </c>
      <c r="AW153" s="15" t="s">
        <v>182</v>
      </c>
      <c r="AX153" s="15" t="s">
        <v>669</v>
      </c>
      <c r="BH153" s="15" t="s">
        <v>184</v>
      </c>
      <c r="BI153" s="15" t="s">
        <v>185</v>
      </c>
      <c r="BJ153" s="15" t="s">
        <v>186</v>
      </c>
      <c r="BK153" s="15" t="s">
        <v>187</v>
      </c>
      <c r="BL153" s="15" t="s">
        <v>188</v>
      </c>
      <c r="BM153" s="15" t="s">
        <v>189</v>
      </c>
      <c r="BN153" s="15" t="s">
        <v>190</v>
      </c>
      <c r="BO153" s="15" t="s">
        <v>191</v>
      </c>
      <c r="BR153" s="15" t="s">
        <v>192</v>
      </c>
      <c r="BS153" s="15" t="s">
        <v>193</v>
      </c>
      <c r="BT153" s="15" t="s">
        <v>194</v>
      </c>
      <c r="BU153" s="15" t="s">
        <v>195</v>
      </c>
      <c r="BV153" s="15" t="s">
        <v>196</v>
      </c>
      <c r="BW153" s="15" t="s">
        <v>251</v>
      </c>
      <c r="CB153" s="15" t="s">
        <v>129</v>
      </c>
      <c r="CC153" s="15">
        <v>1</v>
      </c>
      <c r="CN153" s="15" t="s">
        <v>198</v>
      </c>
      <c r="CW153" s="10">
        <v>2</v>
      </c>
      <c r="CX153" s="15" t="s">
        <v>670</v>
      </c>
    </row>
    <row r="154" spans="1:102" s="15" customFormat="1" x14ac:dyDescent="0.3">
      <c r="A154" s="11" t="s">
        <v>126</v>
      </c>
      <c r="B154" s="10" t="s">
        <v>671</v>
      </c>
      <c r="C154" s="12" t="s">
        <v>3818</v>
      </c>
      <c r="D154" s="10">
        <v>12</v>
      </c>
      <c r="E154" s="13">
        <v>1000000</v>
      </c>
      <c r="F154" s="14" t="s">
        <v>243</v>
      </c>
      <c r="G154" s="14" t="s">
        <v>244</v>
      </c>
      <c r="H154" s="15" t="s">
        <v>254</v>
      </c>
      <c r="I154" s="8"/>
      <c r="J154" s="10"/>
      <c r="AV154" s="15" t="s">
        <v>181</v>
      </c>
      <c r="AW154" s="15" t="s">
        <v>182</v>
      </c>
      <c r="AX154" s="15" t="s">
        <v>672</v>
      </c>
      <c r="BH154" s="15" t="s">
        <v>184</v>
      </c>
      <c r="BI154" s="15" t="s">
        <v>185</v>
      </c>
      <c r="BJ154" s="15" t="s">
        <v>186</v>
      </c>
      <c r="BK154" s="15" t="s">
        <v>187</v>
      </c>
      <c r="BL154" s="15" t="s">
        <v>188</v>
      </c>
      <c r="BM154" s="15" t="s">
        <v>189</v>
      </c>
      <c r="BN154" s="15" t="s">
        <v>190</v>
      </c>
      <c r="BO154" s="15" t="s">
        <v>191</v>
      </c>
      <c r="BR154" s="15" t="s">
        <v>192</v>
      </c>
      <c r="BS154" s="15" t="s">
        <v>193</v>
      </c>
      <c r="BT154" s="15" t="s">
        <v>194</v>
      </c>
      <c r="BU154" s="15" t="s">
        <v>195</v>
      </c>
      <c r="BV154" s="15" t="s">
        <v>196</v>
      </c>
      <c r="BW154" s="15" t="s">
        <v>251</v>
      </c>
      <c r="CB154" s="15" t="s">
        <v>129</v>
      </c>
      <c r="CC154" s="15">
        <v>1</v>
      </c>
      <c r="CN154" s="15" t="s">
        <v>198</v>
      </c>
      <c r="CW154" s="10">
        <v>2</v>
      </c>
      <c r="CX154" s="15" t="s">
        <v>673</v>
      </c>
    </row>
    <row r="155" spans="1:102" s="15" customFormat="1" x14ac:dyDescent="0.3">
      <c r="A155" s="11" t="s">
        <v>126</v>
      </c>
      <c r="B155" s="10" t="s">
        <v>674</v>
      </c>
      <c r="C155" s="12" t="s">
        <v>3819</v>
      </c>
      <c r="D155" s="10">
        <v>12</v>
      </c>
      <c r="E155" s="13">
        <v>100000</v>
      </c>
      <c r="F155" s="14" t="s">
        <v>243</v>
      </c>
      <c r="G155" s="14" t="s">
        <v>244</v>
      </c>
      <c r="H155" s="15" t="s">
        <v>402</v>
      </c>
      <c r="I155" s="8"/>
      <c r="J155" s="10"/>
      <c r="AV155" s="15" t="s">
        <v>181</v>
      </c>
      <c r="AW155" s="15" t="s">
        <v>182</v>
      </c>
      <c r="AX155" s="15" t="s">
        <v>675</v>
      </c>
      <c r="BH155" s="15" t="s">
        <v>184</v>
      </c>
      <c r="BI155" s="15" t="s">
        <v>185</v>
      </c>
      <c r="BJ155" s="15" t="s">
        <v>186</v>
      </c>
      <c r="BK155" s="15" t="s">
        <v>187</v>
      </c>
      <c r="BL155" s="15" t="s">
        <v>188</v>
      </c>
      <c r="BM155" s="15" t="s">
        <v>189</v>
      </c>
      <c r="BN155" s="15" t="s">
        <v>190</v>
      </c>
      <c r="BO155" s="15" t="s">
        <v>191</v>
      </c>
      <c r="BR155" s="15" t="s">
        <v>192</v>
      </c>
      <c r="BS155" s="15" t="s">
        <v>193</v>
      </c>
      <c r="BT155" s="15" t="s">
        <v>194</v>
      </c>
      <c r="BU155" s="15" t="s">
        <v>195</v>
      </c>
      <c r="BV155" s="15" t="s">
        <v>196</v>
      </c>
      <c r="BW155" s="15" t="s">
        <v>456</v>
      </c>
      <c r="CB155" s="15" t="s">
        <v>129</v>
      </c>
      <c r="CC155" s="15">
        <v>1</v>
      </c>
      <c r="CN155" s="15" t="s">
        <v>198</v>
      </c>
      <c r="CW155" s="10">
        <v>2</v>
      </c>
      <c r="CX155" s="15" t="s">
        <v>676</v>
      </c>
    </row>
    <row r="156" spans="1:102" s="15" customFormat="1" x14ac:dyDescent="0.3">
      <c r="A156" s="11" t="s">
        <v>126</v>
      </c>
      <c r="B156" s="10" t="s">
        <v>677</v>
      </c>
      <c r="C156" s="12" t="s">
        <v>3820</v>
      </c>
      <c r="D156" s="10">
        <v>12</v>
      </c>
      <c r="E156" s="13">
        <v>100000</v>
      </c>
      <c r="F156" s="14" t="s">
        <v>243</v>
      </c>
      <c r="G156" s="14" t="s">
        <v>244</v>
      </c>
      <c r="H156" s="15" t="s">
        <v>402</v>
      </c>
      <c r="I156" s="8"/>
      <c r="J156" s="10"/>
      <c r="AV156" s="15" t="s">
        <v>181</v>
      </c>
      <c r="AW156" s="15" t="s">
        <v>182</v>
      </c>
      <c r="AX156" s="15" t="s">
        <v>678</v>
      </c>
      <c r="BH156" s="15" t="s">
        <v>184</v>
      </c>
      <c r="BI156" s="15" t="s">
        <v>185</v>
      </c>
      <c r="BJ156" s="15" t="s">
        <v>186</v>
      </c>
      <c r="BK156" s="15" t="s">
        <v>187</v>
      </c>
      <c r="BL156" s="15" t="s">
        <v>188</v>
      </c>
      <c r="BM156" s="15" t="s">
        <v>189</v>
      </c>
      <c r="BN156" s="15" t="s">
        <v>190</v>
      </c>
      <c r="BO156" s="15" t="s">
        <v>191</v>
      </c>
      <c r="BR156" s="15" t="s">
        <v>192</v>
      </c>
      <c r="BS156" s="15" t="s">
        <v>193</v>
      </c>
      <c r="BT156" s="15" t="s">
        <v>194</v>
      </c>
      <c r="BU156" s="15" t="s">
        <v>195</v>
      </c>
      <c r="BV156" s="15" t="s">
        <v>196</v>
      </c>
      <c r="BW156" s="15" t="s">
        <v>251</v>
      </c>
      <c r="CB156" s="15" t="s">
        <v>129</v>
      </c>
      <c r="CC156" s="15">
        <v>1</v>
      </c>
      <c r="CN156" s="15" t="s">
        <v>198</v>
      </c>
      <c r="CW156" s="10">
        <v>2</v>
      </c>
      <c r="CX156" s="15" t="s">
        <v>679</v>
      </c>
    </row>
    <row r="157" spans="1:102" s="15" customFormat="1" x14ac:dyDescent="0.3">
      <c r="A157" s="11" t="s">
        <v>126</v>
      </c>
      <c r="B157" s="10" t="s">
        <v>680</v>
      </c>
      <c r="C157" s="12" t="s">
        <v>3635</v>
      </c>
      <c r="D157" s="10">
        <v>12</v>
      </c>
      <c r="E157" s="13">
        <v>100000</v>
      </c>
      <c r="F157" s="14" t="s">
        <v>209</v>
      </c>
      <c r="G157" s="14" t="s">
        <v>210</v>
      </c>
      <c r="H157" s="15" t="s">
        <v>211</v>
      </c>
      <c r="I157" s="8"/>
      <c r="J157" s="10"/>
      <c r="AV157" s="15" t="s">
        <v>212</v>
      </c>
      <c r="AW157" s="15" t="s">
        <v>213</v>
      </c>
      <c r="AX157" s="15" t="s">
        <v>681</v>
      </c>
      <c r="BH157" s="15" t="s">
        <v>184</v>
      </c>
      <c r="BI157" s="15" t="s">
        <v>185</v>
      </c>
      <c r="BJ157" s="15" t="s">
        <v>186</v>
      </c>
      <c r="BK157" s="15" t="s">
        <v>187</v>
      </c>
      <c r="BL157" s="15" t="s">
        <v>188</v>
      </c>
      <c r="BM157" s="15" t="s">
        <v>189</v>
      </c>
      <c r="BN157" s="15" t="s">
        <v>190</v>
      </c>
      <c r="BO157" s="15" t="s">
        <v>191</v>
      </c>
      <c r="BR157" s="15" t="s">
        <v>192</v>
      </c>
      <c r="BS157" s="15" t="s">
        <v>193</v>
      </c>
      <c r="BT157" s="15" t="s">
        <v>194</v>
      </c>
      <c r="BU157" s="15" t="s">
        <v>195</v>
      </c>
      <c r="BV157" s="15" t="s">
        <v>196</v>
      </c>
      <c r="BW157" s="15" t="s">
        <v>196</v>
      </c>
      <c r="CB157" s="15" t="s">
        <v>129</v>
      </c>
      <c r="CC157" s="15">
        <v>1</v>
      </c>
      <c r="CN157" s="15" t="s">
        <v>198</v>
      </c>
      <c r="CW157" s="10">
        <v>2</v>
      </c>
      <c r="CX157" s="15" t="s">
        <v>682</v>
      </c>
    </row>
    <row r="158" spans="1:102" s="15" customFormat="1" x14ac:dyDescent="0.3">
      <c r="A158" s="11" t="s">
        <v>126</v>
      </c>
      <c r="B158" s="10" t="s">
        <v>683</v>
      </c>
      <c r="C158" s="12" t="s">
        <v>3821</v>
      </c>
      <c r="D158" s="10">
        <v>12</v>
      </c>
      <c r="E158" s="13">
        <v>1000000</v>
      </c>
      <c r="F158" s="14" t="s">
        <v>209</v>
      </c>
      <c r="G158" s="14" t="s">
        <v>210</v>
      </c>
      <c r="H158" s="15" t="s">
        <v>211</v>
      </c>
      <c r="I158" s="8"/>
      <c r="J158" s="10"/>
      <c r="AV158" s="15" t="s">
        <v>212</v>
      </c>
      <c r="AW158" s="15" t="s">
        <v>213</v>
      </c>
      <c r="AX158" s="15" t="s">
        <v>684</v>
      </c>
      <c r="BH158" s="15" t="s">
        <v>184</v>
      </c>
      <c r="BI158" s="15" t="s">
        <v>185</v>
      </c>
      <c r="BJ158" s="15" t="s">
        <v>186</v>
      </c>
      <c r="BK158" s="15" t="s">
        <v>187</v>
      </c>
      <c r="BL158" s="15" t="s">
        <v>188</v>
      </c>
      <c r="BM158" s="15" t="s">
        <v>189</v>
      </c>
      <c r="BN158" s="15" t="s">
        <v>190</v>
      </c>
      <c r="BO158" s="15" t="s">
        <v>191</v>
      </c>
      <c r="BR158" s="15" t="s">
        <v>192</v>
      </c>
      <c r="BS158" s="15" t="s">
        <v>193</v>
      </c>
      <c r="BT158" s="15" t="s">
        <v>194</v>
      </c>
      <c r="BU158" s="15" t="s">
        <v>195</v>
      </c>
      <c r="BV158" s="15" t="s">
        <v>196</v>
      </c>
      <c r="BW158" s="15" t="s">
        <v>196</v>
      </c>
      <c r="CB158" s="15" t="s">
        <v>129</v>
      </c>
      <c r="CC158" s="15">
        <v>1</v>
      </c>
      <c r="CN158" s="15" t="s">
        <v>198</v>
      </c>
      <c r="CW158" s="10">
        <v>2</v>
      </c>
      <c r="CX158" s="15" t="s">
        <v>685</v>
      </c>
    </row>
    <row r="159" spans="1:102" s="15" customFormat="1" x14ac:dyDescent="0.3">
      <c r="A159" s="11" t="s">
        <v>126</v>
      </c>
      <c r="B159" s="10" t="s">
        <v>686</v>
      </c>
      <c r="C159" s="12" t="s">
        <v>3674</v>
      </c>
      <c r="D159" s="10">
        <v>12</v>
      </c>
      <c r="E159" s="13">
        <v>10000</v>
      </c>
      <c r="F159" s="14" t="s">
        <v>243</v>
      </c>
      <c r="G159" s="14" t="s">
        <v>244</v>
      </c>
      <c r="H159" s="15" t="s">
        <v>687</v>
      </c>
      <c r="I159" s="8"/>
      <c r="J159" s="10"/>
      <c r="AV159" s="15" t="s">
        <v>181</v>
      </c>
      <c r="AW159" s="15" t="s">
        <v>182</v>
      </c>
      <c r="AX159" s="15" t="s">
        <v>688</v>
      </c>
      <c r="AY159" s="15" t="s">
        <v>689</v>
      </c>
      <c r="AZ159" s="15" t="s">
        <v>690</v>
      </c>
      <c r="BA159" s="15" t="s">
        <v>691</v>
      </c>
      <c r="BB159" s="15" t="s">
        <v>692</v>
      </c>
      <c r="BH159" s="15" t="s">
        <v>184</v>
      </c>
      <c r="BI159" s="15" t="s">
        <v>185</v>
      </c>
      <c r="BJ159" s="15" t="s">
        <v>186</v>
      </c>
      <c r="BK159" s="15" t="s">
        <v>187</v>
      </c>
      <c r="BL159" s="15" t="s">
        <v>188</v>
      </c>
      <c r="BM159" s="15" t="s">
        <v>189</v>
      </c>
      <c r="BN159" s="15" t="s">
        <v>190</v>
      </c>
      <c r="BO159" s="15" t="s">
        <v>191</v>
      </c>
      <c r="BR159" s="15" t="s">
        <v>192</v>
      </c>
      <c r="BS159" s="15" t="s">
        <v>193</v>
      </c>
      <c r="BT159" s="15" t="s">
        <v>194</v>
      </c>
      <c r="BU159" s="15" t="s">
        <v>195</v>
      </c>
      <c r="BV159" s="15" t="s">
        <v>196</v>
      </c>
      <c r="BW159" s="15" t="s">
        <v>272</v>
      </c>
      <c r="CB159" s="15" t="s">
        <v>129</v>
      </c>
      <c r="CC159" s="15">
        <v>1</v>
      </c>
      <c r="CN159" s="15" t="s">
        <v>273</v>
      </c>
      <c r="CW159" s="10">
        <v>2</v>
      </c>
      <c r="CX159" s="15" t="s">
        <v>693</v>
      </c>
    </row>
    <row r="160" spans="1:102" s="15" customFormat="1" x14ac:dyDescent="0.3">
      <c r="A160" s="11" t="s">
        <v>126</v>
      </c>
      <c r="B160" s="10" t="s">
        <v>694</v>
      </c>
      <c r="C160" s="12" t="s">
        <v>698</v>
      </c>
      <c r="D160" s="10">
        <v>12</v>
      </c>
      <c r="E160" s="13">
        <v>10000</v>
      </c>
      <c r="F160" s="14" t="s">
        <v>243</v>
      </c>
      <c r="G160" s="14" t="s">
        <v>244</v>
      </c>
      <c r="H160" s="15" t="s">
        <v>254</v>
      </c>
      <c r="I160" s="8"/>
      <c r="J160" s="10"/>
      <c r="AV160" s="15" t="s">
        <v>181</v>
      </c>
      <c r="AW160" s="15" t="s">
        <v>182</v>
      </c>
      <c r="AX160" s="15" t="s">
        <v>695</v>
      </c>
      <c r="BH160" s="15" t="s">
        <v>184</v>
      </c>
      <c r="BI160" s="15" t="s">
        <v>185</v>
      </c>
      <c r="BJ160" s="15" t="s">
        <v>186</v>
      </c>
      <c r="BK160" s="15" t="s">
        <v>187</v>
      </c>
      <c r="BL160" s="15" t="s">
        <v>188</v>
      </c>
      <c r="BM160" s="15" t="s">
        <v>189</v>
      </c>
      <c r="BN160" s="15" t="s">
        <v>190</v>
      </c>
      <c r="BO160" s="15" t="s">
        <v>191</v>
      </c>
      <c r="BR160" s="15" t="s">
        <v>192</v>
      </c>
      <c r="BS160" s="15" t="s">
        <v>193</v>
      </c>
      <c r="BT160" s="15" t="s">
        <v>194</v>
      </c>
      <c r="BU160" s="15" t="s">
        <v>195</v>
      </c>
      <c r="BV160" s="15" t="s">
        <v>196</v>
      </c>
      <c r="BW160" s="15" t="s">
        <v>323</v>
      </c>
      <c r="CB160" s="15" t="s">
        <v>129</v>
      </c>
      <c r="CC160" s="15">
        <v>1</v>
      </c>
      <c r="CN160" s="15" t="s">
        <v>198</v>
      </c>
      <c r="CW160" s="10">
        <v>2</v>
      </c>
      <c r="CX160" s="15" t="s">
        <v>696</v>
      </c>
    </row>
    <row r="161" spans="1:102" s="15" customFormat="1" x14ac:dyDescent="0.3">
      <c r="A161" s="11" t="s">
        <v>126</v>
      </c>
      <c r="B161" s="10" t="s">
        <v>697</v>
      </c>
      <c r="C161" s="12" t="s">
        <v>698</v>
      </c>
      <c r="D161" s="10">
        <v>12</v>
      </c>
      <c r="E161" s="13">
        <v>10000</v>
      </c>
      <c r="F161" s="14" t="s">
        <v>244</v>
      </c>
      <c r="G161" s="14" t="s">
        <v>244</v>
      </c>
      <c r="H161" s="15" t="s">
        <v>254</v>
      </c>
      <c r="I161" s="8"/>
      <c r="J161" s="10"/>
      <c r="AW161" s="15" t="s">
        <v>128</v>
      </c>
      <c r="AX161" s="15" t="s">
        <v>695</v>
      </c>
      <c r="BH161" s="15" t="s">
        <v>184</v>
      </c>
      <c r="BI161" s="15" t="s">
        <v>185</v>
      </c>
      <c r="BJ161" s="15" t="s">
        <v>186</v>
      </c>
      <c r="BK161" s="15" t="s">
        <v>187</v>
      </c>
      <c r="BL161" s="15" t="s">
        <v>188</v>
      </c>
      <c r="BM161" s="15" t="s">
        <v>189</v>
      </c>
      <c r="BN161" s="15" t="s">
        <v>190</v>
      </c>
      <c r="BO161" s="15" t="s">
        <v>191</v>
      </c>
      <c r="BR161" s="15" t="s">
        <v>192</v>
      </c>
      <c r="BS161" s="15" t="s">
        <v>193</v>
      </c>
      <c r="BT161" s="15" t="s">
        <v>194</v>
      </c>
      <c r="BU161" s="15" t="s">
        <v>195</v>
      </c>
      <c r="BV161" s="15" t="s">
        <v>196</v>
      </c>
      <c r="BW161" s="15" t="s">
        <v>323</v>
      </c>
      <c r="CB161" s="15" t="s">
        <v>128</v>
      </c>
      <c r="CC161" s="15">
        <v>1</v>
      </c>
      <c r="CN161" s="15" t="s">
        <v>198</v>
      </c>
      <c r="CW161" s="10">
        <v>2</v>
      </c>
      <c r="CX161" s="15" t="s">
        <v>699</v>
      </c>
    </row>
    <row r="162" spans="1:102" s="15" customFormat="1" x14ac:dyDescent="0.3">
      <c r="A162" s="11" t="s">
        <v>126</v>
      </c>
      <c r="B162" s="10" t="s">
        <v>700</v>
      </c>
      <c r="C162" s="12" t="s">
        <v>3822</v>
      </c>
      <c r="D162" s="10">
        <v>12</v>
      </c>
      <c r="E162" s="13">
        <v>500000</v>
      </c>
      <c r="F162" s="14" t="s">
        <v>243</v>
      </c>
      <c r="G162" s="14" t="s">
        <v>244</v>
      </c>
      <c r="H162" s="15" t="s">
        <v>402</v>
      </c>
      <c r="I162" s="8"/>
      <c r="J162" s="10"/>
      <c r="AV162" s="15" t="s">
        <v>181</v>
      </c>
      <c r="AW162" s="15" t="s">
        <v>182</v>
      </c>
      <c r="AX162" s="15" t="s">
        <v>701</v>
      </c>
      <c r="BH162" s="15" t="s">
        <v>184</v>
      </c>
      <c r="BI162" s="15" t="s">
        <v>185</v>
      </c>
      <c r="BJ162" s="15" t="s">
        <v>186</v>
      </c>
      <c r="BK162" s="15" t="s">
        <v>187</v>
      </c>
      <c r="BL162" s="15" t="s">
        <v>188</v>
      </c>
      <c r="BM162" s="15" t="s">
        <v>189</v>
      </c>
      <c r="BN162" s="15" t="s">
        <v>190</v>
      </c>
      <c r="BO162" s="15" t="s">
        <v>191</v>
      </c>
      <c r="BR162" s="15" t="s">
        <v>192</v>
      </c>
      <c r="BS162" s="15" t="s">
        <v>193</v>
      </c>
      <c r="BT162" s="15" t="s">
        <v>194</v>
      </c>
      <c r="BU162" s="15" t="s">
        <v>195</v>
      </c>
      <c r="BV162" s="15" t="s">
        <v>196</v>
      </c>
      <c r="BW162" s="15" t="s">
        <v>196</v>
      </c>
      <c r="CB162" s="15" t="s">
        <v>129</v>
      </c>
      <c r="CC162" s="15">
        <v>1</v>
      </c>
      <c r="CN162" s="15" t="s">
        <v>198</v>
      </c>
      <c r="CW162" s="10">
        <v>2</v>
      </c>
      <c r="CX162" s="15" t="s">
        <v>702</v>
      </c>
    </row>
    <row r="163" spans="1:102" s="15" customFormat="1" x14ac:dyDescent="0.3">
      <c r="A163" s="11" t="s">
        <v>126</v>
      </c>
      <c r="B163" s="10" t="s">
        <v>703</v>
      </c>
      <c r="C163" s="12" t="s">
        <v>3823</v>
      </c>
      <c r="D163" s="10">
        <v>12</v>
      </c>
      <c r="E163" s="13">
        <v>100000</v>
      </c>
      <c r="F163" s="14" t="s">
        <v>209</v>
      </c>
      <c r="G163" s="14" t="s">
        <v>210</v>
      </c>
      <c r="H163" s="15" t="s">
        <v>211</v>
      </c>
      <c r="I163" s="8"/>
      <c r="J163" s="10"/>
      <c r="AV163" s="15" t="s">
        <v>212</v>
      </c>
      <c r="AW163" s="15" t="s">
        <v>213</v>
      </c>
      <c r="AX163" s="15" t="s">
        <v>704</v>
      </c>
      <c r="BH163" s="15" t="s">
        <v>184</v>
      </c>
      <c r="BI163" s="15" t="s">
        <v>185</v>
      </c>
      <c r="BJ163" s="15" t="s">
        <v>186</v>
      </c>
      <c r="BK163" s="15" t="s">
        <v>187</v>
      </c>
      <c r="BL163" s="15" t="s">
        <v>188</v>
      </c>
      <c r="BM163" s="15" t="s">
        <v>189</v>
      </c>
      <c r="BN163" s="15" t="s">
        <v>190</v>
      </c>
      <c r="BO163" s="15" t="s">
        <v>191</v>
      </c>
      <c r="BR163" s="15" t="s">
        <v>192</v>
      </c>
      <c r="BS163" s="15" t="s">
        <v>193</v>
      </c>
      <c r="BT163" s="15" t="s">
        <v>194</v>
      </c>
      <c r="BU163" s="15" t="s">
        <v>195</v>
      </c>
      <c r="BV163" s="15" t="s">
        <v>196</v>
      </c>
      <c r="BW163" s="15" t="s">
        <v>196</v>
      </c>
      <c r="CB163" s="15" t="s">
        <v>129</v>
      </c>
      <c r="CC163" s="15">
        <v>1</v>
      </c>
      <c r="CN163" s="15" t="s">
        <v>198</v>
      </c>
      <c r="CW163" s="10">
        <v>2</v>
      </c>
      <c r="CX163" s="15" t="s">
        <v>705</v>
      </c>
    </row>
    <row r="164" spans="1:102" s="15" customFormat="1" x14ac:dyDescent="0.3">
      <c r="A164" s="11" t="s">
        <v>126</v>
      </c>
      <c r="B164" s="10" t="s">
        <v>706</v>
      </c>
      <c r="C164" s="12" t="s">
        <v>3572</v>
      </c>
      <c r="D164" s="10">
        <v>12</v>
      </c>
      <c r="E164" s="13">
        <v>10000</v>
      </c>
      <c r="F164" s="14" t="s">
        <v>243</v>
      </c>
      <c r="G164" s="14" t="s">
        <v>244</v>
      </c>
      <c r="H164" s="15" t="s">
        <v>402</v>
      </c>
      <c r="I164" s="8"/>
      <c r="J164" s="10"/>
      <c r="AV164" s="15" t="s">
        <v>181</v>
      </c>
      <c r="AW164" s="15" t="s">
        <v>182</v>
      </c>
      <c r="AX164" s="15" t="s">
        <v>707</v>
      </c>
      <c r="BH164" s="15" t="s">
        <v>184</v>
      </c>
      <c r="BI164" s="15" t="s">
        <v>185</v>
      </c>
      <c r="BJ164" s="15" t="s">
        <v>186</v>
      </c>
      <c r="BK164" s="15" t="s">
        <v>187</v>
      </c>
      <c r="BL164" s="15" t="s">
        <v>188</v>
      </c>
      <c r="BM164" s="15" t="s">
        <v>189</v>
      </c>
      <c r="BN164" s="15" t="s">
        <v>190</v>
      </c>
      <c r="BO164" s="15" t="s">
        <v>191</v>
      </c>
      <c r="BR164" s="15" t="s">
        <v>192</v>
      </c>
      <c r="BS164" s="15" t="s">
        <v>193</v>
      </c>
      <c r="BT164" s="15" t="s">
        <v>194</v>
      </c>
      <c r="BU164" s="15" t="s">
        <v>195</v>
      </c>
      <c r="BV164" s="15" t="s">
        <v>196</v>
      </c>
      <c r="BW164" s="15" t="s">
        <v>205</v>
      </c>
      <c r="CB164" s="15" t="s">
        <v>129</v>
      </c>
      <c r="CC164" s="15">
        <v>1</v>
      </c>
      <c r="CN164" s="15" t="s">
        <v>198</v>
      </c>
      <c r="CW164" s="10">
        <v>1</v>
      </c>
      <c r="CX164" s="15" t="s">
        <v>708</v>
      </c>
    </row>
    <row r="165" spans="1:102" s="15" customFormat="1" x14ac:dyDescent="0.3">
      <c r="A165" s="11" t="s">
        <v>126</v>
      </c>
      <c r="B165" s="10" t="s">
        <v>709</v>
      </c>
      <c r="C165" s="12" t="s">
        <v>3824</v>
      </c>
      <c r="D165" s="10">
        <v>12</v>
      </c>
      <c r="E165" s="13">
        <v>100000</v>
      </c>
      <c r="F165" s="14" t="s">
        <v>209</v>
      </c>
      <c r="G165" s="14" t="s">
        <v>210</v>
      </c>
      <c r="H165" s="15" t="s">
        <v>211</v>
      </c>
      <c r="I165" s="8"/>
      <c r="J165" s="10"/>
      <c r="AV165" s="15" t="s">
        <v>212</v>
      </c>
      <c r="AW165" s="15" t="s">
        <v>213</v>
      </c>
      <c r="AX165" s="15" t="s">
        <v>710</v>
      </c>
      <c r="BH165" s="15" t="s">
        <v>184</v>
      </c>
      <c r="BI165" s="15" t="s">
        <v>185</v>
      </c>
      <c r="BJ165" s="15" t="s">
        <v>186</v>
      </c>
      <c r="BK165" s="15" t="s">
        <v>187</v>
      </c>
      <c r="BL165" s="15" t="s">
        <v>188</v>
      </c>
      <c r="BM165" s="15" t="s">
        <v>189</v>
      </c>
      <c r="BN165" s="15" t="s">
        <v>190</v>
      </c>
      <c r="BO165" s="15" t="s">
        <v>191</v>
      </c>
      <c r="BR165" s="15" t="s">
        <v>192</v>
      </c>
      <c r="BS165" s="15" t="s">
        <v>193</v>
      </c>
      <c r="BT165" s="15" t="s">
        <v>194</v>
      </c>
      <c r="BU165" s="15" t="s">
        <v>195</v>
      </c>
      <c r="BV165" s="15" t="s">
        <v>196</v>
      </c>
      <c r="BW165" s="15" t="s">
        <v>251</v>
      </c>
      <c r="CB165" s="15" t="s">
        <v>129</v>
      </c>
      <c r="CC165" s="15">
        <v>1</v>
      </c>
      <c r="CN165" s="15" t="s">
        <v>198</v>
      </c>
      <c r="CW165" s="10">
        <v>2</v>
      </c>
      <c r="CX165" s="15" t="s">
        <v>711</v>
      </c>
    </row>
    <row r="166" spans="1:102" s="15" customFormat="1" x14ac:dyDescent="0.3">
      <c r="A166" s="11" t="s">
        <v>126</v>
      </c>
      <c r="B166" s="10" t="s">
        <v>712</v>
      </c>
      <c r="C166" s="12" t="s">
        <v>3825</v>
      </c>
      <c r="D166" s="10">
        <v>12</v>
      </c>
      <c r="E166" s="13">
        <v>10000</v>
      </c>
      <c r="F166" s="14" t="s">
        <v>243</v>
      </c>
      <c r="G166" s="14" t="s">
        <v>244</v>
      </c>
      <c r="H166" s="15" t="s">
        <v>687</v>
      </c>
      <c r="I166" s="8"/>
      <c r="J166" s="10"/>
      <c r="AV166" s="15" t="s">
        <v>181</v>
      </c>
      <c r="AW166" s="15" t="s">
        <v>182</v>
      </c>
      <c r="AX166" s="15" t="s">
        <v>713</v>
      </c>
      <c r="AY166" s="15" t="s">
        <v>714</v>
      </c>
      <c r="AZ166" s="15" t="s">
        <v>715</v>
      </c>
      <c r="BA166" s="15" t="s">
        <v>716</v>
      </c>
      <c r="BB166" s="15" t="s">
        <v>717</v>
      </c>
      <c r="BH166" s="15" t="s">
        <v>184</v>
      </c>
      <c r="BI166" s="15" t="s">
        <v>185</v>
      </c>
      <c r="BJ166" s="15" t="s">
        <v>186</v>
      </c>
      <c r="BK166" s="15" t="s">
        <v>187</v>
      </c>
      <c r="BL166" s="15" t="s">
        <v>188</v>
      </c>
      <c r="BM166" s="15" t="s">
        <v>189</v>
      </c>
      <c r="BN166" s="15" t="s">
        <v>190</v>
      </c>
      <c r="BO166" s="15" t="s">
        <v>191</v>
      </c>
      <c r="BR166" s="15" t="s">
        <v>192</v>
      </c>
      <c r="BS166" s="15" t="s">
        <v>193</v>
      </c>
      <c r="BT166" s="15" t="s">
        <v>194</v>
      </c>
      <c r="BU166" s="15" t="s">
        <v>195</v>
      </c>
      <c r="BV166" s="15" t="s">
        <v>196</v>
      </c>
      <c r="BW166" s="15" t="s">
        <v>272</v>
      </c>
      <c r="CB166" s="15" t="s">
        <v>129</v>
      </c>
      <c r="CC166" s="15">
        <v>1</v>
      </c>
      <c r="CN166" s="15" t="s">
        <v>273</v>
      </c>
      <c r="CW166" s="10">
        <v>2</v>
      </c>
      <c r="CX166" s="15" t="s">
        <v>718</v>
      </c>
    </row>
    <row r="167" spans="1:102" s="15" customFormat="1" x14ac:dyDescent="0.3">
      <c r="A167" s="11" t="s">
        <v>126</v>
      </c>
      <c r="B167" s="10" t="s">
        <v>719</v>
      </c>
      <c r="C167" s="12" t="s">
        <v>3628</v>
      </c>
      <c r="D167" s="10">
        <v>12</v>
      </c>
      <c r="E167" s="13">
        <v>2000000</v>
      </c>
      <c r="F167" s="14" t="s">
        <v>209</v>
      </c>
      <c r="G167" s="14" t="s">
        <v>210</v>
      </c>
      <c r="H167" s="15" t="s">
        <v>254</v>
      </c>
      <c r="I167" s="8"/>
      <c r="J167" s="10"/>
      <c r="AV167" s="15" t="s">
        <v>212</v>
      </c>
      <c r="AW167" s="15" t="s">
        <v>213</v>
      </c>
      <c r="AX167" s="15" t="s">
        <v>185</v>
      </c>
      <c r="BH167" s="15" t="s">
        <v>184</v>
      </c>
      <c r="BI167" s="15" t="s">
        <v>185</v>
      </c>
      <c r="BJ167" s="15" t="s">
        <v>186</v>
      </c>
      <c r="BK167" s="15" t="s">
        <v>187</v>
      </c>
      <c r="BL167" s="15" t="s">
        <v>188</v>
      </c>
      <c r="BM167" s="15" t="s">
        <v>189</v>
      </c>
      <c r="BN167" s="15" t="s">
        <v>190</v>
      </c>
      <c r="BO167" s="15" t="s">
        <v>191</v>
      </c>
      <c r="BR167" s="15" t="s">
        <v>192</v>
      </c>
      <c r="BS167" s="15" t="s">
        <v>193</v>
      </c>
      <c r="BT167" s="15" t="s">
        <v>194</v>
      </c>
      <c r="BU167" s="15" t="s">
        <v>195</v>
      </c>
      <c r="BV167" s="15" t="s">
        <v>196</v>
      </c>
      <c r="BW167" s="15" t="s">
        <v>192</v>
      </c>
      <c r="CB167" s="15" t="s">
        <v>129</v>
      </c>
      <c r="CC167" s="15">
        <v>1</v>
      </c>
      <c r="CN167" s="15" t="s">
        <v>720</v>
      </c>
      <c r="CW167" s="10">
        <v>2</v>
      </c>
      <c r="CX167" s="15" t="s">
        <v>721</v>
      </c>
    </row>
    <row r="168" spans="1:102" s="15" customFormat="1" x14ac:dyDescent="0.3">
      <c r="A168" s="11" t="s">
        <v>126</v>
      </c>
      <c r="B168" s="10" t="s">
        <v>722</v>
      </c>
      <c r="C168" s="12" t="s">
        <v>926</v>
      </c>
      <c r="D168" s="10">
        <v>12</v>
      </c>
      <c r="E168" s="13">
        <v>1000000</v>
      </c>
      <c r="F168" s="14" t="s">
        <v>723</v>
      </c>
      <c r="G168" s="14" t="s">
        <v>724</v>
      </c>
      <c r="H168" s="15" t="s">
        <v>725</v>
      </c>
      <c r="I168" s="8"/>
      <c r="J168" s="10"/>
      <c r="AV168" s="15" t="s">
        <v>181</v>
      </c>
      <c r="AW168" s="15" t="s">
        <v>182</v>
      </c>
      <c r="AX168" s="15" t="s">
        <v>726</v>
      </c>
      <c r="BH168" s="15" t="s">
        <v>184</v>
      </c>
      <c r="BI168" s="15" t="s">
        <v>185</v>
      </c>
      <c r="BJ168" s="15" t="s">
        <v>186</v>
      </c>
      <c r="BK168" s="15" t="s">
        <v>187</v>
      </c>
      <c r="BL168" s="15" t="s">
        <v>188</v>
      </c>
      <c r="BM168" s="15" t="s">
        <v>189</v>
      </c>
      <c r="BN168" s="15" t="s">
        <v>190</v>
      </c>
      <c r="BO168" s="15" t="s">
        <v>191</v>
      </c>
      <c r="BR168" s="15" t="s">
        <v>192</v>
      </c>
      <c r="BS168" s="15" t="s">
        <v>193</v>
      </c>
      <c r="BT168" s="15" t="s">
        <v>194</v>
      </c>
      <c r="BU168" s="15" t="s">
        <v>195</v>
      </c>
      <c r="BV168" s="15" t="s">
        <v>196</v>
      </c>
      <c r="CB168" s="15" t="s">
        <v>129</v>
      </c>
      <c r="CC168" s="15" t="s">
        <v>197</v>
      </c>
      <c r="CN168" s="15" t="s">
        <v>198</v>
      </c>
      <c r="CW168" s="10">
        <v>2</v>
      </c>
      <c r="CX168" s="15" t="s">
        <v>727</v>
      </c>
    </row>
    <row r="169" spans="1:102" s="15" customFormat="1" x14ac:dyDescent="0.3">
      <c r="A169" s="11" t="s">
        <v>126</v>
      </c>
      <c r="B169" s="10" t="s">
        <v>728</v>
      </c>
      <c r="C169" s="12" t="s">
        <v>3826</v>
      </c>
      <c r="D169" s="10">
        <v>12</v>
      </c>
      <c r="E169" s="13">
        <v>100000</v>
      </c>
      <c r="F169" s="14" t="s">
        <v>243</v>
      </c>
      <c r="G169" s="14" t="s">
        <v>244</v>
      </c>
      <c r="H169" s="15" t="s">
        <v>254</v>
      </c>
      <c r="I169" s="8"/>
      <c r="J169" s="10"/>
      <c r="AV169" s="15" t="s">
        <v>181</v>
      </c>
      <c r="AW169" s="15" t="s">
        <v>182</v>
      </c>
      <c r="AX169" s="15" t="s">
        <v>729</v>
      </c>
      <c r="BH169" s="15" t="s">
        <v>184</v>
      </c>
      <c r="BI169" s="15" t="s">
        <v>185</v>
      </c>
      <c r="BJ169" s="15" t="s">
        <v>186</v>
      </c>
      <c r="BK169" s="15" t="s">
        <v>187</v>
      </c>
      <c r="BL169" s="15" t="s">
        <v>188</v>
      </c>
      <c r="BM169" s="15" t="s">
        <v>189</v>
      </c>
      <c r="BN169" s="15" t="s">
        <v>190</v>
      </c>
      <c r="BO169" s="15" t="s">
        <v>191</v>
      </c>
      <c r="BR169" s="15" t="s">
        <v>192</v>
      </c>
      <c r="BS169" s="15" t="s">
        <v>193</v>
      </c>
      <c r="BT169" s="15" t="s">
        <v>194</v>
      </c>
      <c r="BU169" s="15" t="s">
        <v>195</v>
      </c>
      <c r="BV169" s="15" t="s">
        <v>196</v>
      </c>
      <c r="BW169" s="15" t="s">
        <v>404</v>
      </c>
      <c r="CB169" s="15" t="s">
        <v>129</v>
      </c>
      <c r="CC169" s="15">
        <v>1</v>
      </c>
      <c r="CN169" s="15" t="s">
        <v>198</v>
      </c>
      <c r="CW169" s="10">
        <v>2</v>
      </c>
      <c r="CX169" s="15" t="s">
        <v>730</v>
      </c>
    </row>
    <row r="170" spans="1:102" s="15" customFormat="1" x14ac:dyDescent="0.3">
      <c r="A170" s="11" t="s">
        <v>126</v>
      </c>
      <c r="B170" s="10" t="s">
        <v>731</v>
      </c>
      <c r="C170" s="12" t="s">
        <v>3827</v>
      </c>
      <c r="D170" s="10">
        <v>12</v>
      </c>
      <c r="E170" s="13">
        <v>100000</v>
      </c>
      <c r="F170" s="14" t="s">
        <v>243</v>
      </c>
      <c r="G170" s="14" t="s">
        <v>244</v>
      </c>
      <c r="H170" s="15" t="s">
        <v>254</v>
      </c>
      <c r="I170" s="8"/>
      <c r="J170" s="10"/>
      <c r="AV170" s="15" t="s">
        <v>181</v>
      </c>
      <c r="AW170" s="15" t="s">
        <v>182</v>
      </c>
      <c r="AX170" s="15" t="s">
        <v>732</v>
      </c>
      <c r="BH170" s="15" t="s">
        <v>184</v>
      </c>
      <c r="BI170" s="15" t="s">
        <v>185</v>
      </c>
      <c r="BJ170" s="15" t="s">
        <v>186</v>
      </c>
      <c r="BK170" s="15" t="s">
        <v>187</v>
      </c>
      <c r="BL170" s="15" t="s">
        <v>188</v>
      </c>
      <c r="BM170" s="15" t="s">
        <v>189</v>
      </c>
      <c r="BN170" s="15" t="s">
        <v>190</v>
      </c>
      <c r="BO170" s="15" t="s">
        <v>191</v>
      </c>
      <c r="BR170" s="15" t="s">
        <v>192</v>
      </c>
      <c r="BS170" s="15" t="s">
        <v>193</v>
      </c>
      <c r="BT170" s="15" t="s">
        <v>194</v>
      </c>
      <c r="BU170" s="15" t="s">
        <v>195</v>
      </c>
      <c r="BV170" s="15" t="s">
        <v>196</v>
      </c>
      <c r="BW170" s="15" t="s">
        <v>404</v>
      </c>
      <c r="CB170" s="15" t="s">
        <v>129</v>
      </c>
      <c r="CC170" s="15">
        <v>1</v>
      </c>
      <c r="CN170" s="15" t="s">
        <v>198</v>
      </c>
      <c r="CW170" s="10">
        <v>2</v>
      </c>
      <c r="CX170" s="15" t="s">
        <v>733</v>
      </c>
    </row>
    <row r="171" spans="1:102" s="15" customFormat="1" x14ac:dyDescent="0.3">
      <c r="A171" s="11" t="s">
        <v>126</v>
      </c>
      <c r="B171" s="10" t="s">
        <v>734</v>
      </c>
      <c r="C171" s="12" t="s">
        <v>3828</v>
      </c>
      <c r="D171" s="10">
        <v>12</v>
      </c>
      <c r="E171" s="13">
        <v>100000</v>
      </c>
      <c r="F171" s="14" t="s">
        <v>243</v>
      </c>
      <c r="G171" s="14" t="s">
        <v>244</v>
      </c>
      <c r="H171" s="15" t="s">
        <v>254</v>
      </c>
      <c r="I171" s="8"/>
      <c r="J171" s="10"/>
      <c r="AV171" s="15" t="s">
        <v>181</v>
      </c>
      <c r="AW171" s="15" t="s">
        <v>182</v>
      </c>
      <c r="AX171" s="15" t="s">
        <v>735</v>
      </c>
      <c r="BH171" s="15" t="s">
        <v>184</v>
      </c>
      <c r="BI171" s="15" t="s">
        <v>185</v>
      </c>
      <c r="BJ171" s="15" t="s">
        <v>186</v>
      </c>
      <c r="BK171" s="15" t="s">
        <v>187</v>
      </c>
      <c r="BL171" s="15" t="s">
        <v>188</v>
      </c>
      <c r="BM171" s="15" t="s">
        <v>189</v>
      </c>
      <c r="BN171" s="15" t="s">
        <v>190</v>
      </c>
      <c r="BO171" s="15" t="s">
        <v>191</v>
      </c>
      <c r="BR171" s="15" t="s">
        <v>192</v>
      </c>
      <c r="BS171" s="15" t="s">
        <v>193</v>
      </c>
      <c r="BT171" s="15" t="s">
        <v>194</v>
      </c>
      <c r="BU171" s="15" t="s">
        <v>195</v>
      </c>
      <c r="BV171" s="15" t="s">
        <v>196</v>
      </c>
      <c r="BW171" s="15" t="s">
        <v>404</v>
      </c>
      <c r="CB171" s="15" t="s">
        <v>129</v>
      </c>
      <c r="CC171" s="15">
        <v>1</v>
      </c>
      <c r="CN171" s="15" t="s">
        <v>198</v>
      </c>
      <c r="CW171" s="10">
        <v>2</v>
      </c>
      <c r="CX171" s="15" t="s">
        <v>736</v>
      </c>
    </row>
    <row r="172" spans="1:102" s="15" customFormat="1" x14ac:dyDescent="0.3">
      <c r="A172" s="11" t="s">
        <v>126</v>
      </c>
      <c r="B172" s="10" t="s">
        <v>737</v>
      </c>
      <c r="C172" s="12" t="s">
        <v>3829</v>
      </c>
      <c r="D172" s="10">
        <v>12</v>
      </c>
      <c r="E172" s="13">
        <v>500000</v>
      </c>
      <c r="F172" s="14" t="s">
        <v>243</v>
      </c>
      <c r="G172" s="14" t="s">
        <v>244</v>
      </c>
      <c r="H172" s="15" t="s">
        <v>254</v>
      </c>
      <c r="I172" s="8"/>
      <c r="J172" s="10"/>
      <c r="AV172" s="15" t="s">
        <v>181</v>
      </c>
      <c r="AW172" s="15" t="s">
        <v>182</v>
      </c>
      <c r="AX172" s="15" t="s">
        <v>738</v>
      </c>
      <c r="BH172" s="15" t="s">
        <v>184</v>
      </c>
      <c r="BI172" s="15" t="s">
        <v>185</v>
      </c>
      <c r="BJ172" s="15" t="s">
        <v>186</v>
      </c>
      <c r="BK172" s="15" t="s">
        <v>187</v>
      </c>
      <c r="BL172" s="15" t="s">
        <v>188</v>
      </c>
      <c r="BM172" s="15" t="s">
        <v>189</v>
      </c>
      <c r="BN172" s="15" t="s">
        <v>190</v>
      </c>
      <c r="BO172" s="15" t="s">
        <v>191</v>
      </c>
      <c r="BR172" s="15" t="s">
        <v>192</v>
      </c>
      <c r="BS172" s="15" t="s">
        <v>193</v>
      </c>
      <c r="BT172" s="15" t="s">
        <v>194</v>
      </c>
      <c r="BU172" s="15" t="s">
        <v>195</v>
      </c>
      <c r="BV172" s="15" t="s">
        <v>196</v>
      </c>
      <c r="BW172" s="15" t="s">
        <v>404</v>
      </c>
      <c r="CB172" s="15" t="s">
        <v>129</v>
      </c>
      <c r="CC172" s="15">
        <v>1</v>
      </c>
      <c r="CN172" s="15" t="s">
        <v>198</v>
      </c>
      <c r="CW172" s="10">
        <v>2</v>
      </c>
      <c r="CX172" s="15" t="s">
        <v>739</v>
      </c>
    </row>
    <row r="173" spans="1:102" s="15" customFormat="1" x14ac:dyDescent="0.3">
      <c r="A173" s="11" t="s">
        <v>126</v>
      </c>
      <c r="B173" s="10" t="s">
        <v>740</v>
      </c>
      <c r="C173" s="12" t="s">
        <v>3830</v>
      </c>
      <c r="D173" s="10">
        <v>12</v>
      </c>
      <c r="E173" s="13">
        <v>500000</v>
      </c>
      <c r="F173" s="14" t="s">
        <v>243</v>
      </c>
      <c r="G173" s="14" t="s">
        <v>244</v>
      </c>
      <c r="H173" s="15" t="s">
        <v>254</v>
      </c>
      <c r="I173" s="8"/>
      <c r="J173" s="10"/>
      <c r="AV173" s="15" t="s">
        <v>181</v>
      </c>
      <c r="AW173" s="15" t="s">
        <v>182</v>
      </c>
      <c r="AX173" s="15" t="s">
        <v>741</v>
      </c>
      <c r="BH173" s="15" t="s">
        <v>184</v>
      </c>
      <c r="BI173" s="15" t="s">
        <v>185</v>
      </c>
      <c r="BJ173" s="15" t="s">
        <v>186</v>
      </c>
      <c r="BK173" s="15" t="s">
        <v>187</v>
      </c>
      <c r="BL173" s="15" t="s">
        <v>188</v>
      </c>
      <c r="BM173" s="15" t="s">
        <v>189</v>
      </c>
      <c r="BN173" s="15" t="s">
        <v>190</v>
      </c>
      <c r="BO173" s="15" t="s">
        <v>191</v>
      </c>
      <c r="BR173" s="15" t="s">
        <v>192</v>
      </c>
      <c r="BS173" s="15" t="s">
        <v>193</v>
      </c>
      <c r="BT173" s="15" t="s">
        <v>194</v>
      </c>
      <c r="BU173" s="15" t="s">
        <v>195</v>
      </c>
      <c r="BV173" s="15" t="s">
        <v>196</v>
      </c>
      <c r="BW173" s="15" t="s">
        <v>404</v>
      </c>
      <c r="CB173" s="15" t="s">
        <v>129</v>
      </c>
      <c r="CC173" s="15">
        <v>1</v>
      </c>
      <c r="CN173" s="15" t="s">
        <v>198</v>
      </c>
      <c r="CW173" s="10">
        <v>2</v>
      </c>
      <c r="CX173" s="15" t="s">
        <v>742</v>
      </c>
    </row>
    <row r="174" spans="1:102" s="15" customFormat="1" x14ac:dyDescent="0.3">
      <c r="A174" s="11" t="s">
        <v>126</v>
      </c>
      <c r="B174" s="10" t="s">
        <v>743</v>
      </c>
      <c r="C174" s="12" t="s">
        <v>3831</v>
      </c>
      <c r="D174" s="10">
        <v>12</v>
      </c>
      <c r="E174" s="13">
        <v>1000000</v>
      </c>
      <c r="F174" s="14" t="s">
        <v>243</v>
      </c>
      <c r="G174" s="14" t="s">
        <v>244</v>
      </c>
      <c r="H174" s="15" t="s">
        <v>254</v>
      </c>
      <c r="I174" s="8"/>
      <c r="J174" s="10"/>
      <c r="AV174" s="15" t="s">
        <v>181</v>
      </c>
      <c r="AW174" s="15" t="s">
        <v>182</v>
      </c>
      <c r="AX174" s="15" t="s">
        <v>744</v>
      </c>
      <c r="BH174" s="15" t="s">
        <v>184</v>
      </c>
      <c r="BI174" s="15" t="s">
        <v>185</v>
      </c>
      <c r="BJ174" s="15" t="s">
        <v>186</v>
      </c>
      <c r="BK174" s="15" t="s">
        <v>187</v>
      </c>
      <c r="BL174" s="15" t="s">
        <v>188</v>
      </c>
      <c r="BM174" s="15" t="s">
        <v>189</v>
      </c>
      <c r="BN174" s="15" t="s">
        <v>190</v>
      </c>
      <c r="BO174" s="15" t="s">
        <v>191</v>
      </c>
      <c r="BR174" s="15" t="s">
        <v>192</v>
      </c>
      <c r="BS174" s="15" t="s">
        <v>193</v>
      </c>
      <c r="BT174" s="15" t="s">
        <v>194</v>
      </c>
      <c r="BU174" s="15" t="s">
        <v>195</v>
      </c>
      <c r="BV174" s="15" t="s">
        <v>196</v>
      </c>
      <c r="BW174" s="15" t="s">
        <v>404</v>
      </c>
      <c r="CB174" s="15" t="s">
        <v>129</v>
      </c>
      <c r="CC174" s="15">
        <v>1</v>
      </c>
      <c r="CN174" s="15" t="s">
        <v>198</v>
      </c>
      <c r="CW174" s="10">
        <v>2</v>
      </c>
      <c r="CX174" s="15" t="s">
        <v>745</v>
      </c>
    </row>
    <row r="175" spans="1:102" s="15" customFormat="1" x14ac:dyDescent="0.3">
      <c r="A175" s="11" t="s">
        <v>126</v>
      </c>
      <c r="B175" s="10" t="s">
        <v>746</v>
      </c>
      <c r="C175" s="12" t="s">
        <v>3832</v>
      </c>
      <c r="D175" s="10">
        <v>12</v>
      </c>
      <c r="E175" s="13">
        <v>2000000</v>
      </c>
      <c r="F175" s="14" t="s">
        <v>243</v>
      </c>
      <c r="G175" s="14" t="s">
        <v>244</v>
      </c>
      <c r="H175" s="15" t="s">
        <v>254</v>
      </c>
      <c r="I175" s="8"/>
      <c r="J175" s="10"/>
      <c r="AV175" s="15" t="s">
        <v>181</v>
      </c>
      <c r="AW175" s="15" t="s">
        <v>182</v>
      </c>
      <c r="AX175" s="15" t="s">
        <v>747</v>
      </c>
      <c r="BH175" s="15" t="s">
        <v>184</v>
      </c>
      <c r="BI175" s="15" t="s">
        <v>185</v>
      </c>
      <c r="BJ175" s="15" t="s">
        <v>186</v>
      </c>
      <c r="BK175" s="15" t="s">
        <v>187</v>
      </c>
      <c r="BL175" s="15" t="s">
        <v>188</v>
      </c>
      <c r="BM175" s="15" t="s">
        <v>189</v>
      </c>
      <c r="BN175" s="15" t="s">
        <v>190</v>
      </c>
      <c r="BO175" s="15" t="s">
        <v>191</v>
      </c>
      <c r="BR175" s="15" t="s">
        <v>192</v>
      </c>
      <c r="BS175" s="15" t="s">
        <v>193</v>
      </c>
      <c r="BT175" s="15" t="s">
        <v>194</v>
      </c>
      <c r="BU175" s="15" t="s">
        <v>195</v>
      </c>
      <c r="BV175" s="15" t="s">
        <v>196</v>
      </c>
      <c r="BW175" s="15" t="s">
        <v>404</v>
      </c>
      <c r="CB175" s="15" t="s">
        <v>129</v>
      </c>
      <c r="CC175" s="15">
        <v>1</v>
      </c>
      <c r="CN175" s="15" t="s">
        <v>198</v>
      </c>
      <c r="CW175" s="10">
        <v>2</v>
      </c>
      <c r="CX175" s="15" t="s">
        <v>748</v>
      </c>
    </row>
    <row r="176" spans="1:102" s="15" customFormat="1" x14ac:dyDescent="0.3">
      <c r="A176" s="11" t="s">
        <v>126</v>
      </c>
      <c r="B176" s="10" t="s">
        <v>749</v>
      </c>
      <c r="C176" s="12" t="s">
        <v>3833</v>
      </c>
      <c r="D176" s="10">
        <v>12</v>
      </c>
      <c r="E176" s="13">
        <v>2000000</v>
      </c>
      <c r="F176" s="14" t="s">
        <v>243</v>
      </c>
      <c r="G176" s="14" t="s">
        <v>244</v>
      </c>
      <c r="H176" s="15" t="s">
        <v>254</v>
      </c>
      <c r="I176" s="8"/>
      <c r="J176" s="10"/>
      <c r="AV176" s="15" t="s">
        <v>181</v>
      </c>
      <c r="AW176" s="15" t="s">
        <v>182</v>
      </c>
      <c r="AX176" s="15" t="s">
        <v>750</v>
      </c>
      <c r="BH176" s="15" t="s">
        <v>184</v>
      </c>
      <c r="BI176" s="15" t="s">
        <v>185</v>
      </c>
      <c r="BJ176" s="15" t="s">
        <v>186</v>
      </c>
      <c r="BK176" s="15" t="s">
        <v>187</v>
      </c>
      <c r="BL176" s="15" t="s">
        <v>188</v>
      </c>
      <c r="BM176" s="15" t="s">
        <v>189</v>
      </c>
      <c r="BN176" s="15" t="s">
        <v>190</v>
      </c>
      <c r="BO176" s="15" t="s">
        <v>191</v>
      </c>
      <c r="BR176" s="15" t="s">
        <v>192</v>
      </c>
      <c r="BS176" s="15" t="s">
        <v>193</v>
      </c>
      <c r="BT176" s="15" t="s">
        <v>194</v>
      </c>
      <c r="BU176" s="15" t="s">
        <v>195</v>
      </c>
      <c r="BV176" s="15" t="s">
        <v>196</v>
      </c>
      <c r="BW176" s="15" t="s">
        <v>404</v>
      </c>
      <c r="CB176" s="15" t="s">
        <v>129</v>
      </c>
      <c r="CC176" s="15">
        <v>1</v>
      </c>
      <c r="CN176" s="15" t="s">
        <v>198</v>
      </c>
      <c r="CW176" s="10">
        <v>2</v>
      </c>
      <c r="CX176" s="15" t="s">
        <v>751</v>
      </c>
    </row>
    <row r="177" spans="1:102" s="15" customFormat="1" x14ac:dyDescent="0.3">
      <c r="A177" s="11" t="s">
        <v>126</v>
      </c>
      <c r="B177" s="10" t="s">
        <v>752</v>
      </c>
      <c r="C177" s="12" t="s">
        <v>3834</v>
      </c>
      <c r="D177" s="10">
        <v>12</v>
      </c>
      <c r="E177" s="13">
        <v>1000000</v>
      </c>
      <c r="F177" s="14" t="s">
        <v>209</v>
      </c>
      <c r="G177" s="14" t="s">
        <v>210</v>
      </c>
      <c r="H177" s="15" t="s">
        <v>211</v>
      </c>
      <c r="I177" s="8"/>
      <c r="J177" s="10"/>
      <c r="AV177" s="15" t="s">
        <v>212</v>
      </c>
      <c r="AW177" s="15" t="s">
        <v>213</v>
      </c>
      <c r="AX177" s="15" t="s">
        <v>189</v>
      </c>
      <c r="BH177" s="15" t="s">
        <v>184</v>
      </c>
      <c r="BI177" s="15" t="s">
        <v>185</v>
      </c>
      <c r="BJ177" s="15" t="s">
        <v>186</v>
      </c>
      <c r="BK177" s="15" t="s">
        <v>187</v>
      </c>
      <c r="BL177" s="15" t="s">
        <v>188</v>
      </c>
      <c r="BM177" s="15" t="s">
        <v>189</v>
      </c>
      <c r="BN177" s="15" t="s">
        <v>190</v>
      </c>
      <c r="BO177" s="15" t="s">
        <v>191</v>
      </c>
      <c r="BR177" s="15" t="s">
        <v>192</v>
      </c>
      <c r="BS177" s="15" t="s">
        <v>193</v>
      </c>
      <c r="BT177" s="15" t="s">
        <v>194</v>
      </c>
      <c r="BU177" s="15" t="s">
        <v>195</v>
      </c>
      <c r="BV177" s="15" t="s">
        <v>196</v>
      </c>
      <c r="BW177" s="15" t="s">
        <v>196</v>
      </c>
      <c r="CB177" s="15" t="s">
        <v>129</v>
      </c>
      <c r="CC177" s="15">
        <v>1</v>
      </c>
      <c r="CN177" s="15" t="s">
        <v>753</v>
      </c>
      <c r="CW177" s="10">
        <v>2</v>
      </c>
      <c r="CX177" s="15" t="s">
        <v>754</v>
      </c>
    </row>
    <row r="178" spans="1:102" s="15" customFormat="1" x14ac:dyDescent="0.3">
      <c r="A178" s="11" t="s">
        <v>126</v>
      </c>
      <c r="B178" s="10" t="s">
        <v>755</v>
      </c>
      <c r="C178" s="12" t="s">
        <v>3835</v>
      </c>
      <c r="D178" s="10">
        <v>12</v>
      </c>
      <c r="E178" s="13">
        <v>10000</v>
      </c>
      <c r="F178" s="14" t="s">
        <v>243</v>
      </c>
      <c r="G178" s="14" t="s">
        <v>244</v>
      </c>
      <c r="H178" s="15" t="s">
        <v>402</v>
      </c>
      <c r="I178" s="8"/>
      <c r="J178" s="10"/>
      <c r="AV178" s="15" t="s">
        <v>181</v>
      </c>
      <c r="AW178" s="15" t="s">
        <v>182</v>
      </c>
      <c r="AX178" s="15" t="s">
        <v>756</v>
      </c>
      <c r="BH178" s="15" t="s">
        <v>184</v>
      </c>
      <c r="BI178" s="15" t="s">
        <v>185</v>
      </c>
      <c r="BJ178" s="15" t="s">
        <v>186</v>
      </c>
      <c r="BK178" s="15" t="s">
        <v>187</v>
      </c>
      <c r="BL178" s="15" t="s">
        <v>188</v>
      </c>
      <c r="BM178" s="15" t="s">
        <v>189</v>
      </c>
      <c r="BN178" s="15" t="s">
        <v>190</v>
      </c>
      <c r="BO178" s="15" t="s">
        <v>191</v>
      </c>
      <c r="BR178" s="15" t="s">
        <v>192</v>
      </c>
      <c r="BS178" s="15" t="s">
        <v>193</v>
      </c>
      <c r="BT178" s="15" t="s">
        <v>194</v>
      </c>
      <c r="BU178" s="15" t="s">
        <v>195</v>
      </c>
      <c r="BV178" s="15" t="s">
        <v>196</v>
      </c>
      <c r="BW178" s="15" t="s">
        <v>293</v>
      </c>
      <c r="CB178" s="15" t="s">
        <v>129</v>
      </c>
      <c r="CC178" s="15">
        <v>1</v>
      </c>
      <c r="CN178" s="15" t="s">
        <v>198</v>
      </c>
      <c r="CW178" s="10">
        <v>2</v>
      </c>
      <c r="CX178" s="15" t="s">
        <v>757</v>
      </c>
    </row>
    <row r="179" spans="1:102" s="15" customFormat="1" x14ac:dyDescent="0.3">
      <c r="A179" s="11" t="s">
        <v>126</v>
      </c>
      <c r="B179" s="10" t="s">
        <v>758</v>
      </c>
      <c r="C179" s="12" t="s">
        <v>3836</v>
      </c>
      <c r="D179" s="10">
        <v>12</v>
      </c>
      <c r="E179" s="13">
        <v>10000</v>
      </c>
      <c r="F179" s="14" t="s">
        <v>243</v>
      </c>
      <c r="G179" s="14" t="s">
        <v>244</v>
      </c>
      <c r="H179" s="15" t="s">
        <v>402</v>
      </c>
      <c r="I179" s="8"/>
      <c r="J179" s="10"/>
      <c r="AV179" s="15" t="s">
        <v>181</v>
      </c>
      <c r="AW179" s="15" t="s">
        <v>182</v>
      </c>
      <c r="AX179" s="15" t="s">
        <v>759</v>
      </c>
      <c r="BH179" s="15" t="s">
        <v>184</v>
      </c>
      <c r="BI179" s="15" t="s">
        <v>185</v>
      </c>
      <c r="BJ179" s="15" t="s">
        <v>186</v>
      </c>
      <c r="BK179" s="15" t="s">
        <v>187</v>
      </c>
      <c r="BL179" s="15" t="s">
        <v>188</v>
      </c>
      <c r="BM179" s="15" t="s">
        <v>189</v>
      </c>
      <c r="BN179" s="15" t="s">
        <v>190</v>
      </c>
      <c r="BO179" s="15" t="s">
        <v>191</v>
      </c>
      <c r="BR179" s="15" t="s">
        <v>192</v>
      </c>
      <c r="BS179" s="15" t="s">
        <v>193</v>
      </c>
      <c r="BT179" s="15" t="s">
        <v>194</v>
      </c>
      <c r="BU179" s="15" t="s">
        <v>195</v>
      </c>
      <c r="BV179" s="15" t="s">
        <v>196</v>
      </c>
      <c r="BW179" s="15" t="s">
        <v>289</v>
      </c>
      <c r="CB179" s="15" t="s">
        <v>129</v>
      </c>
      <c r="CC179" s="15">
        <v>1</v>
      </c>
      <c r="CN179" s="15" t="s">
        <v>198</v>
      </c>
      <c r="CW179" s="10">
        <v>2</v>
      </c>
      <c r="CX179" s="15" t="s">
        <v>760</v>
      </c>
    </row>
    <row r="180" spans="1:102" s="15" customFormat="1" x14ac:dyDescent="0.3">
      <c r="A180" s="11" t="s">
        <v>126</v>
      </c>
      <c r="B180" s="10" t="s">
        <v>761</v>
      </c>
      <c r="C180" s="12" t="s">
        <v>975</v>
      </c>
      <c r="D180" s="10">
        <v>12</v>
      </c>
      <c r="E180" s="13">
        <v>500000</v>
      </c>
      <c r="F180" s="14" t="s">
        <v>243</v>
      </c>
      <c r="G180" s="14" t="s">
        <v>244</v>
      </c>
      <c r="H180" s="15" t="s">
        <v>270</v>
      </c>
      <c r="I180" s="8"/>
      <c r="J180" s="10"/>
      <c r="AV180" s="15" t="s">
        <v>181</v>
      </c>
      <c r="AW180" s="15" t="s">
        <v>182</v>
      </c>
      <c r="AX180" s="15" t="s">
        <v>762</v>
      </c>
      <c r="BH180" s="15" t="s">
        <v>184</v>
      </c>
      <c r="BI180" s="15" t="s">
        <v>185</v>
      </c>
      <c r="BJ180" s="15" t="s">
        <v>186</v>
      </c>
      <c r="BK180" s="15" t="s">
        <v>187</v>
      </c>
      <c r="BL180" s="15" t="s">
        <v>188</v>
      </c>
      <c r="BM180" s="15" t="s">
        <v>189</v>
      </c>
      <c r="BN180" s="15" t="s">
        <v>190</v>
      </c>
      <c r="BO180" s="15" t="s">
        <v>191</v>
      </c>
      <c r="BR180" s="15" t="s">
        <v>192</v>
      </c>
      <c r="BS180" s="15" t="s">
        <v>193</v>
      </c>
      <c r="BT180" s="15" t="s">
        <v>194</v>
      </c>
      <c r="BU180" s="15" t="s">
        <v>195</v>
      </c>
      <c r="BV180" s="15" t="s">
        <v>196</v>
      </c>
      <c r="BW180" s="15" t="s">
        <v>272</v>
      </c>
      <c r="CB180" s="15" t="s">
        <v>129</v>
      </c>
      <c r="CC180" s="15">
        <v>1</v>
      </c>
      <c r="CN180" s="15" t="s">
        <v>273</v>
      </c>
      <c r="CW180" s="10">
        <v>2</v>
      </c>
      <c r="CX180" s="15" t="s">
        <v>763</v>
      </c>
    </row>
    <row r="181" spans="1:102" s="15" customFormat="1" x14ac:dyDescent="0.3">
      <c r="A181" s="11" t="s">
        <v>126</v>
      </c>
      <c r="B181" s="10" t="s">
        <v>764</v>
      </c>
      <c r="C181" s="12" t="s">
        <v>991</v>
      </c>
      <c r="D181" s="10">
        <v>12</v>
      </c>
      <c r="E181" s="13">
        <v>100000</v>
      </c>
      <c r="F181" s="14" t="s">
        <v>243</v>
      </c>
      <c r="G181" s="14" t="s">
        <v>244</v>
      </c>
      <c r="H181" s="15" t="s">
        <v>254</v>
      </c>
      <c r="I181" s="8"/>
      <c r="J181" s="10"/>
      <c r="AV181" s="15" t="s">
        <v>181</v>
      </c>
      <c r="AW181" s="15" t="s">
        <v>182</v>
      </c>
      <c r="AX181" s="15" t="s">
        <v>765</v>
      </c>
      <c r="BH181" s="15" t="s">
        <v>184</v>
      </c>
      <c r="BI181" s="15" t="s">
        <v>185</v>
      </c>
      <c r="BJ181" s="15" t="s">
        <v>186</v>
      </c>
      <c r="BK181" s="15" t="s">
        <v>187</v>
      </c>
      <c r="BL181" s="15" t="s">
        <v>188</v>
      </c>
      <c r="BM181" s="15" t="s">
        <v>189</v>
      </c>
      <c r="BN181" s="15" t="s">
        <v>190</v>
      </c>
      <c r="BO181" s="15" t="s">
        <v>191</v>
      </c>
      <c r="BR181" s="15" t="s">
        <v>192</v>
      </c>
      <c r="BS181" s="15" t="s">
        <v>193</v>
      </c>
      <c r="BT181" s="15" t="s">
        <v>194</v>
      </c>
      <c r="BU181" s="15" t="s">
        <v>195</v>
      </c>
      <c r="BV181" s="15" t="s">
        <v>196</v>
      </c>
      <c r="BW181" s="15" t="s">
        <v>251</v>
      </c>
      <c r="CB181" s="15" t="s">
        <v>129</v>
      </c>
      <c r="CC181" s="15">
        <v>1</v>
      </c>
      <c r="CN181" s="15" t="s">
        <v>198</v>
      </c>
      <c r="CW181" s="10">
        <v>2</v>
      </c>
      <c r="CX181" s="15" t="s">
        <v>766</v>
      </c>
    </row>
    <row r="182" spans="1:102" s="15" customFormat="1" x14ac:dyDescent="0.3">
      <c r="A182" s="11" t="s">
        <v>126</v>
      </c>
      <c r="B182" s="10" t="s">
        <v>767</v>
      </c>
      <c r="C182" s="12" t="s">
        <v>3837</v>
      </c>
      <c r="D182" s="10">
        <v>12</v>
      </c>
      <c r="E182" s="13">
        <v>10000</v>
      </c>
      <c r="F182" s="14" t="s">
        <v>243</v>
      </c>
      <c r="G182" s="14" t="s">
        <v>244</v>
      </c>
      <c r="H182" s="15" t="s">
        <v>254</v>
      </c>
      <c r="I182" s="8"/>
      <c r="J182" s="10"/>
      <c r="AV182" s="15" t="s">
        <v>181</v>
      </c>
      <c r="AW182" s="15" t="s">
        <v>182</v>
      </c>
      <c r="AX182" s="15" t="s">
        <v>768</v>
      </c>
      <c r="BH182" s="15" t="s">
        <v>184</v>
      </c>
      <c r="BI182" s="15" t="s">
        <v>185</v>
      </c>
      <c r="BJ182" s="15" t="s">
        <v>186</v>
      </c>
      <c r="BK182" s="15" t="s">
        <v>187</v>
      </c>
      <c r="BL182" s="15" t="s">
        <v>188</v>
      </c>
      <c r="BM182" s="15" t="s">
        <v>189</v>
      </c>
      <c r="BN182" s="15" t="s">
        <v>190</v>
      </c>
      <c r="BO182" s="15" t="s">
        <v>191</v>
      </c>
      <c r="BR182" s="15" t="s">
        <v>192</v>
      </c>
      <c r="BS182" s="15" t="s">
        <v>193</v>
      </c>
      <c r="BT182" s="15" t="s">
        <v>194</v>
      </c>
      <c r="BU182" s="15" t="s">
        <v>195</v>
      </c>
      <c r="BV182" s="15" t="s">
        <v>196</v>
      </c>
      <c r="BW182" s="15" t="s">
        <v>323</v>
      </c>
      <c r="CB182" s="15" t="s">
        <v>129</v>
      </c>
      <c r="CC182" s="15">
        <v>1</v>
      </c>
      <c r="CN182" s="15" t="s">
        <v>198</v>
      </c>
      <c r="CW182" s="10">
        <v>2</v>
      </c>
      <c r="CX182" s="15" t="s">
        <v>769</v>
      </c>
    </row>
    <row r="183" spans="1:102" s="15" customFormat="1" x14ac:dyDescent="0.3">
      <c r="A183" s="11" t="s">
        <v>126</v>
      </c>
      <c r="B183" s="10" t="s">
        <v>770</v>
      </c>
      <c r="C183" s="12" t="s">
        <v>3838</v>
      </c>
      <c r="D183" s="10">
        <v>12</v>
      </c>
      <c r="E183" s="13">
        <v>10000</v>
      </c>
      <c r="F183" s="14" t="s">
        <v>243</v>
      </c>
      <c r="G183" s="14" t="s">
        <v>244</v>
      </c>
      <c r="H183" s="15" t="s">
        <v>254</v>
      </c>
      <c r="I183" s="8"/>
      <c r="J183" s="10"/>
      <c r="AV183" s="15" t="s">
        <v>181</v>
      </c>
      <c r="AW183" s="15" t="s">
        <v>182</v>
      </c>
      <c r="AX183" s="15" t="s">
        <v>771</v>
      </c>
      <c r="BH183" s="15" t="s">
        <v>184</v>
      </c>
      <c r="BI183" s="15" t="s">
        <v>185</v>
      </c>
      <c r="BJ183" s="15" t="s">
        <v>186</v>
      </c>
      <c r="BK183" s="15" t="s">
        <v>187</v>
      </c>
      <c r="BL183" s="15" t="s">
        <v>188</v>
      </c>
      <c r="BM183" s="15" t="s">
        <v>189</v>
      </c>
      <c r="BN183" s="15" t="s">
        <v>190</v>
      </c>
      <c r="BO183" s="15" t="s">
        <v>191</v>
      </c>
      <c r="BR183" s="15" t="s">
        <v>192</v>
      </c>
      <c r="BS183" s="15" t="s">
        <v>193</v>
      </c>
      <c r="BT183" s="15" t="s">
        <v>194</v>
      </c>
      <c r="BU183" s="15" t="s">
        <v>195</v>
      </c>
      <c r="BV183" s="15" t="s">
        <v>196</v>
      </c>
      <c r="BW183" s="15" t="s">
        <v>323</v>
      </c>
      <c r="CB183" s="15" t="s">
        <v>129</v>
      </c>
      <c r="CC183" s="15">
        <v>1</v>
      </c>
      <c r="CN183" s="15" t="s">
        <v>198</v>
      </c>
      <c r="CW183" s="10">
        <v>2</v>
      </c>
      <c r="CX183" s="15" t="s">
        <v>772</v>
      </c>
    </row>
    <row r="184" spans="1:102" s="15" customFormat="1" x14ac:dyDescent="0.3">
      <c r="A184" s="11" t="s">
        <v>126</v>
      </c>
      <c r="B184" s="10" t="s">
        <v>773</v>
      </c>
      <c r="C184" s="12" t="s">
        <v>3839</v>
      </c>
      <c r="D184" s="10">
        <v>12</v>
      </c>
      <c r="E184" s="13">
        <v>10000</v>
      </c>
      <c r="F184" s="14" t="s">
        <v>243</v>
      </c>
      <c r="G184" s="14" t="s">
        <v>244</v>
      </c>
      <c r="H184" s="15" t="s">
        <v>254</v>
      </c>
      <c r="I184" s="8"/>
      <c r="J184" s="10"/>
      <c r="AV184" s="15" t="s">
        <v>181</v>
      </c>
      <c r="AW184" s="15" t="s">
        <v>182</v>
      </c>
      <c r="AX184" s="15" t="s">
        <v>774</v>
      </c>
      <c r="BH184" s="15" t="s">
        <v>184</v>
      </c>
      <c r="BI184" s="15" t="s">
        <v>185</v>
      </c>
      <c r="BJ184" s="15" t="s">
        <v>186</v>
      </c>
      <c r="BK184" s="15" t="s">
        <v>187</v>
      </c>
      <c r="BL184" s="15" t="s">
        <v>188</v>
      </c>
      <c r="BM184" s="15" t="s">
        <v>189</v>
      </c>
      <c r="BN184" s="15" t="s">
        <v>190</v>
      </c>
      <c r="BO184" s="15" t="s">
        <v>191</v>
      </c>
      <c r="BR184" s="15" t="s">
        <v>192</v>
      </c>
      <c r="BS184" s="15" t="s">
        <v>193</v>
      </c>
      <c r="BT184" s="15" t="s">
        <v>194</v>
      </c>
      <c r="BU184" s="15" t="s">
        <v>195</v>
      </c>
      <c r="BV184" s="15" t="s">
        <v>196</v>
      </c>
      <c r="BW184" s="15" t="s">
        <v>205</v>
      </c>
      <c r="CB184" s="15" t="s">
        <v>129</v>
      </c>
      <c r="CC184" s="15">
        <v>1</v>
      </c>
      <c r="CN184" s="15" t="s">
        <v>198</v>
      </c>
      <c r="CW184" s="10">
        <v>2</v>
      </c>
      <c r="CX184" s="15" t="s">
        <v>775</v>
      </c>
    </row>
    <row r="185" spans="1:102" s="15" customFormat="1" x14ac:dyDescent="0.3">
      <c r="A185" s="11" t="s">
        <v>126</v>
      </c>
      <c r="B185" s="10" t="s">
        <v>776</v>
      </c>
      <c r="C185" s="12" t="s">
        <v>3840</v>
      </c>
      <c r="D185" s="10">
        <v>12</v>
      </c>
      <c r="E185" s="13">
        <v>10000</v>
      </c>
      <c r="F185" s="14" t="s">
        <v>243</v>
      </c>
      <c r="G185" s="14" t="s">
        <v>244</v>
      </c>
      <c r="H185" s="15" t="s">
        <v>254</v>
      </c>
      <c r="I185" s="8"/>
      <c r="J185" s="10"/>
      <c r="AV185" s="15" t="s">
        <v>181</v>
      </c>
      <c r="AW185" s="15" t="s">
        <v>182</v>
      </c>
      <c r="AX185" s="15" t="s">
        <v>777</v>
      </c>
      <c r="BH185" s="15" t="s">
        <v>184</v>
      </c>
      <c r="BI185" s="15" t="s">
        <v>185</v>
      </c>
      <c r="BJ185" s="15" t="s">
        <v>186</v>
      </c>
      <c r="BK185" s="15" t="s">
        <v>187</v>
      </c>
      <c r="BL185" s="15" t="s">
        <v>188</v>
      </c>
      <c r="BM185" s="15" t="s">
        <v>189</v>
      </c>
      <c r="BN185" s="15" t="s">
        <v>190</v>
      </c>
      <c r="BO185" s="15" t="s">
        <v>191</v>
      </c>
      <c r="BR185" s="15" t="s">
        <v>192</v>
      </c>
      <c r="BS185" s="15" t="s">
        <v>193</v>
      </c>
      <c r="BT185" s="15" t="s">
        <v>194</v>
      </c>
      <c r="BU185" s="15" t="s">
        <v>195</v>
      </c>
      <c r="BV185" s="15" t="s">
        <v>196</v>
      </c>
      <c r="BW185" s="15" t="s">
        <v>323</v>
      </c>
      <c r="CB185" s="15" t="s">
        <v>129</v>
      </c>
      <c r="CC185" s="15">
        <v>1</v>
      </c>
      <c r="CN185" s="15" t="s">
        <v>198</v>
      </c>
      <c r="CW185" s="10">
        <v>2</v>
      </c>
      <c r="CX185" s="15" t="s">
        <v>778</v>
      </c>
    </row>
    <row r="186" spans="1:102" s="15" customFormat="1" x14ac:dyDescent="0.3">
      <c r="A186" s="11" t="s">
        <v>126</v>
      </c>
      <c r="B186" s="10" t="s">
        <v>779</v>
      </c>
      <c r="C186" s="12" t="s">
        <v>3841</v>
      </c>
      <c r="D186" s="10">
        <v>12</v>
      </c>
      <c r="E186" s="13">
        <v>10000</v>
      </c>
      <c r="F186" s="14" t="s">
        <v>243</v>
      </c>
      <c r="G186" s="14" t="s">
        <v>244</v>
      </c>
      <c r="H186" s="15" t="s">
        <v>402</v>
      </c>
      <c r="I186" s="8"/>
      <c r="J186" s="10"/>
      <c r="AV186" s="15" t="s">
        <v>181</v>
      </c>
      <c r="AW186" s="15" t="s">
        <v>182</v>
      </c>
      <c r="AX186" s="15" t="s">
        <v>780</v>
      </c>
      <c r="BH186" s="15" t="s">
        <v>184</v>
      </c>
      <c r="BI186" s="15" t="s">
        <v>185</v>
      </c>
      <c r="BJ186" s="15" t="s">
        <v>186</v>
      </c>
      <c r="BK186" s="15" t="s">
        <v>187</v>
      </c>
      <c r="BL186" s="15" t="s">
        <v>188</v>
      </c>
      <c r="BM186" s="15" t="s">
        <v>189</v>
      </c>
      <c r="BN186" s="15" t="s">
        <v>190</v>
      </c>
      <c r="BO186" s="15" t="s">
        <v>191</v>
      </c>
      <c r="BR186" s="15" t="s">
        <v>192</v>
      </c>
      <c r="BS186" s="15" t="s">
        <v>193</v>
      </c>
      <c r="BT186" s="15" t="s">
        <v>194</v>
      </c>
      <c r="BU186" s="15" t="s">
        <v>195</v>
      </c>
      <c r="BV186" s="15" t="s">
        <v>196</v>
      </c>
      <c r="BW186" s="15" t="s">
        <v>289</v>
      </c>
      <c r="CB186" s="15" t="s">
        <v>129</v>
      </c>
      <c r="CC186" s="15">
        <v>1</v>
      </c>
      <c r="CN186" s="15" t="s">
        <v>198</v>
      </c>
      <c r="CW186" s="10">
        <v>2</v>
      </c>
      <c r="CX186" s="15" t="s">
        <v>781</v>
      </c>
    </row>
    <row r="187" spans="1:102" s="15" customFormat="1" x14ac:dyDescent="0.3">
      <c r="A187" s="11" t="s">
        <v>126</v>
      </c>
      <c r="B187" s="10" t="s">
        <v>782</v>
      </c>
      <c r="C187" s="12" t="s">
        <v>3842</v>
      </c>
      <c r="D187" s="10">
        <v>12</v>
      </c>
      <c r="E187" s="13">
        <v>10000</v>
      </c>
      <c r="F187" s="14" t="s">
        <v>243</v>
      </c>
      <c r="G187" s="14" t="s">
        <v>244</v>
      </c>
      <c r="H187" s="15" t="s">
        <v>402</v>
      </c>
      <c r="I187" s="8"/>
      <c r="J187" s="10"/>
      <c r="AV187" s="15" t="s">
        <v>181</v>
      </c>
      <c r="AW187" s="15" t="s">
        <v>182</v>
      </c>
      <c r="AX187" s="15" t="s">
        <v>783</v>
      </c>
      <c r="BH187" s="15" t="s">
        <v>184</v>
      </c>
      <c r="BI187" s="15" t="s">
        <v>185</v>
      </c>
      <c r="BJ187" s="15" t="s">
        <v>186</v>
      </c>
      <c r="BK187" s="15" t="s">
        <v>187</v>
      </c>
      <c r="BL187" s="15" t="s">
        <v>188</v>
      </c>
      <c r="BM187" s="15" t="s">
        <v>189</v>
      </c>
      <c r="BN187" s="15" t="s">
        <v>190</v>
      </c>
      <c r="BO187" s="15" t="s">
        <v>191</v>
      </c>
      <c r="BR187" s="15" t="s">
        <v>192</v>
      </c>
      <c r="BS187" s="15" t="s">
        <v>193</v>
      </c>
      <c r="BT187" s="15" t="s">
        <v>194</v>
      </c>
      <c r="BU187" s="15" t="s">
        <v>195</v>
      </c>
      <c r="BV187" s="15" t="s">
        <v>196</v>
      </c>
      <c r="BW187" s="15" t="s">
        <v>293</v>
      </c>
      <c r="CB187" s="15" t="s">
        <v>129</v>
      </c>
      <c r="CC187" s="15">
        <v>1</v>
      </c>
      <c r="CN187" s="15" t="s">
        <v>198</v>
      </c>
      <c r="CW187" s="10">
        <v>2</v>
      </c>
      <c r="CX187" s="15" t="s">
        <v>784</v>
      </c>
    </row>
    <row r="188" spans="1:102" s="15" customFormat="1" x14ac:dyDescent="0.3">
      <c r="A188" s="11" t="s">
        <v>126</v>
      </c>
      <c r="B188" s="10" t="s">
        <v>785</v>
      </c>
      <c r="C188" s="12" t="s">
        <v>3618</v>
      </c>
      <c r="D188" s="10">
        <v>12</v>
      </c>
      <c r="E188" s="13">
        <v>100000</v>
      </c>
      <c r="F188" s="14" t="s">
        <v>243</v>
      </c>
      <c r="G188" s="14" t="s">
        <v>244</v>
      </c>
      <c r="H188" s="15" t="s">
        <v>211</v>
      </c>
      <c r="I188" s="8"/>
      <c r="J188" s="10"/>
      <c r="AV188" s="15" t="s">
        <v>181</v>
      </c>
      <c r="AW188" s="15" t="s">
        <v>182</v>
      </c>
      <c r="AX188" s="15" t="s">
        <v>635</v>
      </c>
      <c r="BH188" s="15" t="s">
        <v>184</v>
      </c>
      <c r="BI188" s="15" t="s">
        <v>185</v>
      </c>
      <c r="BJ188" s="15" t="s">
        <v>186</v>
      </c>
      <c r="BK188" s="15" t="s">
        <v>187</v>
      </c>
      <c r="BL188" s="15" t="s">
        <v>188</v>
      </c>
      <c r="BM188" s="15" t="s">
        <v>189</v>
      </c>
      <c r="BN188" s="15" t="s">
        <v>190</v>
      </c>
      <c r="BO188" s="15" t="s">
        <v>191</v>
      </c>
      <c r="BR188" s="15" t="s">
        <v>192</v>
      </c>
      <c r="BS188" s="15" t="s">
        <v>193</v>
      </c>
      <c r="BT188" s="15" t="s">
        <v>194</v>
      </c>
      <c r="BU188" s="15" t="s">
        <v>195</v>
      </c>
      <c r="BV188" s="15" t="s">
        <v>196</v>
      </c>
      <c r="BW188" s="15" t="s">
        <v>289</v>
      </c>
      <c r="CB188" s="15" t="s">
        <v>129</v>
      </c>
      <c r="CC188" s="15">
        <v>1</v>
      </c>
      <c r="CN188" s="15" t="s">
        <v>198</v>
      </c>
      <c r="CW188" s="10">
        <v>2</v>
      </c>
      <c r="CX188" s="15" t="s">
        <v>786</v>
      </c>
    </row>
    <row r="189" spans="1:102" s="15" customFormat="1" x14ac:dyDescent="0.3">
      <c r="A189" s="11" t="s">
        <v>126</v>
      </c>
      <c r="B189" s="10" t="s">
        <v>787</v>
      </c>
      <c r="C189" s="12" t="s">
        <v>3608</v>
      </c>
      <c r="D189" s="10">
        <v>12</v>
      </c>
      <c r="E189" s="13">
        <v>100000</v>
      </c>
      <c r="F189" s="14" t="s">
        <v>243</v>
      </c>
      <c r="G189" s="14" t="s">
        <v>244</v>
      </c>
      <c r="H189" s="15" t="s">
        <v>211</v>
      </c>
      <c r="I189" s="8"/>
      <c r="J189" s="10"/>
      <c r="AV189" s="15" t="s">
        <v>181</v>
      </c>
      <c r="AW189" s="15" t="s">
        <v>182</v>
      </c>
      <c r="AX189" s="15" t="s">
        <v>788</v>
      </c>
      <c r="BH189" s="15" t="s">
        <v>184</v>
      </c>
      <c r="BI189" s="15" t="s">
        <v>185</v>
      </c>
      <c r="BJ189" s="15" t="s">
        <v>186</v>
      </c>
      <c r="BK189" s="15" t="s">
        <v>187</v>
      </c>
      <c r="BL189" s="15" t="s">
        <v>188</v>
      </c>
      <c r="BM189" s="15" t="s">
        <v>189</v>
      </c>
      <c r="BN189" s="15" t="s">
        <v>190</v>
      </c>
      <c r="BO189" s="15" t="s">
        <v>191</v>
      </c>
      <c r="BR189" s="15" t="s">
        <v>192</v>
      </c>
      <c r="BS189" s="15" t="s">
        <v>193</v>
      </c>
      <c r="BT189" s="15" t="s">
        <v>194</v>
      </c>
      <c r="BU189" s="15" t="s">
        <v>195</v>
      </c>
      <c r="BV189" s="15" t="s">
        <v>196</v>
      </c>
      <c r="BW189" s="15" t="s">
        <v>293</v>
      </c>
      <c r="CB189" s="15" t="s">
        <v>129</v>
      </c>
      <c r="CC189" s="15">
        <v>1</v>
      </c>
      <c r="CN189" s="15" t="s">
        <v>198</v>
      </c>
      <c r="CW189" s="10">
        <v>2</v>
      </c>
      <c r="CX189" s="15" t="s">
        <v>789</v>
      </c>
    </row>
    <row r="190" spans="1:102" s="15" customFormat="1" x14ac:dyDescent="0.3">
      <c r="A190" s="11" t="s">
        <v>126</v>
      </c>
      <c r="B190" s="10" t="s">
        <v>790</v>
      </c>
      <c r="C190" s="12" t="s">
        <v>3843</v>
      </c>
      <c r="D190" s="10">
        <v>12</v>
      </c>
      <c r="E190" s="13">
        <v>100000</v>
      </c>
      <c r="F190" s="14" t="s">
        <v>243</v>
      </c>
      <c r="G190" s="14" t="s">
        <v>244</v>
      </c>
      <c r="H190" s="15" t="s">
        <v>402</v>
      </c>
      <c r="I190" s="8"/>
      <c r="J190" s="10"/>
      <c r="AV190" s="15" t="s">
        <v>181</v>
      </c>
      <c r="AW190" s="15" t="s">
        <v>182</v>
      </c>
      <c r="AX190" s="15" t="s">
        <v>791</v>
      </c>
      <c r="BH190" s="15" t="s">
        <v>184</v>
      </c>
      <c r="BI190" s="15" t="s">
        <v>185</v>
      </c>
      <c r="BJ190" s="15" t="s">
        <v>186</v>
      </c>
      <c r="BK190" s="15" t="s">
        <v>187</v>
      </c>
      <c r="BL190" s="15" t="s">
        <v>188</v>
      </c>
      <c r="BM190" s="15" t="s">
        <v>189</v>
      </c>
      <c r="BN190" s="15" t="s">
        <v>190</v>
      </c>
      <c r="BO190" s="15" t="s">
        <v>191</v>
      </c>
      <c r="BR190" s="15" t="s">
        <v>192</v>
      </c>
      <c r="BS190" s="15" t="s">
        <v>193</v>
      </c>
      <c r="BT190" s="15" t="s">
        <v>194</v>
      </c>
      <c r="BU190" s="15" t="s">
        <v>195</v>
      </c>
      <c r="BV190" s="15" t="s">
        <v>196</v>
      </c>
      <c r="BW190" s="15" t="s">
        <v>272</v>
      </c>
      <c r="CB190" s="15" t="s">
        <v>129</v>
      </c>
      <c r="CC190" s="15">
        <v>1</v>
      </c>
      <c r="CN190" s="15" t="s">
        <v>198</v>
      </c>
      <c r="CW190" s="10">
        <v>2</v>
      </c>
      <c r="CX190" s="15" t="s">
        <v>792</v>
      </c>
    </row>
    <row r="191" spans="1:102" s="15" customFormat="1" x14ac:dyDescent="0.3">
      <c r="A191" s="11" t="s">
        <v>126</v>
      </c>
      <c r="B191" s="10" t="s">
        <v>793</v>
      </c>
      <c r="C191" s="12" t="s">
        <v>797</v>
      </c>
      <c r="D191" s="10">
        <v>12</v>
      </c>
      <c r="E191" s="13">
        <v>1000000</v>
      </c>
      <c r="F191" s="14" t="s">
        <v>209</v>
      </c>
      <c r="G191" s="14" t="s">
        <v>210</v>
      </c>
      <c r="H191" s="15" t="s">
        <v>312</v>
      </c>
      <c r="I191" s="8"/>
      <c r="J191" s="10"/>
      <c r="AV191" s="15" t="s">
        <v>212</v>
      </c>
      <c r="AW191" s="15" t="s">
        <v>213</v>
      </c>
      <c r="AX191" s="15" t="s">
        <v>794</v>
      </c>
      <c r="BH191" s="15" t="s">
        <v>184</v>
      </c>
      <c r="BI191" s="15" t="s">
        <v>185</v>
      </c>
      <c r="BJ191" s="15" t="s">
        <v>186</v>
      </c>
      <c r="BK191" s="15" t="s">
        <v>187</v>
      </c>
      <c r="BL191" s="15" t="s">
        <v>188</v>
      </c>
      <c r="BM191" s="15" t="s">
        <v>189</v>
      </c>
      <c r="BN191" s="15" t="s">
        <v>190</v>
      </c>
      <c r="BO191" s="15" t="s">
        <v>191</v>
      </c>
      <c r="BR191" s="15" t="s">
        <v>192</v>
      </c>
      <c r="BS191" s="15" t="s">
        <v>193</v>
      </c>
      <c r="BT191" s="15" t="s">
        <v>194</v>
      </c>
      <c r="BU191" s="15" t="s">
        <v>195</v>
      </c>
      <c r="BV191" s="15" t="s">
        <v>196</v>
      </c>
      <c r="BW191" s="15" t="s">
        <v>196</v>
      </c>
      <c r="CB191" s="15" t="s">
        <v>129</v>
      </c>
      <c r="CC191" s="15">
        <v>1</v>
      </c>
      <c r="CN191" s="15" t="s">
        <v>313</v>
      </c>
      <c r="CW191" s="10">
        <v>2</v>
      </c>
      <c r="CX191" s="15" t="s">
        <v>795</v>
      </c>
    </row>
    <row r="192" spans="1:102" s="15" customFormat="1" x14ac:dyDescent="0.3">
      <c r="A192" s="11" t="s">
        <v>126</v>
      </c>
      <c r="B192" s="10" t="s">
        <v>796</v>
      </c>
      <c r="C192" s="12" t="s">
        <v>797</v>
      </c>
      <c r="D192" s="10">
        <v>12</v>
      </c>
      <c r="E192" s="13">
        <v>1000000</v>
      </c>
      <c r="F192" s="14" t="s">
        <v>210</v>
      </c>
      <c r="G192" s="14" t="s">
        <v>210</v>
      </c>
      <c r="H192" s="15" t="s">
        <v>312</v>
      </c>
      <c r="I192" s="8"/>
      <c r="J192" s="10"/>
      <c r="AW192" s="15" t="s">
        <v>128</v>
      </c>
      <c r="AX192" s="15" t="s">
        <v>794</v>
      </c>
      <c r="BH192" s="15" t="s">
        <v>184</v>
      </c>
      <c r="BI192" s="15" t="s">
        <v>185</v>
      </c>
      <c r="BJ192" s="15" t="s">
        <v>186</v>
      </c>
      <c r="BK192" s="15" t="s">
        <v>187</v>
      </c>
      <c r="BL192" s="15" t="s">
        <v>188</v>
      </c>
      <c r="BM192" s="15" t="s">
        <v>189</v>
      </c>
      <c r="BN192" s="15" t="s">
        <v>190</v>
      </c>
      <c r="BO192" s="15" t="s">
        <v>191</v>
      </c>
      <c r="BR192" s="15" t="s">
        <v>192</v>
      </c>
      <c r="BS192" s="15" t="s">
        <v>193</v>
      </c>
      <c r="BT192" s="15" t="s">
        <v>194</v>
      </c>
      <c r="BU192" s="15" t="s">
        <v>195</v>
      </c>
      <c r="BV192" s="15" t="s">
        <v>196</v>
      </c>
      <c r="BW192" s="15" t="s">
        <v>196</v>
      </c>
      <c r="CB192" s="15" t="s">
        <v>128</v>
      </c>
      <c r="CC192" s="15">
        <v>1</v>
      </c>
      <c r="CN192" s="15" t="s">
        <v>313</v>
      </c>
      <c r="CW192" s="10">
        <v>2</v>
      </c>
      <c r="CX192" s="15" t="s">
        <v>798</v>
      </c>
    </row>
    <row r="193" spans="1:102" s="15" customFormat="1" x14ac:dyDescent="0.3">
      <c r="A193" s="11" t="s">
        <v>126</v>
      </c>
      <c r="B193" s="10" t="s">
        <v>799</v>
      </c>
      <c r="C193" s="12" t="s">
        <v>800</v>
      </c>
      <c r="D193" s="10">
        <v>12</v>
      </c>
      <c r="E193" s="13">
        <v>1000000</v>
      </c>
      <c r="F193" s="14" t="s">
        <v>210</v>
      </c>
      <c r="G193" s="14" t="s">
        <v>210</v>
      </c>
      <c r="H193" s="15" t="s">
        <v>312</v>
      </c>
      <c r="I193" s="8"/>
      <c r="J193" s="10"/>
      <c r="AW193" s="15" t="s">
        <v>128</v>
      </c>
      <c r="AX193" s="15" t="s">
        <v>794</v>
      </c>
      <c r="BH193" s="15" t="s">
        <v>184</v>
      </c>
      <c r="BI193" s="15" t="s">
        <v>185</v>
      </c>
      <c r="BJ193" s="15" t="s">
        <v>186</v>
      </c>
      <c r="BK193" s="15" t="s">
        <v>187</v>
      </c>
      <c r="BL193" s="15" t="s">
        <v>188</v>
      </c>
      <c r="BM193" s="15" t="s">
        <v>189</v>
      </c>
      <c r="BN193" s="15" t="s">
        <v>190</v>
      </c>
      <c r="BO193" s="15" t="s">
        <v>191</v>
      </c>
      <c r="BR193" s="15" t="s">
        <v>192</v>
      </c>
      <c r="BS193" s="15" t="s">
        <v>193</v>
      </c>
      <c r="BT193" s="15" t="s">
        <v>194</v>
      </c>
      <c r="BU193" s="15" t="s">
        <v>195</v>
      </c>
      <c r="BV193" s="15" t="s">
        <v>196</v>
      </c>
      <c r="BW193" s="15" t="s">
        <v>196</v>
      </c>
      <c r="CB193" s="15" t="s">
        <v>128</v>
      </c>
      <c r="CC193" s="15">
        <v>1</v>
      </c>
      <c r="CN193" s="15" t="s">
        <v>313</v>
      </c>
      <c r="CW193" s="10">
        <v>2</v>
      </c>
      <c r="CX193" s="15" t="s">
        <v>801</v>
      </c>
    </row>
    <row r="194" spans="1:102" s="15" customFormat="1" x14ac:dyDescent="0.3">
      <c r="A194" s="11" t="s">
        <v>126</v>
      </c>
      <c r="B194" s="10" t="s">
        <v>802</v>
      </c>
      <c r="C194" s="12" t="s">
        <v>3844</v>
      </c>
      <c r="D194" s="10">
        <v>12</v>
      </c>
      <c r="E194" s="13">
        <v>1000000</v>
      </c>
      <c r="F194" s="14" t="s">
        <v>209</v>
      </c>
      <c r="G194" s="14" t="s">
        <v>210</v>
      </c>
      <c r="H194" s="15" t="s">
        <v>211</v>
      </c>
      <c r="I194" s="8"/>
      <c r="J194" s="10"/>
      <c r="AV194" s="15" t="s">
        <v>212</v>
      </c>
      <c r="AW194" s="15" t="s">
        <v>213</v>
      </c>
      <c r="AX194" s="15" t="s">
        <v>803</v>
      </c>
      <c r="BH194" s="15" t="s">
        <v>184</v>
      </c>
      <c r="BI194" s="15" t="s">
        <v>185</v>
      </c>
      <c r="BJ194" s="15" t="s">
        <v>186</v>
      </c>
      <c r="BK194" s="15" t="s">
        <v>187</v>
      </c>
      <c r="BL194" s="15" t="s">
        <v>188</v>
      </c>
      <c r="BM194" s="15" t="s">
        <v>189</v>
      </c>
      <c r="BN194" s="15" t="s">
        <v>190</v>
      </c>
      <c r="BO194" s="15" t="s">
        <v>191</v>
      </c>
      <c r="BR194" s="15" t="s">
        <v>192</v>
      </c>
      <c r="BS194" s="15" t="s">
        <v>193</v>
      </c>
      <c r="BT194" s="15" t="s">
        <v>194</v>
      </c>
      <c r="BU194" s="15" t="s">
        <v>195</v>
      </c>
      <c r="BV194" s="15" t="s">
        <v>196</v>
      </c>
      <c r="BW194" s="15" t="s">
        <v>456</v>
      </c>
      <c r="CB194" s="15" t="s">
        <v>129</v>
      </c>
      <c r="CC194" s="15">
        <v>1</v>
      </c>
      <c r="CN194" s="15" t="s">
        <v>198</v>
      </c>
      <c r="CW194" s="10">
        <v>2</v>
      </c>
      <c r="CX194" s="15" t="s">
        <v>804</v>
      </c>
    </row>
    <row r="195" spans="1:102" s="15" customFormat="1" x14ac:dyDescent="0.3">
      <c r="A195" s="11" t="s">
        <v>126</v>
      </c>
      <c r="B195" s="10" t="s">
        <v>805</v>
      </c>
      <c r="C195" s="12" t="s">
        <v>3845</v>
      </c>
      <c r="D195" s="10">
        <v>12</v>
      </c>
      <c r="E195" s="13">
        <v>1000000</v>
      </c>
      <c r="F195" s="14" t="s">
        <v>243</v>
      </c>
      <c r="G195" s="14" t="s">
        <v>244</v>
      </c>
      <c r="H195" s="15" t="s">
        <v>211</v>
      </c>
      <c r="I195" s="8"/>
      <c r="J195" s="10"/>
      <c r="AV195" s="15" t="s">
        <v>181</v>
      </c>
      <c r="AW195" s="15" t="s">
        <v>182</v>
      </c>
      <c r="AX195" s="15" t="s">
        <v>806</v>
      </c>
      <c r="BH195" s="15" t="s">
        <v>184</v>
      </c>
      <c r="BI195" s="15" t="s">
        <v>185</v>
      </c>
      <c r="BJ195" s="15" t="s">
        <v>186</v>
      </c>
      <c r="BK195" s="15" t="s">
        <v>187</v>
      </c>
      <c r="BL195" s="15" t="s">
        <v>188</v>
      </c>
      <c r="BM195" s="15" t="s">
        <v>189</v>
      </c>
      <c r="BN195" s="15" t="s">
        <v>190</v>
      </c>
      <c r="BO195" s="15" t="s">
        <v>191</v>
      </c>
      <c r="BR195" s="15" t="s">
        <v>192</v>
      </c>
      <c r="BS195" s="15" t="s">
        <v>193</v>
      </c>
      <c r="BT195" s="15" t="s">
        <v>194</v>
      </c>
      <c r="BU195" s="15" t="s">
        <v>195</v>
      </c>
      <c r="BV195" s="15" t="s">
        <v>196</v>
      </c>
      <c r="BW195" s="15" t="s">
        <v>456</v>
      </c>
      <c r="CB195" s="15" t="s">
        <v>129</v>
      </c>
      <c r="CC195" s="15">
        <v>1</v>
      </c>
      <c r="CN195" s="15" t="s">
        <v>198</v>
      </c>
      <c r="CW195" s="10">
        <v>2</v>
      </c>
      <c r="CX195" s="15" t="s">
        <v>807</v>
      </c>
    </row>
    <row r="196" spans="1:102" s="15" customFormat="1" x14ac:dyDescent="0.3">
      <c r="A196" s="11" t="s">
        <v>126</v>
      </c>
      <c r="B196" s="10" t="s">
        <v>808</v>
      </c>
      <c r="C196" s="12" t="s">
        <v>3846</v>
      </c>
      <c r="D196" s="10">
        <v>12</v>
      </c>
      <c r="E196" s="13">
        <v>10000</v>
      </c>
      <c r="F196" s="14" t="s">
        <v>243</v>
      </c>
      <c r="G196" s="14" t="s">
        <v>809</v>
      </c>
      <c r="H196" s="15" t="s">
        <v>810</v>
      </c>
      <c r="I196" s="8"/>
      <c r="J196" s="10"/>
      <c r="AV196" s="15" t="s">
        <v>811</v>
      </c>
      <c r="AW196" s="15" t="s">
        <v>812</v>
      </c>
      <c r="AX196" s="15" t="s">
        <v>468</v>
      </c>
      <c r="AY196" s="15" t="s">
        <v>467</v>
      </c>
      <c r="AZ196" s="15" t="s">
        <v>813</v>
      </c>
      <c r="BA196" s="15" t="s">
        <v>814</v>
      </c>
      <c r="BH196" s="15" t="s">
        <v>184</v>
      </c>
      <c r="BI196" s="15" t="s">
        <v>185</v>
      </c>
      <c r="BJ196" s="15" t="s">
        <v>186</v>
      </c>
      <c r="BK196" s="15" t="s">
        <v>187</v>
      </c>
      <c r="BL196" s="15" t="s">
        <v>188</v>
      </c>
      <c r="BM196" s="15" t="s">
        <v>189</v>
      </c>
      <c r="BN196" s="15" t="s">
        <v>190</v>
      </c>
      <c r="BO196" s="15" t="s">
        <v>191</v>
      </c>
      <c r="BR196" s="15" t="s">
        <v>192</v>
      </c>
      <c r="BS196" s="15" t="s">
        <v>193</v>
      </c>
      <c r="BT196" s="15" t="s">
        <v>194</v>
      </c>
      <c r="BU196" s="15" t="s">
        <v>195</v>
      </c>
      <c r="BV196" s="15" t="s">
        <v>196</v>
      </c>
      <c r="BW196" s="15" t="s">
        <v>323</v>
      </c>
      <c r="CB196" s="15" t="s">
        <v>129</v>
      </c>
      <c r="CC196" s="15">
        <v>1</v>
      </c>
      <c r="CM196" s="15" t="s">
        <v>815</v>
      </c>
      <c r="CN196" s="15" t="s">
        <v>816</v>
      </c>
      <c r="CO196" s="15" t="s">
        <v>817</v>
      </c>
      <c r="CW196" s="10">
        <v>2</v>
      </c>
      <c r="CX196" s="15" t="s">
        <v>818</v>
      </c>
    </row>
    <row r="197" spans="1:102" s="15" customFormat="1" x14ac:dyDescent="0.3">
      <c r="A197" s="11" t="s">
        <v>126</v>
      </c>
      <c r="B197" s="10" t="s">
        <v>819</v>
      </c>
      <c r="C197" s="12" t="s">
        <v>820</v>
      </c>
      <c r="D197" s="10">
        <v>12</v>
      </c>
      <c r="E197" s="13">
        <v>100000</v>
      </c>
      <c r="F197" s="14" t="s">
        <v>244</v>
      </c>
      <c r="G197" s="14" t="s">
        <v>244</v>
      </c>
      <c r="H197" s="15" t="s">
        <v>254</v>
      </c>
      <c r="I197" s="8" t="s">
        <v>296</v>
      </c>
      <c r="J197" s="10" t="s">
        <v>493</v>
      </c>
      <c r="K197" s="15" t="s">
        <v>494</v>
      </c>
      <c r="AW197" s="15" t="s">
        <v>128</v>
      </c>
      <c r="AX197" s="15" t="s">
        <v>495</v>
      </c>
      <c r="AY197" s="15" t="s">
        <v>496</v>
      </c>
      <c r="AZ197" s="15" t="s">
        <v>497</v>
      </c>
      <c r="BA197" s="15" t="s">
        <v>498</v>
      </c>
      <c r="BH197" s="15" t="s">
        <v>184</v>
      </c>
      <c r="BI197" s="15" t="s">
        <v>185</v>
      </c>
      <c r="BJ197" s="15" t="s">
        <v>186</v>
      </c>
      <c r="BK197" s="15" t="s">
        <v>187</v>
      </c>
      <c r="BL197" s="15" t="s">
        <v>188</v>
      </c>
      <c r="BM197" s="15" t="s">
        <v>189</v>
      </c>
      <c r="BN197" s="15" t="s">
        <v>190</v>
      </c>
      <c r="BO197" s="15" t="s">
        <v>191</v>
      </c>
      <c r="BR197" s="15" t="s">
        <v>192</v>
      </c>
      <c r="BS197" s="15" t="s">
        <v>193</v>
      </c>
      <c r="BT197" s="15" t="s">
        <v>194</v>
      </c>
      <c r="BU197" s="15" t="s">
        <v>195</v>
      </c>
      <c r="BV197" s="15" t="s">
        <v>196</v>
      </c>
      <c r="BW197" s="15" t="s">
        <v>272</v>
      </c>
      <c r="CB197" s="15" t="s">
        <v>128</v>
      </c>
      <c r="CC197" s="15">
        <v>1</v>
      </c>
      <c r="CN197" s="15" t="s">
        <v>198</v>
      </c>
      <c r="CW197" s="10">
        <v>2</v>
      </c>
      <c r="CX197" s="15" t="s">
        <v>821</v>
      </c>
    </row>
    <row r="198" spans="1:102" s="15" customFormat="1" x14ac:dyDescent="0.3">
      <c r="A198" s="11" t="s">
        <v>126</v>
      </c>
      <c r="B198" s="10" t="s">
        <v>822</v>
      </c>
      <c r="C198" s="12" t="s">
        <v>3847</v>
      </c>
      <c r="D198" s="10">
        <v>12</v>
      </c>
      <c r="E198" s="13">
        <v>1000000</v>
      </c>
      <c r="F198" s="14" t="s">
        <v>823</v>
      </c>
      <c r="G198" s="14" t="s">
        <v>179</v>
      </c>
      <c r="H198" s="15" t="s">
        <v>180</v>
      </c>
      <c r="I198" s="8"/>
      <c r="J198" s="10"/>
      <c r="AV198" s="15" t="s">
        <v>181</v>
      </c>
      <c r="AW198" s="15" t="s">
        <v>182</v>
      </c>
      <c r="AX198" s="15" t="s">
        <v>183</v>
      </c>
      <c r="BH198" s="15" t="s">
        <v>184</v>
      </c>
      <c r="BI198" s="15" t="s">
        <v>185</v>
      </c>
      <c r="BJ198" s="15" t="s">
        <v>186</v>
      </c>
      <c r="BK198" s="15" t="s">
        <v>187</v>
      </c>
      <c r="BL198" s="15" t="s">
        <v>188</v>
      </c>
      <c r="BM198" s="15" t="s">
        <v>189</v>
      </c>
      <c r="BN198" s="15" t="s">
        <v>190</v>
      </c>
      <c r="BO198" s="15" t="s">
        <v>191</v>
      </c>
      <c r="BR198" s="15" t="s">
        <v>192</v>
      </c>
      <c r="BS198" s="15" t="s">
        <v>193</v>
      </c>
      <c r="BT198" s="15" t="s">
        <v>194</v>
      </c>
      <c r="BU198" s="15" t="s">
        <v>195</v>
      </c>
      <c r="BV198" s="15" t="s">
        <v>196</v>
      </c>
      <c r="CB198" s="15" t="s">
        <v>129</v>
      </c>
      <c r="CC198" s="15" t="s">
        <v>197</v>
      </c>
      <c r="CN198" s="15" t="s">
        <v>198</v>
      </c>
      <c r="CW198" s="10">
        <v>2</v>
      </c>
      <c r="CX198" s="15" t="s">
        <v>824</v>
      </c>
    </row>
    <row r="199" spans="1:102" s="15" customFormat="1" x14ac:dyDescent="0.3">
      <c r="A199" s="11" t="s">
        <v>126</v>
      </c>
      <c r="B199" s="10" t="s">
        <v>825</v>
      </c>
      <c r="C199" s="12" t="s">
        <v>3848</v>
      </c>
      <c r="D199" s="10">
        <v>12</v>
      </c>
      <c r="E199" s="13">
        <v>100000</v>
      </c>
      <c r="F199" s="14" t="s">
        <v>243</v>
      </c>
      <c r="G199" s="14" t="s">
        <v>244</v>
      </c>
      <c r="H199" s="15" t="s">
        <v>254</v>
      </c>
      <c r="I199" s="8"/>
      <c r="J199" s="10"/>
      <c r="AV199" s="15" t="s">
        <v>181</v>
      </c>
      <c r="AW199" s="15" t="s">
        <v>182</v>
      </c>
      <c r="AX199" s="15" t="s">
        <v>826</v>
      </c>
      <c r="BH199" s="15" t="s">
        <v>184</v>
      </c>
      <c r="BI199" s="15" t="s">
        <v>185</v>
      </c>
      <c r="BJ199" s="15" t="s">
        <v>186</v>
      </c>
      <c r="BK199" s="15" t="s">
        <v>187</v>
      </c>
      <c r="BL199" s="15" t="s">
        <v>188</v>
      </c>
      <c r="BM199" s="15" t="s">
        <v>189</v>
      </c>
      <c r="BN199" s="15" t="s">
        <v>190</v>
      </c>
      <c r="BO199" s="15" t="s">
        <v>191</v>
      </c>
      <c r="BR199" s="15" t="s">
        <v>192</v>
      </c>
      <c r="BS199" s="15" t="s">
        <v>193</v>
      </c>
      <c r="BT199" s="15" t="s">
        <v>194</v>
      </c>
      <c r="BU199" s="15" t="s">
        <v>195</v>
      </c>
      <c r="BV199" s="15" t="s">
        <v>196</v>
      </c>
      <c r="BW199" s="15" t="s">
        <v>251</v>
      </c>
      <c r="CB199" s="15" t="s">
        <v>129</v>
      </c>
      <c r="CC199" s="15">
        <v>1</v>
      </c>
      <c r="CN199" s="15" t="s">
        <v>198</v>
      </c>
      <c r="CW199" s="10">
        <v>2</v>
      </c>
      <c r="CX199" s="15" t="s">
        <v>827</v>
      </c>
    </row>
    <row r="200" spans="1:102" s="15" customFormat="1" x14ac:dyDescent="0.3">
      <c r="A200" s="11" t="s">
        <v>126</v>
      </c>
      <c r="B200" s="10" t="s">
        <v>828</v>
      </c>
      <c r="C200" s="12" t="s">
        <v>3849</v>
      </c>
      <c r="D200" s="10">
        <v>12</v>
      </c>
      <c r="E200" s="13">
        <v>100000</v>
      </c>
      <c r="F200" s="14" t="s">
        <v>209</v>
      </c>
      <c r="G200" s="14" t="s">
        <v>210</v>
      </c>
      <c r="H200" s="15" t="s">
        <v>211</v>
      </c>
      <c r="I200" s="8"/>
      <c r="J200" s="10"/>
      <c r="AV200" s="15" t="s">
        <v>212</v>
      </c>
      <c r="AW200" s="15" t="s">
        <v>213</v>
      </c>
      <c r="AX200" s="15" t="s">
        <v>829</v>
      </c>
      <c r="BH200" s="15" t="s">
        <v>184</v>
      </c>
      <c r="BI200" s="15" t="s">
        <v>185</v>
      </c>
      <c r="BJ200" s="15" t="s">
        <v>186</v>
      </c>
      <c r="BK200" s="15" t="s">
        <v>187</v>
      </c>
      <c r="BL200" s="15" t="s">
        <v>188</v>
      </c>
      <c r="BM200" s="15" t="s">
        <v>189</v>
      </c>
      <c r="BN200" s="15" t="s">
        <v>190</v>
      </c>
      <c r="BO200" s="15" t="s">
        <v>191</v>
      </c>
      <c r="BR200" s="15" t="s">
        <v>192</v>
      </c>
      <c r="BS200" s="15" t="s">
        <v>193</v>
      </c>
      <c r="BT200" s="15" t="s">
        <v>194</v>
      </c>
      <c r="BU200" s="15" t="s">
        <v>195</v>
      </c>
      <c r="BV200" s="15" t="s">
        <v>196</v>
      </c>
      <c r="BW200" s="15" t="s">
        <v>251</v>
      </c>
      <c r="CB200" s="15" t="s">
        <v>129</v>
      </c>
      <c r="CC200" s="15">
        <v>1</v>
      </c>
      <c r="CN200" s="15" t="s">
        <v>198</v>
      </c>
      <c r="CW200" s="10">
        <v>2</v>
      </c>
      <c r="CX200" s="15" t="s">
        <v>830</v>
      </c>
    </row>
    <row r="201" spans="1:102" s="15" customFormat="1" x14ac:dyDescent="0.3">
      <c r="A201" s="11" t="s">
        <v>126</v>
      </c>
      <c r="B201" s="10" t="s">
        <v>831</v>
      </c>
      <c r="C201" s="12" t="s">
        <v>1094</v>
      </c>
      <c r="D201" s="10">
        <v>12</v>
      </c>
      <c r="E201" s="13">
        <v>1000000</v>
      </c>
      <c r="F201" s="14" t="s">
        <v>269</v>
      </c>
      <c r="G201" s="14" t="s">
        <v>210</v>
      </c>
      <c r="H201" s="15" t="s">
        <v>312</v>
      </c>
      <c r="I201" s="8"/>
      <c r="J201" s="10"/>
      <c r="AV201" s="15" t="s">
        <v>212</v>
      </c>
      <c r="AW201" s="15" t="s">
        <v>213</v>
      </c>
      <c r="AX201" s="15" t="s">
        <v>832</v>
      </c>
      <c r="BH201" s="15" t="s">
        <v>184</v>
      </c>
      <c r="BI201" s="15" t="s">
        <v>185</v>
      </c>
      <c r="BJ201" s="15" t="s">
        <v>186</v>
      </c>
      <c r="BK201" s="15" t="s">
        <v>187</v>
      </c>
      <c r="BL201" s="15" t="s">
        <v>188</v>
      </c>
      <c r="BM201" s="15" t="s">
        <v>189</v>
      </c>
      <c r="BN201" s="15" t="s">
        <v>190</v>
      </c>
      <c r="BO201" s="15" t="s">
        <v>191</v>
      </c>
      <c r="BR201" s="15" t="s">
        <v>192</v>
      </c>
      <c r="BS201" s="15" t="s">
        <v>193</v>
      </c>
      <c r="BT201" s="15" t="s">
        <v>194</v>
      </c>
      <c r="BU201" s="15" t="s">
        <v>195</v>
      </c>
      <c r="BV201" s="15" t="s">
        <v>196</v>
      </c>
      <c r="BW201" s="15" t="s">
        <v>193</v>
      </c>
      <c r="CB201" s="15" t="s">
        <v>129</v>
      </c>
      <c r="CC201" s="15">
        <v>1</v>
      </c>
      <c r="CN201" s="15" t="s">
        <v>833</v>
      </c>
      <c r="CW201" s="10">
        <v>2</v>
      </c>
      <c r="CX201" s="15" t="s">
        <v>834</v>
      </c>
    </row>
    <row r="202" spans="1:102" s="15" customFormat="1" x14ac:dyDescent="0.3">
      <c r="A202" s="11" t="s">
        <v>126</v>
      </c>
      <c r="B202" s="10" t="s">
        <v>835</v>
      </c>
      <c r="C202" s="12" t="s">
        <v>1100</v>
      </c>
      <c r="D202" s="10">
        <v>12</v>
      </c>
      <c r="E202" s="13">
        <v>1000000</v>
      </c>
      <c r="F202" s="14" t="s">
        <v>269</v>
      </c>
      <c r="G202" s="14" t="s">
        <v>210</v>
      </c>
      <c r="H202" s="15" t="s">
        <v>312</v>
      </c>
      <c r="I202" s="8"/>
      <c r="J202" s="10"/>
      <c r="AV202" s="15" t="s">
        <v>212</v>
      </c>
      <c r="AW202" s="15" t="s">
        <v>213</v>
      </c>
      <c r="AX202" s="15" t="s">
        <v>836</v>
      </c>
      <c r="BH202" s="15" t="s">
        <v>184</v>
      </c>
      <c r="BI202" s="15" t="s">
        <v>185</v>
      </c>
      <c r="BJ202" s="15" t="s">
        <v>186</v>
      </c>
      <c r="BK202" s="15" t="s">
        <v>187</v>
      </c>
      <c r="BL202" s="15" t="s">
        <v>188</v>
      </c>
      <c r="BM202" s="15" t="s">
        <v>189</v>
      </c>
      <c r="BN202" s="15" t="s">
        <v>190</v>
      </c>
      <c r="BO202" s="15" t="s">
        <v>191</v>
      </c>
      <c r="BR202" s="15" t="s">
        <v>192</v>
      </c>
      <c r="BS202" s="15" t="s">
        <v>193</v>
      </c>
      <c r="BT202" s="15" t="s">
        <v>194</v>
      </c>
      <c r="BU202" s="15" t="s">
        <v>195</v>
      </c>
      <c r="BV202" s="15" t="s">
        <v>196</v>
      </c>
      <c r="BW202" s="15" t="s">
        <v>193</v>
      </c>
      <c r="CB202" s="15" t="s">
        <v>129</v>
      </c>
      <c r="CC202" s="15">
        <v>1</v>
      </c>
      <c r="CN202" s="15" t="s">
        <v>833</v>
      </c>
      <c r="CW202" s="10">
        <v>2</v>
      </c>
      <c r="CX202" s="15" t="s">
        <v>837</v>
      </c>
    </row>
    <row r="203" spans="1:102" s="15" customFormat="1" x14ac:dyDescent="0.3">
      <c r="A203" s="11" t="s">
        <v>126</v>
      </c>
      <c r="B203" s="10" t="s">
        <v>838</v>
      </c>
      <c r="C203" s="12" t="s">
        <v>3850</v>
      </c>
      <c r="D203" s="10">
        <v>12</v>
      </c>
      <c r="E203" s="13">
        <v>100000</v>
      </c>
      <c r="F203" s="14" t="s">
        <v>243</v>
      </c>
      <c r="G203" s="14" t="s">
        <v>244</v>
      </c>
      <c r="H203" s="15" t="s">
        <v>211</v>
      </c>
      <c r="I203" s="8"/>
      <c r="J203" s="10"/>
      <c r="AV203" s="15" t="s">
        <v>181</v>
      </c>
      <c r="AW203" s="15" t="s">
        <v>182</v>
      </c>
      <c r="AX203" s="15" t="s">
        <v>839</v>
      </c>
      <c r="BH203" s="15" t="s">
        <v>184</v>
      </c>
      <c r="BI203" s="15" t="s">
        <v>185</v>
      </c>
      <c r="BJ203" s="15" t="s">
        <v>186</v>
      </c>
      <c r="BK203" s="15" t="s">
        <v>187</v>
      </c>
      <c r="BL203" s="15" t="s">
        <v>188</v>
      </c>
      <c r="BM203" s="15" t="s">
        <v>189</v>
      </c>
      <c r="BN203" s="15" t="s">
        <v>190</v>
      </c>
      <c r="BO203" s="15" t="s">
        <v>191</v>
      </c>
      <c r="BR203" s="15" t="s">
        <v>192</v>
      </c>
      <c r="BS203" s="15" t="s">
        <v>193</v>
      </c>
      <c r="BT203" s="15" t="s">
        <v>194</v>
      </c>
      <c r="BU203" s="15" t="s">
        <v>195</v>
      </c>
      <c r="BV203" s="15" t="s">
        <v>196</v>
      </c>
      <c r="BW203" s="15" t="s">
        <v>272</v>
      </c>
      <c r="CB203" s="15" t="s">
        <v>129</v>
      </c>
      <c r="CC203" s="15">
        <v>1</v>
      </c>
      <c r="CN203" s="15" t="s">
        <v>198</v>
      </c>
      <c r="CW203" s="10">
        <v>2</v>
      </c>
      <c r="CX203" s="15" t="s">
        <v>840</v>
      </c>
    </row>
    <row r="204" spans="1:102" s="15" customFormat="1" x14ac:dyDescent="0.3">
      <c r="A204" s="11" t="s">
        <v>126</v>
      </c>
      <c r="B204" s="10" t="s">
        <v>841</v>
      </c>
      <c r="C204" s="12" t="s">
        <v>3851</v>
      </c>
      <c r="D204" s="10">
        <v>12</v>
      </c>
      <c r="E204" s="13">
        <v>100000</v>
      </c>
      <c r="F204" s="14" t="s">
        <v>243</v>
      </c>
      <c r="G204" s="14" t="s">
        <v>244</v>
      </c>
      <c r="H204" s="15" t="s">
        <v>211</v>
      </c>
      <c r="I204" s="8"/>
      <c r="J204" s="10"/>
      <c r="AV204" s="15" t="s">
        <v>181</v>
      </c>
      <c r="AW204" s="15" t="s">
        <v>182</v>
      </c>
      <c r="AX204" s="15" t="s">
        <v>842</v>
      </c>
      <c r="BH204" s="15" t="s">
        <v>184</v>
      </c>
      <c r="BI204" s="15" t="s">
        <v>185</v>
      </c>
      <c r="BJ204" s="15" t="s">
        <v>186</v>
      </c>
      <c r="BK204" s="15" t="s">
        <v>187</v>
      </c>
      <c r="BL204" s="15" t="s">
        <v>188</v>
      </c>
      <c r="BM204" s="15" t="s">
        <v>189</v>
      </c>
      <c r="BN204" s="15" t="s">
        <v>190</v>
      </c>
      <c r="BO204" s="15" t="s">
        <v>191</v>
      </c>
      <c r="BR204" s="15" t="s">
        <v>192</v>
      </c>
      <c r="BS204" s="15" t="s">
        <v>193</v>
      </c>
      <c r="BT204" s="15" t="s">
        <v>194</v>
      </c>
      <c r="BU204" s="15" t="s">
        <v>195</v>
      </c>
      <c r="BV204" s="15" t="s">
        <v>196</v>
      </c>
      <c r="BW204" s="15" t="s">
        <v>272</v>
      </c>
      <c r="CB204" s="15" t="s">
        <v>129</v>
      </c>
      <c r="CC204" s="15">
        <v>1</v>
      </c>
      <c r="CN204" s="15" t="s">
        <v>198</v>
      </c>
      <c r="CW204" s="10">
        <v>2</v>
      </c>
      <c r="CX204" s="15" t="s">
        <v>843</v>
      </c>
    </row>
    <row r="205" spans="1:102" s="15" customFormat="1" x14ac:dyDescent="0.3">
      <c r="A205" s="11" t="s">
        <v>126</v>
      </c>
      <c r="B205" s="10" t="s">
        <v>844</v>
      </c>
      <c r="C205" s="12" t="s">
        <v>3852</v>
      </c>
      <c r="D205" s="10">
        <v>12</v>
      </c>
      <c r="E205" s="13">
        <v>100000</v>
      </c>
      <c r="F205" s="14" t="s">
        <v>243</v>
      </c>
      <c r="G205" s="14" t="s">
        <v>244</v>
      </c>
      <c r="H205" s="15" t="s">
        <v>211</v>
      </c>
      <c r="I205" s="8"/>
      <c r="J205" s="10"/>
      <c r="AV205" s="15" t="s">
        <v>181</v>
      </c>
      <c r="AW205" s="15" t="s">
        <v>182</v>
      </c>
      <c r="AX205" s="15" t="s">
        <v>845</v>
      </c>
      <c r="BH205" s="15" t="s">
        <v>184</v>
      </c>
      <c r="BI205" s="15" t="s">
        <v>185</v>
      </c>
      <c r="BJ205" s="15" t="s">
        <v>186</v>
      </c>
      <c r="BK205" s="15" t="s">
        <v>187</v>
      </c>
      <c r="BL205" s="15" t="s">
        <v>188</v>
      </c>
      <c r="BM205" s="15" t="s">
        <v>189</v>
      </c>
      <c r="BN205" s="15" t="s">
        <v>190</v>
      </c>
      <c r="BO205" s="15" t="s">
        <v>191</v>
      </c>
      <c r="BR205" s="15" t="s">
        <v>192</v>
      </c>
      <c r="BS205" s="15" t="s">
        <v>193</v>
      </c>
      <c r="BT205" s="15" t="s">
        <v>194</v>
      </c>
      <c r="BU205" s="15" t="s">
        <v>195</v>
      </c>
      <c r="BV205" s="15" t="s">
        <v>196</v>
      </c>
      <c r="BW205" s="15" t="s">
        <v>251</v>
      </c>
      <c r="CB205" s="15" t="s">
        <v>129</v>
      </c>
      <c r="CC205" s="15">
        <v>1</v>
      </c>
      <c r="CN205" s="15" t="s">
        <v>198</v>
      </c>
      <c r="CW205" s="10">
        <v>2</v>
      </c>
      <c r="CX205" s="15" t="s">
        <v>846</v>
      </c>
    </row>
    <row r="206" spans="1:102" s="15" customFormat="1" x14ac:dyDescent="0.3">
      <c r="A206" s="11" t="s">
        <v>126</v>
      </c>
      <c r="B206" s="10" t="s">
        <v>847</v>
      </c>
      <c r="C206" s="12" t="s">
        <v>3853</v>
      </c>
      <c r="D206" s="10">
        <v>12</v>
      </c>
      <c r="E206" s="13">
        <v>100000</v>
      </c>
      <c r="F206" s="14" t="s">
        <v>243</v>
      </c>
      <c r="G206" s="14" t="s">
        <v>244</v>
      </c>
      <c r="H206" s="15" t="s">
        <v>254</v>
      </c>
      <c r="I206" s="8"/>
      <c r="J206" s="10"/>
      <c r="AV206" s="15" t="s">
        <v>181</v>
      </c>
      <c r="AW206" s="15" t="s">
        <v>182</v>
      </c>
      <c r="AX206" s="15" t="s">
        <v>848</v>
      </c>
      <c r="BH206" s="15" t="s">
        <v>184</v>
      </c>
      <c r="BI206" s="15" t="s">
        <v>185</v>
      </c>
      <c r="BJ206" s="15" t="s">
        <v>186</v>
      </c>
      <c r="BK206" s="15" t="s">
        <v>187</v>
      </c>
      <c r="BL206" s="15" t="s">
        <v>188</v>
      </c>
      <c r="BM206" s="15" t="s">
        <v>189</v>
      </c>
      <c r="BN206" s="15" t="s">
        <v>190</v>
      </c>
      <c r="BO206" s="15" t="s">
        <v>191</v>
      </c>
      <c r="BR206" s="15" t="s">
        <v>192</v>
      </c>
      <c r="BS206" s="15" t="s">
        <v>193</v>
      </c>
      <c r="BT206" s="15" t="s">
        <v>194</v>
      </c>
      <c r="BU206" s="15" t="s">
        <v>195</v>
      </c>
      <c r="BV206" s="15" t="s">
        <v>196</v>
      </c>
      <c r="BW206" s="15" t="s">
        <v>251</v>
      </c>
      <c r="CB206" s="15" t="s">
        <v>129</v>
      </c>
      <c r="CC206" s="15">
        <v>1</v>
      </c>
      <c r="CN206" s="15" t="s">
        <v>198</v>
      </c>
      <c r="CW206" s="10">
        <v>2</v>
      </c>
      <c r="CX206" s="15" t="s">
        <v>849</v>
      </c>
    </row>
    <row r="207" spans="1:102" s="15" customFormat="1" x14ac:dyDescent="0.3">
      <c r="A207" s="11" t="s">
        <v>126</v>
      </c>
      <c r="B207" s="10" t="s">
        <v>850</v>
      </c>
      <c r="C207" s="12" t="s">
        <v>463</v>
      </c>
      <c r="D207" s="10">
        <v>12</v>
      </c>
      <c r="E207" s="13">
        <v>1000000</v>
      </c>
      <c r="F207" s="14" t="s">
        <v>269</v>
      </c>
      <c r="G207" s="14" t="s">
        <v>210</v>
      </c>
      <c r="H207" s="15" t="s">
        <v>312</v>
      </c>
      <c r="I207" s="8"/>
      <c r="J207" s="10"/>
      <c r="AV207" s="15" t="s">
        <v>212</v>
      </c>
      <c r="AW207" s="15" t="s">
        <v>213</v>
      </c>
      <c r="AX207" s="15" t="s">
        <v>464</v>
      </c>
      <c r="BF207" s="15" t="s">
        <v>465</v>
      </c>
      <c r="BG207" s="15" t="s">
        <v>466</v>
      </c>
      <c r="BH207" s="15" t="s">
        <v>184</v>
      </c>
      <c r="BI207" s="15" t="s">
        <v>185</v>
      </c>
      <c r="BJ207" s="15" t="s">
        <v>186</v>
      </c>
      <c r="BK207" s="15" t="s">
        <v>187</v>
      </c>
      <c r="BL207" s="15" t="s">
        <v>188</v>
      </c>
      <c r="BM207" s="15" t="s">
        <v>189</v>
      </c>
      <c r="BN207" s="15" t="s">
        <v>190</v>
      </c>
      <c r="BO207" s="15" t="s">
        <v>191</v>
      </c>
      <c r="BP207" s="15" t="s">
        <v>467</v>
      </c>
      <c r="BQ207" s="15" t="s">
        <v>468</v>
      </c>
      <c r="BR207" s="15" t="s">
        <v>192</v>
      </c>
      <c r="BS207" s="15" t="s">
        <v>193</v>
      </c>
      <c r="BT207" s="15" t="s">
        <v>194</v>
      </c>
      <c r="BU207" s="15" t="s">
        <v>195</v>
      </c>
      <c r="BV207" s="15" t="s">
        <v>196</v>
      </c>
      <c r="BW207" s="15" t="s">
        <v>272</v>
      </c>
      <c r="CB207" s="15" t="s">
        <v>129</v>
      </c>
      <c r="CC207" s="15">
        <v>1</v>
      </c>
      <c r="CN207" s="15" t="s">
        <v>851</v>
      </c>
      <c r="CW207" s="10">
        <v>2</v>
      </c>
      <c r="CX207" s="15" t="s">
        <v>852</v>
      </c>
    </row>
    <row r="208" spans="1:102" s="15" customFormat="1" x14ac:dyDescent="0.3">
      <c r="A208" s="11" t="s">
        <v>126</v>
      </c>
      <c r="B208" s="10" t="s">
        <v>853</v>
      </c>
      <c r="C208" s="12" t="s">
        <v>501</v>
      </c>
      <c r="D208" s="10">
        <v>12</v>
      </c>
      <c r="E208" s="13">
        <v>10000000</v>
      </c>
      <c r="F208" s="14" t="s">
        <v>269</v>
      </c>
      <c r="G208" s="14" t="s">
        <v>210</v>
      </c>
      <c r="H208" s="15" t="s">
        <v>312</v>
      </c>
      <c r="I208" s="8"/>
      <c r="J208" s="10"/>
      <c r="AV208" s="15" t="s">
        <v>212</v>
      </c>
      <c r="AW208" s="15" t="s">
        <v>213</v>
      </c>
      <c r="AX208" s="15" t="s">
        <v>502</v>
      </c>
      <c r="BH208" s="15" t="s">
        <v>184</v>
      </c>
      <c r="BI208" s="15" t="s">
        <v>185</v>
      </c>
      <c r="BJ208" s="15" t="s">
        <v>186</v>
      </c>
      <c r="BK208" s="15" t="s">
        <v>187</v>
      </c>
      <c r="BL208" s="15" t="s">
        <v>188</v>
      </c>
      <c r="BM208" s="15" t="s">
        <v>189</v>
      </c>
      <c r="BN208" s="15" t="s">
        <v>190</v>
      </c>
      <c r="BO208" s="15" t="s">
        <v>191</v>
      </c>
      <c r="BR208" s="15" t="s">
        <v>192</v>
      </c>
      <c r="BS208" s="15" t="s">
        <v>193</v>
      </c>
      <c r="BT208" s="15" t="s">
        <v>194</v>
      </c>
      <c r="BU208" s="15" t="s">
        <v>195</v>
      </c>
      <c r="BV208" s="15" t="s">
        <v>196</v>
      </c>
      <c r="BW208" s="15" t="s">
        <v>272</v>
      </c>
      <c r="CB208" s="15" t="s">
        <v>129</v>
      </c>
      <c r="CC208" s="15">
        <v>1</v>
      </c>
      <c r="CN208" s="15" t="s">
        <v>854</v>
      </c>
      <c r="CW208" s="10">
        <v>2</v>
      </c>
      <c r="CX208" s="15" t="s">
        <v>855</v>
      </c>
    </row>
    <row r="209" spans="1:102" s="15" customFormat="1" x14ac:dyDescent="0.3">
      <c r="A209" s="11" t="s">
        <v>126</v>
      </c>
      <c r="B209" s="10" t="s">
        <v>856</v>
      </c>
      <c r="C209" s="12" t="s">
        <v>540</v>
      </c>
      <c r="D209" s="10">
        <v>12</v>
      </c>
      <c r="E209" s="13">
        <v>1000000</v>
      </c>
      <c r="F209" s="14" t="s">
        <v>857</v>
      </c>
      <c r="G209" s="14" t="s">
        <v>541</v>
      </c>
      <c r="H209" s="15" t="s">
        <v>542</v>
      </c>
      <c r="I209" s="8"/>
      <c r="J209" s="10"/>
      <c r="AV209" s="15" t="s">
        <v>858</v>
      </c>
      <c r="AW209" s="15" t="s">
        <v>859</v>
      </c>
      <c r="AX209" s="15" t="s">
        <v>543</v>
      </c>
      <c r="AY209" s="15" t="s">
        <v>544</v>
      </c>
      <c r="AZ209" s="15" t="s">
        <v>545</v>
      </c>
      <c r="BF209" s="15" t="s">
        <v>544</v>
      </c>
      <c r="BG209" s="15" t="s">
        <v>545</v>
      </c>
      <c r="BH209" s="15" t="s">
        <v>184</v>
      </c>
      <c r="BI209" s="15" t="s">
        <v>185</v>
      </c>
      <c r="BJ209" s="15" t="s">
        <v>186</v>
      </c>
      <c r="BK209" s="15" t="s">
        <v>187</v>
      </c>
      <c r="BL209" s="15" t="s">
        <v>188</v>
      </c>
      <c r="BM209" s="15" t="s">
        <v>189</v>
      </c>
      <c r="BN209" s="15" t="s">
        <v>190</v>
      </c>
      <c r="BO209" s="15" t="s">
        <v>191</v>
      </c>
      <c r="BP209" s="15" t="s">
        <v>467</v>
      </c>
      <c r="BQ209" s="15" t="s">
        <v>468</v>
      </c>
      <c r="BR209" s="15" t="s">
        <v>192</v>
      </c>
      <c r="BS209" s="15" t="s">
        <v>193</v>
      </c>
      <c r="BT209" s="15" t="s">
        <v>194</v>
      </c>
      <c r="BU209" s="15" t="s">
        <v>195</v>
      </c>
      <c r="BV209" s="15" t="s">
        <v>196</v>
      </c>
      <c r="BW209" s="15" t="s">
        <v>272</v>
      </c>
      <c r="CB209" s="15" t="s">
        <v>129</v>
      </c>
      <c r="CC209" s="15">
        <v>1</v>
      </c>
      <c r="CN209" s="15" t="s">
        <v>851</v>
      </c>
      <c r="CW209" s="10">
        <v>2</v>
      </c>
      <c r="CX209" s="15" t="s">
        <v>860</v>
      </c>
    </row>
    <row r="210" spans="1:102" s="15" customFormat="1" x14ac:dyDescent="0.3">
      <c r="A210" s="11" t="s">
        <v>126</v>
      </c>
      <c r="B210" s="10" t="s">
        <v>861</v>
      </c>
      <c r="C210" s="12" t="s">
        <v>551</v>
      </c>
      <c r="D210" s="10">
        <v>12</v>
      </c>
      <c r="E210" s="13">
        <v>1000000</v>
      </c>
      <c r="F210" s="14" t="s">
        <v>857</v>
      </c>
      <c r="G210" s="14" t="s">
        <v>541</v>
      </c>
      <c r="H210" s="15" t="s">
        <v>542</v>
      </c>
      <c r="I210" s="8"/>
      <c r="J210" s="10"/>
      <c r="AV210" s="15" t="s">
        <v>858</v>
      </c>
      <c r="AW210" s="15" t="s">
        <v>859</v>
      </c>
      <c r="AX210" s="15" t="s">
        <v>552</v>
      </c>
      <c r="AY210" s="15" t="s">
        <v>553</v>
      </c>
      <c r="AZ210" s="15" t="s">
        <v>554</v>
      </c>
      <c r="BF210" s="15" t="s">
        <v>553</v>
      </c>
      <c r="BG210" s="15" t="s">
        <v>554</v>
      </c>
      <c r="BH210" s="15" t="s">
        <v>184</v>
      </c>
      <c r="BI210" s="15" t="s">
        <v>185</v>
      </c>
      <c r="BJ210" s="15" t="s">
        <v>186</v>
      </c>
      <c r="BK210" s="15" t="s">
        <v>187</v>
      </c>
      <c r="BL210" s="15" t="s">
        <v>188</v>
      </c>
      <c r="BM210" s="15" t="s">
        <v>189</v>
      </c>
      <c r="BN210" s="15" t="s">
        <v>190</v>
      </c>
      <c r="BO210" s="15" t="s">
        <v>191</v>
      </c>
      <c r="BP210" s="15" t="s">
        <v>467</v>
      </c>
      <c r="BQ210" s="15" t="s">
        <v>468</v>
      </c>
      <c r="BR210" s="15" t="s">
        <v>192</v>
      </c>
      <c r="BS210" s="15" t="s">
        <v>193</v>
      </c>
      <c r="BT210" s="15" t="s">
        <v>194</v>
      </c>
      <c r="BU210" s="15" t="s">
        <v>195</v>
      </c>
      <c r="BV210" s="15" t="s">
        <v>196</v>
      </c>
      <c r="BW210" s="15" t="s">
        <v>272</v>
      </c>
      <c r="CB210" s="15" t="s">
        <v>129</v>
      </c>
      <c r="CC210" s="15">
        <v>1</v>
      </c>
      <c r="CN210" s="15" t="s">
        <v>851</v>
      </c>
      <c r="CW210" s="10">
        <v>2</v>
      </c>
      <c r="CX210" s="15" t="s">
        <v>862</v>
      </c>
    </row>
    <row r="211" spans="1:102" s="15" customFormat="1" x14ac:dyDescent="0.3">
      <c r="A211" s="11" t="s">
        <v>126</v>
      </c>
      <c r="B211" s="10" t="s">
        <v>863</v>
      </c>
      <c r="C211" s="12" t="s">
        <v>3854</v>
      </c>
      <c r="D211" s="10">
        <v>12</v>
      </c>
      <c r="E211" s="13">
        <v>10000</v>
      </c>
      <c r="F211" s="14" t="s">
        <v>243</v>
      </c>
      <c r="G211" s="14" t="s">
        <v>244</v>
      </c>
      <c r="H211" s="15" t="s">
        <v>254</v>
      </c>
      <c r="I211" s="8"/>
      <c r="J211" s="10"/>
      <c r="AV211" s="15" t="s">
        <v>181</v>
      </c>
      <c r="AW211" s="15" t="s">
        <v>182</v>
      </c>
      <c r="AX211" s="15" t="s">
        <v>864</v>
      </c>
      <c r="BH211" s="15" t="s">
        <v>184</v>
      </c>
      <c r="BI211" s="15" t="s">
        <v>185</v>
      </c>
      <c r="BJ211" s="15" t="s">
        <v>186</v>
      </c>
      <c r="BK211" s="15" t="s">
        <v>187</v>
      </c>
      <c r="BL211" s="15" t="s">
        <v>188</v>
      </c>
      <c r="BM211" s="15" t="s">
        <v>189</v>
      </c>
      <c r="BN211" s="15" t="s">
        <v>190</v>
      </c>
      <c r="BO211" s="15" t="s">
        <v>191</v>
      </c>
      <c r="BR211" s="15" t="s">
        <v>192</v>
      </c>
      <c r="BS211" s="15" t="s">
        <v>193</v>
      </c>
      <c r="BT211" s="15" t="s">
        <v>194</v>
      </c>
      <c r="BU211" s="15" t="s">
        <v>195</v>
      </c>
      <c r="BV211" s="15" t="s">
        <v>196</v>
      </c>
      <c r="BW211" s="15" t="s">
        <v>205</v>
      </c>
      <c r="CB211" s="15" t="s">
        <v>129</v>
      </c>
      <c r="CC211" s="15">
        <v>1</v>
      </c>
      <c r="CN211" s="15" t="s">
        <v>198</v>
      </c>
      <c r="CW211" s="10">
        <v>2</v>
      </c>
      <c r="CX211" s="15" t="s">
        <v>865</v>
      </c>
    </row>
    <row r="212" spans="1:102" s="15" customFormat="1" x14ac:dyDescent="0.3">
      <c r="A212" s="11" t="s">
        <v>126</v>
      </c>
      <c r="B212" s="10" t="s">
        <v>866</v>
      </c>
      <c r="C212" s="12" t="s">
        <v>3855</v>
      </c>
      <c r="D212" s="10">
        <v>12</v>
      </c>
      <c r="E212" s="13">
        <v>10000</v>
      </c>
      <c r="F212" s="14" t="s">
        <v>243</v>
      </c>
      <c r="G212" s="14" t="s">
        <v>244</v>
      </c>
      <c r="H212" s="15" t="s">
        <v>254</v>
      </c>
      <c r="I212" s="8"/>
      <c r="J212" s="10"/>
      <c r="AV212" s="15" t="s">
        <v>181</v>
      </c>
      <c r="AW212" s="15" t="s">
        <v>182</v>
      </c>
      <c r="AX212" s="15" t="s">
        <v>867</v>
      </c>
      <c r="BH212" s="15" t="s">
        <v>184</v>
      </c>
      <c r="BI212" s="15" t="s">
        <v>185</v>
      </c>
      <c r="BJ212" s="15" t="s">
        <v>186</v>
      </c>
      <c r="BK212" s="15" t="s">
        <v>187</v>
      </c>
      <c r="BL212" s="15" t="s">
        <v>188</v>
      </c>
      <c r="BM212" s="15" t="s">
        <v>189</v>
      </c>
      <c r="BN212" s="15" t="s">
        <v>190</v>
      </c>
      <c r="BO212" s="15" t="s">
        <v>191</v>
      </c>
      <c r="BR212" s="15" t="s">
        <v>192</v>
      </c>
      <c r="BS212" s="15" t="s">
        <v>193</v>
      </c>
      <c r="BT212" s="15" t="s">
        <v>194</v>
      </c>
      <c r="BU212" s="15" t="s">
        <v>195</v>
      </c>
      <c r="BV212" s="15" t="s">
        <v>196</v>
      </c>
      <c r="BW212" s="15" t="s">
        <v>323</v>
      </c>
      <c r="CB212" s="15" t="s">
        <v>129</v>
      </c>
      <c r="CC212" s="15">
        <v>1</v>
      </c>
      <c r="CN212" s="15" t="s">
        <v>198</v>
      </c>
      <c r="CW212" s="10">
        <v>2</v>
      </c>
      <c r="CX212" s="15" t="s">
        <v>868</v>
      </c>
    </row>
    <row r="213" spans="1:102" s="15" customFormat="1" x14ac:dyDescent="0.3">
      <c r="A213" s="11" t="s">
        <v>126</v>
      </c>
      <c r="B213" s="10" t="s">
        <v>869</v>
      </c>
      <c r="C213" s="12" t="s">
        <v>3856</v>
      </c>
      <c r="D213" s="10">
        <v>12</v>
      </c>
      <c r="E213" s="13">
        <v>10000</v>
      </c>
      <c r="F213" s="14" t="s">
        <v>243</v>
      </c>
      <c r="G213" s="14" t="s">
        <v>244</v>
      </c>
      <c r="H213" s="15" t="s">
        <v>254</v>
      </c>
      <c r="I213" s="8"/>
      <c r="J213" s="10"/>
      <c r="AV213" s="15" t="s">
        <v>181</v>
      </c>
      <c r="AW213" s="15" t="s">
        <v>182</v>
      </c>
      <c r="AX213" s="15" t="s">
        <v>870</v>
      </c>
      <c r="BH213" s="15" t="s">
        <v>184</v>
      </c>
      <c r="BI213" s="15" t="s">
        <v>185</v>
      </c>
      <c r="BJ213" s="15" t="s">
        <v>186</v>
      </c>
      <c r="BK213" s="15" t="s">
        <v>187</v>
      </c>
      <c r="BL213" s="15" t="s">
        <v>188</v>
      </c>
      <c r="BM213" s="15" t="s">
        <v>189</v>
      </c>
      <c r="BN213" s="15" t="s">
        <v>190</v>
      </c>
      <c r="BO213" s="15" t="s">
        <v>191</v>
      </c>
      <c r="BR213" s="15" t="s">
        <v>192</v>
      </c>
      <c r="BS213" s="15" t="s">
        <v>193</v>
      </c>
      <c r="BT213" s="15" t="s">
        <v>194</v>
      </c>
      <c r="BU213" s="15" t="s">
        <v>195</v>
      </c>
      <c r="BV213" s="15" t="s">
        <v>196</v>
      </c>
      <c r="BW213" s="15" t="s">
        <v>205</v>
      </c>
      <c r="CB213" s="15" t="s">
        <v>129</v>
      </c>
      <c r="CC213" s="15">
        <v>1</v>
      </c>
      <c r="CN213" s="15" t="s">
        <v>198</v>
      </c>
      <c r="CW213" s="10">
        <v>2</v>
      </c>
      <c r="CX213" s="15" t="s">
        <v>871</v>
      </c>
    </row>
    <row r="214" spans="1:102" s="15" customFormat="1" x14ac:dyDescent="0.3">
      <c r="A214" s="11" t="s">
        <v>126</v>
      </c>
      <c r="B214" s="10" t="s">
        <v>872</v>
      </c>
      <c r="C214" s="12" t="s">
        <v>3857</v>
      </c>
      <c r="D214" s="10">
        <v>12</v>
      </c>
      <c r="E214" s="13">
        <v>10000</v>
      </c>
      <c r="F214" s="14" t="s">
        <v>243</v>
      </c>
      <c r="G214" s="14" t="s">
        <v>244</v>
      </c>
      <c r="H214" s="15" t="s">
        <v>254</v>
      </c>
      <c r="I214" s="8"/>
      <c r="J214" s="10"/>
      <c r="AV214" s="15" t="s">
        <v>181</v>
      </c>
      <c r="AW214" s="15" t="s">
        <v>182</v>
      </c>
      <c r="AX214" s="15" t="s">
        <v>873</v>
      </c>
      <c r="BH214" s="15" t="s">
        <v>184</v>
      </c>
      <c r="BI214" s="15" t="s">
        <v>185</v>
      </c>
      <c r="BJ214" s="15" t="s">
        <v>186</v>
      </c>
      <c r="BK214" s="15" t="s">
        <v>187</v>
      </c>
      <c r="BL214" s="15" t="s">
        <v>188</v>
      </c>
      <c r="BM214" s="15" t="s">
        <v>189</v>
      </c>
      <c r="BN214" s="15" t="s">
        <v>190</v>
      </c>
      <c r="BO214" s="15" t="s">
        <v>191</v>
      </c>
      <c r="BR214" s="15" t="s">
        <v>192</v>
      </c>
      <c r="BS214" s="15" t="s">
        <v>193</v>
      </c>
      <c r="BT214" s="15" t="s">
        <v>194</v>
      </c>
      <c r="BU214" s="15" t="s">
        <v>195</v>
      </c>
      <c r="BV214" s="15" t="s">
        <v>196</v>
      </c>
      <c r="BW214" s="15" t="s">
        <v>323</v>
      </c>
      <c r="CB214" s="15" t="s">
        <v>129</v>
      </c>
      <c r="CC214" s="15">
        <v>1</v>
      </c>
      <c r="CN214" s="15" t="s">
        <v>198</v>
      </c>
      <c r="CW214" s="10">
        <v>2</v>
      </c>
      <c r="CX214" s="15" t="s">
        <v>874</v>
      </c>
    </row>
    <row r="215" spans="1:102" s="15" customFormat="1" x14ac:dyDescent="0.3">
      <c r="A215" s="11" t="s">
        <v>126</v>
      </c>
      <c r="B215" s="10" t="s">
        <v>875</v>
      </c>
      <c r="C215" s="12" t="s">
        <v>3858</v>
      </c>
      <c r="D215" s="10">
        <v>12</v>
      </c>
      <c r="E215" s="13">
        <v>10000</v>
      </c>
      <c r="F215" s="14" t="s">
        <v>243</v>
      </c>
      <c r="G215" s="14" t="s">
        <v>244</v>
      </c>
      <c r="H215" s="15" t="s">
        <v>254</v>
      </c>
      <c r="I215" s="8"/>
      <c r="J215" s="10"/>
      <c r="AV215" s="15" t="s">
        <v>181</v>
      </c>
      <c r="AW215" s="15" t="s">
        <v>182</v>
      </c>
      <c r="AX215" s="15" t="s">
        <v>876</v>
      </c>
      <c r="BH215" s="15" t="s">
        <v>184</v>
      </c>
      <c r="BI215" s="15" t="s">
        <v>185</v>
      </c>
      <c r="BJ215" s="15" t="s">
        <v>186</v>
      </c>
      <c r="BK215" s="15" t="s">
        <v>187</v>
      </c>
      <c r="BL215" s="15" t="s">
        <v>188</v>
      </c>
      <c r="BM215" s="15" t="s">
        <v>189</v>
      </c>
      <c r="BN215" s="15" t="s">
        <v>190</v>
      </c>
      <c r="BO215" s="15" t="s">
        <v>191</v>
      </c>
      <c r="BR215" s="15" t="s">
        <v>192</v>
      </c>
      <c r="BS215" s="15" t="s">
        <v>193</v>
      </c>
      <c r="BT215" s="15" t="s">
        <v>194</v>
      </c>
      <c r="BU215" s="15" t="s">
        <v>195</v>
      </c>
      <c r="BV215" s="15" t="s">
        <v>196</v>
      </c>
      <c r="BW215" s="15" t="s">
        <v>205</v>
      </c>
      <c r="CB215" s="15" t="s">
        <v>129</v>
      </c>
      <c r="CC215" s="15">
        <v>1</v>
      </c>
      <c r="CN215" s="15" t="s">
        <v>198</v>
      </c>
      <c r="CW215" s="10">
        <v>2</v>
      </c>
      <c r="CX215" s="15" t="s">
        <v>877</v>
      </c>
    </row>
    <row r="216" spans="1:102" s="15" customFormat="1" x14ac:dyDescent="0.3">
      <c r="A216" s="11" t="s">
        <v>126</v>
      </c>
      <c r="B216" s="10" t="s">
        <v>878</v>
      </c>
      <c r="C216" s="12" t="s">
        <v>3859</v>
      </c>
      <c r="D216" s="10">
        <v>12</v>
      </c>
      <c r="E216" s="13">
        <v>10000</v>
      </c>
      <c r="F216" s="14" t="s">
        <v>243</v>
      </c>
      <c r="G216" s="14" t="s">
        <v>244</v>
      </c>
      <c r="H216" s="15" t="s">
        <v>254</v>
      </c>
      <c r="I216" s="8"/>
      <c r="J216" s="10"/>
      <c r="AV216" s="15" t="s">
        <v>181</v>
      </c>
      <c r="AW216" s="15" t="s">
        <v>182</v>
      </c>
      <c r="AX216" s="15" t="s">
        <v>879</v>
      </c>
      <c r="BH216" s="15" t="s">
        <v>184</v>
      </c>
      <c r="BI216" s="15" t="s">
        <v>185</v>
      </c>
      <c r="BJ216" s="15" t="s">
        <v>186</v>
      </c>
      <c r="BK216" s="15" t="s">
        <v>187</v>
      </c>
      <c r="BL216" s="15" t="s">
        <v>188</v>
      </c>
      <c r="BM216" s="15" t="s">
        <v>189</v>
      </c>
      <c r="BN216" s="15" t="s">
        <v>190</v>
      </c>
      <c r="BO216" s="15" t="s">
        <v>191</v>
      </c>
      <c r="BR216" s="15" t="s">
        <v>192</v>
      </c>
      <c r="BS216" s="15" t="s">
        <v>193</v>
      </c>
      <c r="BT216" s="15" t="s">
        <v>194</v>
      </c>
      <c r="BU216" s="15" t="s">
        <v>195</v>
      </c>
      <c r="BV216" s="15" t="s">
        <v>196</v>
      </c>
      <c r="BW216" s="15" t="s">
        <v>323</v>
      </c>
      <c r="CB216" s="15" t="s">
        <v>129</v>
      </c>
      <c r="CC216" s="15">
        <v>1</v>
      </c>
      <c r="CN216" s="15" t="s">
        <v>198</v>
      </c>
      <c r="CW216" s="10">
        <v>2</v>
      </c>
      <c r="CX216" s="15" t="s">
        <v>880</v>
      </c>
    </row>
    <row r="217" spans="1:102" s="15" customFormat="1" x14ac:dyDescent="0.3">
      <c r="A217" s="11" t="s">
        <v>126</v>
      </c>
      <c r="B217" s="10" t="s">
        <v>881</v>
      </c>
      <c r="C217" s="12" t="s">
        <v>3860</v>
      </c>
      <c r="D217" s="10">
        <v>12</v>
      </c>
      <c r="E217" s="13">
        <v>10000</v>
      </c>
      <c r="F217" s="14" t="s">
        <v>243</v>
      </c>
      <c r="G217" s="14" t="s">
        <v>244</v>
      </c>
      <c r="H217" s="15" t="s">
        <v>254</v>
      </c>
      <c r="I217" s="8"/>
      <c r="J217" s="10"/>
      <c r="AV217" s="15" t="s">
        <v>181</v>
      </c>
      <c r="AW217" s="15" t="s">
        <v>182</v>
      </c>
      <c r="AX217" s="15" t="s">
        <v>882</v>
      </c>
      <c r="BH217" s="15" t="s">
        <v>184</v>
      </c>
      <c r="BI217" s="15" t="s">
        <v>185</v>
      </c>
      <c r="BJ217" s="15" t="s">
        <v>186</v>
      </c>
      <c r="BK217" s="15" t="s">
        <v>187</v>
      </c>
      <c r="BL217" s="15" t="s">
        <v>188</v>
      </c>
      <c r="BM217" s="15" t="s">
        <v>189</v>
      </c>
      <c r="BN217" s="15" t="s">
        <v>190</v>
      </c>
      <c r="BO217" s="15" t="s">
        <v>191</v>
      </c>
      <c r="BR217" s="15" t="s">
        <v>192</v>
      </c>
      <c r="BS217" s="15" t="s">
        <v>193</v>
      </c>
      <c r="BT217" s="15" t="s">
        <v>194</v>
      </c>
      <c r="BU217" s="15" t="s">
        <v>195</v>
      </c>
      <c r="BV217" s="15" t="s">
        <v>196</v>
      </c>
      <c r="BW217" s="15" t="s">
        <v>205</v>
      </c>
      <c r="CB217" s="15" t="s">
        <v>129</v>
      </c>
      <c r="CC217" s="15">
        <v>1</v>
      </c>
      <c r="CN217" s="15" t="s">
        <v>198</v>
      </c>
      <c r="CW217" s="10">
        <v>2</v>
      </c>
      <c r="CX217" s="15" t="s">
        <v>883</v>
      </c>
    </row>
    <row r="218" spans="1:102" s="15" customFormat="1" x14ac:dyDescent="0.3">
      <c r="A218" s="11" t="s">
        <v>126</v>
      </c>
      <c r="B218" s="10" t="s">
        <v>884</v>
      </c>
      <c r="C218" s="12" t="s">
        <v>3861</v>
      </c>
      <c r="D218" s="10">
        <v>12</v>
      </c>
      <c r="E218" s="13">
        <v>10000</v>
      </c>
      <c r="F218" s="14" t="s">
        <v>243</v>
      </c>
      <c r="G218" s="14" t="s">
        <v>244</v>
      </c>
      <c r="H218" s="15" t="s">
        <v>254</v>
      </c>
      <c r="I218" s="8"/>
      <c r="J218" s="10"/>
      <c r="AV218" s="15" t="s">
        <v>181</v>
      </c>
      <c r="AW218" s="15" t="s">
        <v>182</v>
      </c>
      <c r="AX218" s="15" t="s">
        <v>885</v>
      </c>
      <c r="BH218" s="15" t="s">
        <v>184</v>
      </c>
      <c r="BI218" s="15" t="s">
        <v>185</v>
      </c>
      <c r="BJ218" s="15" t="s">
        <v>186</v>
      </c>
      <c r="BK218" s="15" t="s">
        <v>187</v>
      </c>
      <c r="BL218" s="15" t="s">
        <v>188</v>
      </c>
      <c r="BM218" s="15" t="s">
        <v>189</v>
      </c>
      <c r="BN218" s="15" t="s">
        <v>190</v>
      </c>
      <c r="BO218" s="15" t="s">
        <v>191</v>
      </c>
      <c r="BR218" s="15" t="s">
        <v>192</v>
      </c>
      <c r="BS218" s="15" t="s">
        <v>193</v>
      </c>
      <c r="BT218" s="15" t="s">
        <v>194</v>
      </c>
      <c r="BU218" s="15" t="s">
        <v>195</v>
      </c>
      <c r="BV218" s="15" t="s">
        <v>196</v>
      </c>
      <c r="BW218" s="15" t="s">
        <v>323</v>
      </c>
      <c r="CB218" s="15" t="s">
        <v>129</v>
      </c>
      <c r="CC218" s="15">
        <v>1</v>
      </c>
      <c r="CN218" s="15" t="s">
        <v>198</v>
      </c>
      <c r="CW218" s="10">
        <v>2</v>
      </c>
      <c r="CX218" s="15" t="s">
        <v>886</v>
      </c>
    </row>
    <row r="219" spans="1:102" s="15" customFormat="1" x14ac:dyDescent="0.3">
      <c r="A219" s="11" t="s">
        <v>126</v>
      </c>
      <c r="B219" s="10" t="s">
        <v>887</v>
      </c>
      <c r="C219" s="12" t="s">
        <v>3862</v>
      </c>
      <c r="D219" s="10">
        <v>12</v>
      </c>
      <c r="E219" s="13">
        <v>10000</v>
      </c>
      <c r="F219" s="14" t="s">
        <v>243</v>
      </c>
      <c r="G219" s="14" t="s">
        <v>244</v>
      </c>
      <c r="H219" s="15" t="s">
        <v>254</v>
      </c>
      <c r="I219" s="8"/>
      <c r="J219" s="10"/>
      <c r="AV219" s="15" t="s">
        <v>181</v>
      </c>
      <c r="AW219" s="15" t="s">
        <v>182</v>
      </c>
      <c r="AX219" s="15" t="s">
        <v>888</v>
      </c>
      <c r="BH219" s="15" t="s">
        <v>184</v>
      </c>
      <c r="BI219" s="15" t="s">
        <v>185</v>
      </c>
      <c r="BJ219" s="15" t="s">
        <v>186</v>
      </c>
      <c r="BK219" s="15" t="s">
        <v>187</v>
      </c>
      <c r="BL219" s="15" t="s">
        <v>188</v>
      </c>
      <c r="BM219" s="15" t="s">
        <v>189</v>
      </c>
      <c r="BN219" s="15" t="s">
        <v>190</v>
      </c>
      <c r="BO219" s="15" t="s">
        <v>191</v>
      </c>
      <c r="BR219" s="15" t="s">
        <v>192</v>
      </c>
      <c r="BS219" s="15" t="s">
        <v>193</v>
      </c>
      <c r="BT219" s="15" t="s">
        <v>194</v>
      </c>
      <c r="BU219" s="15" t="s">
        <v>195</v>
      </c>
      <c r="BV219" s="15" t="s">
        <v>196</v>
      </c>
      <c r="BW219" s="15" t="s">
        <v>205</v>
      </c>
      <c r="CB219" s="15" t="s">
        <v>129</v>
      </c>
      <c r="CC219" s="15">
        <v>1</v>
      </c>
      <c r="CN219" s="15" t="s">
        <v>198</v>
      </c>
      <c r="CW219" s="10">
        <v>2</v>
      </c>
      <c r="CX219" s="15" t="s">
        <v>889</v>
      </c>
    </row>
    <row r="220" spans="1:102" s="15" customFormat="1" x14ac:dyDescent="0.3">
      <c r="A220" s="11" t="s">
        <v>126</v>
      </c>
      <c r="B220" s="10" t="s">
        <v>890</v>
      </c>
      <c r="C220" s="12" t="s">
        <v>3863</v>
      </c>
      <c r="D220" s="10">
        <v>12</v>
      </c>
      <c r="E220" s="13">
        <v>10000</v>
      </c>
      <c r="F220" s="14" t="s">
        <v>243</v>
      </c>
      <c r="G220" s="14" t="s">
        <v>244</v>
      </c>
      <c r="H220" s="15" t="s">
        <v>254</v>
      </c>
      <c r="I220" s="8"/>
      <c r="J220" s="10"/>
      <c r="AV220" s="15" t="s">
        <v>181</v>
      </c>
      <c r="AW220" s="15" t="s">
        <v>182</v>
      </c>
      <c r="AX220" s="15" t="s">
        <v>891</v>
      </c>
      <c r="BH220" s="15" t="s">
        <v>184</v>
      </c>
      <c r="BI220" s="15" t="s">
        <v>185</v>
      </c>
      <c r="BJ220" s="15" t="s">
        <v>186</v>
      </c>
      <c r="BK220" s="15" t="s">
        <v>187</v>
      </c>
      <c r="BL220" s="15" t="s">
        <v>188</v>
      </c>
      <c r="BM220" s="15" t="s">
        <v>189</v>
      </c>
      <c r="BN220" s="15" t="s">
        <v>190</v>
      </c>
      <c r="BO220" s="15" t="s">
        <v>191</v>
      </c>
      <c r="BR220" s="15" t="s">
        <v>192</v>
      </c>
      <c r="BS220" s="15" t="s">
        <v>193</v>
      </c>
      <c r="BT220" s="15" t="s">
        <v>194</v>
      </c>
      <c r="BU220" s="15" t="s">
        <v>195</v>
      </c>
      <c r="BV220" s="15" t="s">
        <v>196</v>
      </c>
      <c r="BW220" s="15" t="s">
        <v>323</v>
      </c>
      <c r="CB220" s="15" t="s">
        <v>129</v>
      </c>
      <c r="CC220" s="15">
        <v>1</v>
      </c>
      <c r="CN220" s="15" t="s">
        <v>198</v>
      </c>
      <c r="CW220" s="10">
        <v>2</v>
      </c>
      <c r="CX220" s="15" t="s">
        <v>892</v>
      </c>
    </row>
    <row r="221" spans="1:102" s="15" customFormat="1" x14ac:dyDescent="0.3">
      <c r="A221" s="11" t="s">
        <v>126</v>
      </c>
      <c r="B221" s="10" t="s">
        <v>893</v>
      </c>
      <c r="C221" s="12" t="s">
        <v>3864</v>
      </c>
      <c r="D221" s="10">
        <v>12</v>
      </c>
      <c r="E221" s="13">
        <v>10000</v>
      </c>
      <c r="F221" s="14" t="s">
        <v>243</v>
      </c>
      <c r="G221" s="14" t="s">
        <v>244</v>
      </c>
      <c r="H221" s="15" t="s">
        <v>894</v>
      </c>
      <c r="I221" s="8"/>
      <c r="J221" s="10"/>
      <c r="AV221" s="15" t="s">
        <v>181</v>
      </c>
      <c r="AW221" s="15" t="s">
        <v>182</v>
      </c>
      <c r="AX221" s="15" t="s">
        <v>895</v>
      </c>
      <c r="AY221" s="15" t="s">
        <v>896</v>
      </c>
      <c r="BH221" s="15" t="s">
        <v>184</v>
      </c>
      <c r="BI221" s="15" t="s">
        <v>185</v>
      </c>
      <c r="BJ221" s="15" t="s">
        <v>186</v>
      </c>
      <c r="BK221" s="15" t="s">
        <v>187</v>
      </c>
      <c r="BL221" s="15" t="s">
        <v>188</v>
      </c>
      <c r="BM221" s="15" t="s">
        <v>189</v>
      </c>
      <c r="BN221" s="15" t="s">
        <v>190</v>
      </c>
      <c r="BO221" s="15" t="s">
        <v>191</v>
      </c>
      <c r="BR221" s="15" t="s">
        <v>192</v>
      </c>
      <c r="BS221" s="15" t="s">
        <v>193</v>
      </c>
      <c r="BT221" s="15" t="s">
        <v>194</v>
      </c>
      <c r="BU221" s="15" t="s">
        <v>195</v>
      </c>
      <c r="BV221" s="15" t="s">
        <v>196</v>
      </c>
      <c r="BW221" s="15" t="s">
        <v>323</v>
      </c>
      <c r="CB221" s="15" t="s">
        <v>129</v>
      </c>
      <c r="CC221" s="15">
        <v>1</v>
      </c>
      <c r="CN221" s="15" t="s">
        <v>198</v>
      </c>
      <c r="CW221" s="10">
        <v>2</v>
      </c>
      <c r="CX221" s="15" t="s">
        <v>897</v>
      </c>
    </row>
    <row r="222" spans="1:102" s="15" customFormat="1" x14ac:dyDescent="0.3">
      <c r="A222" s="11" t="s">
        <v>126</v>
      </c>
      <c r="B222" s="10" t="s">
        <v>898</v>
      </c>
      <c r="C222" s="12" t="s">
        <v>3865</v>
      </c>
      <c r="D222" s="10">
        <v>12</v>
      </c>
      <c r="E222" s="13">
        <v>30000</v>
      </c>
      <c r="F222" s="14" t="s">
        <v>243</v>
      </c>
      <c r="G222" s="14" t="s">
        <v>244</v>
      </c>
      <c r="H222" s="15" t="s">
        <v>254</v>
      </c>
      <c r="I222" s="8"/>
      <c r="J222" s="10"/>
      <c r="AV222" s="15" t="s">
        <v>181</v>
      </c>
      <c r="AW222" s="15" t="s">
        <v>182</v>
      </c>
      <c r="AX222" s="15" t="s">
        <v>899</v>
      </c>
      <c r="BH222" s="15" t="s">
        <v>184</v>
      </c>
      <c r="BI222" s="15" t="s">
        <v>185</v>
      </c>
      <c r="BJ222" s="15" t="s">
        <v>186</v>
      </c>
      <c r="BK222" s="15" t="s">
        <v>187</v>
      </c>
      <c r="BL222" s="15" t="s">
        <v>188</v>
      </c>
      <c r="BM222" s="15" t="s">
        <v>189</v>
      </c>
      <c r="BN222" s="15" t="s">
        <v>190</v>
      </c>
      <c r="BO222" s="15" t="s">
        <v>191</v>
      </c>
      <c r="BR222" s="15" t="s">
        <v>192</v>
      </c>
      <c r="BS222" s="15" t="s">
        <v>193</v>
      </c>
      <c r="BT222" s="15" t="s">
        <v>194</v>
      </c>
      <c r="BU222" s="15" t="s">
        <v>195</v>
      </c>
      <c r="BV222" s="15" t="s">
        <v>196</v>
      </c>
      <c r="BW222" s="15" t="s">
        <v>323</v>
      </c>
      <c r="CB222" s="15" t="s">
        <v>129</v>
      </c>
      <c r="CC222" s="15">
        <v>1</v>
      </c>
      <c r="CN222" s="15" t="s">
        <v>198</v>
      </c>
      <c r="CW222" s="10">
        <v>2</v>
      </c>
      <c r="CX222" s="15" t="s">
        <v>900</v>
      </c>
    </row>
    <row r="223" spans="1:102" s="15" customFormat="1" x14ac:dyDescent="0.3">
      <c r="A223" s="11" t="s">
        <v>126</v>
      </c>
      <c r="B223" s="10" t="s">
        <v>901</v>
      </c>
      <c r="C223" s="12" t="s">
        <v>3866</v>
      </c>
      <c r="D223" s="10">
        <v>12</v>
      </c>
      <c r="E223" s="13">
        <v>10000</v>
      </c>
      <c r="F223" s="14" t="s">
        <v>243</v>
      </c>
      <c r="G223" s="14" t="s">
        <v>244</v>
      </c>
      <c r="H223" s="15" t="s">
        <v>254</v>
      </c>
      <c r="I223" s="8"/>
      <c r="J223" s="10"/>
      <c r="AV223" s="15" t="s">
        <v>181</v>
      </c>
      <c r="AW223" s="15" t="s">
        <v>182</v>
      </c>
      <c r="AX223" s="15" t="s">
        <v>768</v>
      </c>
      <c r="BH223" s="15" t="s">
        <v>184</v>
      </c>
      <c r="BI223" s="15" t="s">
        <v>185</v>
      </c>
      <c r="BJ223" s="15" t="s">
        <v>186</v>
      </c>
      <c r="BK223" s="15" t="s">
        <v>187</v>
      </c>
      <c r="BL223" s="15" t="s">
        <v>188</v>
      </c>
      <c r="BM223" s="15" t="s">
        <v>189</v>
      </c>
      <c r="BN223" s="15" t="s">
        <v>190</v>
      </c>
      <c r="BO223" s="15" t="s">
        <v>191</v>
      </c>
      <c r="BR223" s="15" t="s">
        <v>192</v>
      </c>
      <c r="BS223" s="15" t="s">
        <v>193</v>
      </c>
      <c r="BT223" s="15" t="s">
        <v>194</v>
      </c>
      <c r="BU223" s="15" t="s">
        <v>195</v>
      </c>
      <c r="BV223" s="15" t="s">
        <v>196</v>
      </c>
      <c r="BW223" s="15" t="s">
        <v>323</v>
      </c>
      <c r="CB223" s="15" t="s">
        <v>129</v>
      </c>
      <c r="CC223" s="15">
        <v>1</v>
      </c>
      <c r="CN223" s="15" t="s">
        <v>198</v>
      </c>
      <c r="CW223" s="10">
        <v>2</v>
      </c>
      <c r="CX223" s="15" t="s">
        <v>902</v>
      </c>
    </row>
    <row r="224" spans="1:102" s="15" customFormat="1" x14ac:dyDescent="0.3">
      <c r="A224" s="11" t="s">
        <v>126</v>
      </c>
      <c r="B224" s="10" t="s">
        <v>903</v>
      </c>
      <c r="C224" s="12" t="s">
        <v>3867</v>
      </c>
      <c r="D224" s="10">
        <v>12</v>
      </c>
      <c r="E224" s="13">
        <v>10000</v>
      </c>
      <c r="F224" s="14" t="s">
        <v>243</v>
      </c>
      <c r="G224" s="14" t="s">
        <v>244</v>
      </c>
      <c r="H224" s="15" t="s">
        <v>894</v>
      </c>
      <c r="I224" s="8"/>
      <c r="J224" s="10"/>
      <c r="AV224" s="15" t="s">
        <v>181</v>
      </c>
      <c r="AW224" s="15" t="s">
        <v>182</v>
      </c>
      <c r="AX224" s="15" t="s">
        <v>904</v>
      </c>
      <c r="AY224" s="15" t="s">
        <v>905</v>
      </c>
      <c r="BH224" s="15" t="s">
        <v>184</v>
      </c>
      <c r="BI224" s="15" t="s">
        <v>185</v>
      </c>
      <c r="BJ224" s="15" t="s">
        <v>186</v>
      </c>
      <c r="BK224" s="15" t="s">
        <v>187</v>
      </c>
      <c r="BL224" s="15" t="s">
        <v>188</v>
      </c>
      <c r="BM224" s="15" t="s">
        <v>189</v>
      </c>
      <c r="BN224" s="15" t="s">
        <v>190</v>
      </c>
      <c r="BO224" s="15" t="s">
        <v>191</v>
      </c>
      <c r="BR224" s="15" t="s">
        <v>192</v>
      </c>
      <c r="BS224" s="15" t="s">
        <v>193</v>
      </c>
      <c r="BT224" s="15" t="s">
        <v>194</v>
      </c>
      <c r="BU224" s="15" t="s">
        <v>195</v>
      </c>
      <c r="BV224" s="15" t="s">
        <v>196</v>
      </c>
      <c r="BW224" s="15" t="s">
        <v>205</v>
      </c>
      <c r="CB224" s="15" t="s">
        <v>129</v>
      </c>
      <c r="CC224" s="15">
        <v>1</v>
      </c>
      <c r="CN224" s="15" t="s">
        <v>198</v>
      </c>
      <c r="CW224" s="10">
        <v>2</v>
      </c>
      <c r="CX224" s="15" t="s">
        <v>906</v>
      </c>
    </row>
    <row r="225" spans="1:102" s="15" customFormat="1" x14ac:dyDescent="0.3">
      <c r="A225" s="11" t="s">
        <v>126</v>
      </c>
      <c r="B225" s="10" t="s">
        <v>907</v>
      </c>
      <c r="C225" s="12" t="s">
        <v>3868</v>
      </c>
      <c r="D225" s="10">
        <v>12</v>
      </c>
      <c r="E225" s="13">
        <v>30000</v>
      </c>
      <c r="F225" s="14" t="s">
        <v>243</v>
      </c>
      <c r="G225" s="14" t="s">
        <v>244</v>
      </c>
      <c r="H225" s="15" t="s">
        <v>254</v>
      </c>
      <c r="I225" s="8"/>
      <c r="J225" s="10"/>
      <c r="AV225" s="15" t="s">
        <v>181</v>
      </c>
      <c r="AW225" s="15" t="s">
        <v>182</v>
      </c>
      <c r="AX225" s="15" t="s">
        <v>908</v>
      </c>
      <c r="BH225" s="15" t="s">
        <v>184</v>
      </c>
      <c r="BI225" s="15" t="s">
        <v>185</v>
      </c>
      <c r="BJ225" s="15" t="s">
        <v>186</v>
      </c>
      <c r="BK225" s="15" t="s">
        <v>187</v>
      </c>
      <c r="BL225" s="15" t="s">
        <v>188</v>
      </c>
      <c r="BM225" s="15" t="s">
        <v>189</v>
      </c>
      <c r="BN225" s="15" t="s">
        <v>190</v>
      </c>
      <c r="BO225" s="15" t="s">
        <v>191</v>
      </c>
      <c r="BR225" s="15" t="s">
        <v>192</v>
      </c>
      <c r="BS225" s="15" t="s">
        <v>193</v>
      </c>
      <c r="BT225" s="15" t="s">
        <v>194</v>
      </c>
      <c r="BU225" s="15" t="s">
        <v>195</v>
      </c>
      <c r="BV225" s="15" t="s">
        <v>196</v>
      </c>
      <c r="BW225" s="15" t="s">
        <v>205</v>
      </c>
      <c r="CB225" s="15" t="s">
        <v>129</v>
      </c>
      <c r="CC225" s="15">
        <v>1</v>
      </c>
      <c r="CN225" s="15" t="s">
        <v>198</v>
      </c>
      <c r="CW225" s="10">
        <v>2</v>
      </c>
      <c r="CX225" s="15" t="s">
        <v>909</v>
      </c>
    </row>
    <row r="226" spans="1:102" s="15" customFormat="1" x14ac:dyDescent="0.3">
      <c r="A226" s="11" t="s">
        <v>126</v>
      </c>
      <c r="B226" s="10" t="s">
        <v>910</v>
      </c>
      <c r="C226" s="12" t="s">
        <v>3869</v>
      </c>
      <c r="D226" s="10">
        <v>12</v>
      </c>
      <c r="E226" s="13">
        <v>10000</v>
      </c>
      <c r="F226" s="14" t="s">
        <v>243</v>
      </c>
      <c r="G226" s="14" t="s">
        <v>244</v>
      </c>
      <c r="H226" s="15" t="s">
        <v>254</v>
      </c>
      <c r="I226" s="8"/>
      <c r="J226" s="10"/>
      <c r="AV226" s="15" t="s">
        <v>181</v>
      </c>
      <c r="AW226" s="15" t="s">
        <v>182</v>
      </c>
      <c r="AX226" s="15" t="s">
        <v>911</v>
      </c>
      <c r="BH226" s="15" t="s">
        <v>184</v>
      </c>
      <c r="BI226" s="15" t="s">
        <v>185</v>
      </c>
      <c r="BJ226" s="15" t="s">
        <v>186</v>
      </c>
      <c r="BK226" s="15" t="s">
        <v>187</v>
      </c>
      <c r="BL226" s="15" t="s">
        <v>188</v>
      </c>
      <c r="BM226" s="15" t="s">
        <v>189</v>
      </c>
      <c r="BN226" s="15" t="s">
        <v>190</v>
      </c>
      <c r="BO226" s="15" t="s">
        <v>191</v>
      </c>
      <c r="BR226" s="15" t="s">
        <v>192</v>
      </c>
      <c r="BS226" s="15" t="s">
        <v>193</v>
      </c>
      <c r="BT226" s="15" t="s">
        <v>194</v>
      </c>
      <c r="BU226" s="15" t="s">
        <v>195</v>
      </c>
      <c r="BV226" s="15" t="s">
        <v>196</v>
      </c>
      <c r="BW226" s="15" t="s">
        <v>205</v>
      </c>
      <c r="CB226" s="15" t="s">
        <v>129</v>
      </c>
      <c r="CC226" s="15">
        <v>1</v>
      </c>
      <c r="CN226" s="15" t="s">
        <v>198</v>
      </c>
      <c r="CW226" s="10">
        <v>2</v>
      </c>
      <c r="CX226" s="15" t="s">
        <v>912</v>
      </c>
    </row>
    <row r="227" spans="1:102" s="15" customFormat="1" x14ac:dyDescent="0.3">
      <c r="A227" s="11" t="s">
        <v>126</v>
      </c>
      <c r="B227" s="10" t="s">
        <v>913</v>
      </c>
      <c r="C227" s="12" t="s">
        <v>3870</v>
      </c>
      <c r="D227" s="10">
        <v>12</v>
      </c>
      <c r="E227" s="13">
        <v>1000000</v>
      </c>
      <c r="F227" s="14" t="s">
        <v>823</v>
      </c>
      <c r="G227" s="14" t="s">
        <v>179</v>
      </c>
      <c r="H227" s="15" t="s">
        <v>180</v>
      </c>
      <c r="I227" s="8"/>
      <c r="J227" s="10"/>
      <c r="AV227" s="15" t="s">
        <v>203</v>
      </c>
      <c r="AW227" s="15" t="s">
        <v>204</v>
      </c>
      <c r="AX227" s="15" t="s">
        <v>183</v>
      </c>
      <c r="BH227" s="15" t="s">
        <v>184</v>
      </c>
      <c r="BI227" s="15" t="s">
        <v>185</v>
      </c>
      <c r="BJ227" s="15" t="s">
        <v>186</v>
      </c>
      <c r="BK227" s="15" t="s">
        <v>187</v>
      </c>
      <c r="BL227" s="15" t="s">
        <v>188</v>
      </c>
      <c r="BM227" s="15" t="s">
        <v>189</v>
      </c>
      <c r="BN227" s="15" t="s">
        <v>190</v>
      </c>
      <c r="BO227" s="15" t="s">
        <v>191</v>
      </c>
      <c r="BR227" s="15" t="s">
        <v>192</v>
      </c>
      <c r="BS227" s="15" t="s">
        <v>193</v>
      </c>
      <c r="BT227" s="15" t="s">
        <v>194</v>
      </c>
      <c r="BU227" s="15" t="s">
        <v>195</v>
      </c>
      <c r="BV227" s="15" t="s">
        <v>196</v>
      </c>
      <c r="CB227" s="15" t="s">
        <v>129</v>
      </c>
      <c r="CC227" s="15" t="s">
        <v>197</v>
      </c>
      <c r="CN227" s="15" t="s">
        <v>198</v>
      </c>
      <c r="CW227" s="10">
        <v>2</v>
      </c>
      <c r="CX227" s="15" t="s">
        <v>914</v>
      </c>
    </row>
    <row r="228" spans="1:102" s="15" customFormat="1" x14ac:dyDescent="0.3">
      <c r="A228" s="11" t="s">
        <v>126</v>
      </c>
      <c r="B228" s="10" t="s">
        <v>915</v>
      </c>
      <c r="C228" s="12" t="s">
        <v>3871</v>
      </c>
      <c r="D228" s="10">
        <v>12</v>
      </c>
      <c r="E228" s="13">
        <v>10000000</v>
      </c>
      <c r="F228" s="14" t="s">
        <v>209</v>
      </c>
      <c r="G228" s="14" t="s">
        <v>210</v>
      </c>
      <c r="H228" s="15" t="s">
        <v>254</v>
      </c>
      <c r="I228" s="8"/>
      <c r="J228" s="10"/>
      <c r="AV228" s="15" t="s">
        <v>212</v>
      </c>
      <c r="AW228" s="15" t="s">
        <v>213</v>
      </c>
      <c r="AX228" s="15" t="s">
        <v>916</v>
      </c>
      <c r="BH228" s="15" t="s">
        <v>184</v>
      </c>
      <c r="BI228" s="15" t="s">
        <v>185</v>
      </c>
      <c r="BJ228" s="15" t="s">
        <v>186</v>
      </c>
      <c r="BK228" s="15" t="s">
        <v>187</v>
      </c>
      <c r="BL228" s="15" t="s">
        <v>188</v>
      </c>
      <c r="BM228" s="15" t="s">
        <v>189</v>
      </c>
      <c r="BN228" s="15" t="s">
        <v>190</v>
      </c>
      <c r="BO228" s="15" t="s">
        <v>191</v>
      </c>
      <c r="BR228" s="15" t="s">
        <v>192</v>
      </c>
      <c r="BS228" s="15" t="s">
        <v>193</v>
      </c>
      <c r="BT228" s="15" t="s">
        <v>194</v>
      </c>
      <c r="BU228" s="15" t="s">
        <v>195</v>
      </c>
      <c r="BV228" s="15" t="s">
        <v>196</v>
      </c>
      <c r="BW228" s="15" t="s">
        <v>460</v>
      </c>
      <c r="CB228" s="15" t="s">
        <v>129</v>
      </c>
      <c r="CC228" s="15">
        <v>1</v>
      </c>
      <c r="CN228" s="15" t="s">
        <v>198</v>
      </c>
      <c r="CW228" s="10">
        <v>2</v>
      </c>
      <c r="CX228" s="15" t="s">
        <v>917</v>
      </c>
    </row>
    <row r="229" spans="1:102" s="15" customFormat="1" x14ac:dyDescent="0.3">
      <c r="A229" s="11" t="s">
        <v>126</v>
      </c>
      <c r="B229" s="10" t="s">
        <v>918</v>
      </c>
      <c r="C229" s="12" t="s">
        <v>3872</v>
      </c>
      <c r="D229" s="10">
        <v>12</v>
      </c>
      <c r="E229" s="13">
        <v>10000000</v>
      </c>
      <c r="F229" s="14" t="s">
        <v>243</v>
      </c>
      <c r="G229" s="14" t="s">
        <v>244</v>
      </c>
      <c r="H229" s="15" t="s">
        <v>254</v>
      </c>
      <c r="I229" s="8"/>
      <c r="J229" s="10"/>
      <c r="AV229" s="15" t="s">
        <v>181</v>
      </c>
      <c r="AW229" s="15" t="s">
        <v>182</v>
      </c>
      <c r="AX229" s="15" t="s">
        <v>919</v>
      </c>
      <c r="BH229" s="15" t="s">
        <v>184</v>
      </c>
      <c r="BI229" s="15" t="s">
        <v>185</v>
      </c>
      <c r="BJ229" s="15" t="s">
        <v>186</v>
      </c>
      <c r="BK229" s="15" t="s">
        <v>187</v>
      </c>
      <c r="BL229" s="15" t="s">
        <v>188</v>
      </c>
      <c r="BM229" s="15" t="s">
        <v>189</v>
      </c>
      <c r="BN229" s="15" t="s">
        <v>190</v>
      </c>
      <c r="BO229" s="15" t="s">
        <v>191</v>
      </c>
      <c r="BR229" s="15" t="s">
        <v>192</v>
      </c>
      <c r="BS229" s="15" t="s">
        <v>193</v>
      </c>
      <c r="BT229" s="15" t="s">
        <v>194</v>
      </c>
      <c r="BU229" s="15" t="s">
        <v>195</v>
      </c>
      <c r="BV229" s="15" t="s">
        <v>196</v>
      </c>
      <c r="BW229" s="15" t="s">
        <v>404</v>
      </c>
      <c r="CB229" s="15" t="s">
        <v>129</v>
      </c>
      <c r="CC229" s="15">
        <v>1</v>
      </c>
      <c r="CN229" s="15" t="s">
        <v>198</v>
      </c>
      <c r="CW229" s="10">
        <v>1</v>
      </c>
      <c r="CX229" s="15" t="s">
        <v>920</v>
      </c>
    </row>
    <row r="230" spans="1:102" s="15" customFormat="1" x14ac:dyDescent="0.3">
      <c r="A230" s="11" t="s">
        <v>126</v>
      </c>
      <c r="B230" s="10" t="s">
        <v>921</v>
      </c>
      <c r="C230" s="12" t="s">
        <v>3873</v>
      </c>
      <c r="D230" s="10">
        <v>12</v>
      </c>
      <c r="E230" s="13">
        <v>1000000</v>
      </c>
      <c r="F230" s="14" t="s">
        <v>723</v>
      </c>
      <c r="G230" s="14" t="s">
        <v>724</v>
      </c>
      <c r="H230" s="15" t="s">
        <v>725</v>
      </c>
      <c r="I230" s="8"/>
      <c r="J230" s="10"/>
      <c r="AV230" s="15" t="s">
        <v>922</v>
      </c>
      <c r="AW230" s="15" t="s">
        <v>923</v>
      </c>
      <c r="AX230" s="15" t="s">
        <v>726</v>
      </c>
      <c r="BH230" s="15" t="s">
        <v>184</v>
      </c>
      <c r="BI230" s="15" t="s">
        <v>185</v>
      </c>
      <c r="BJ230" s="15" t="s">
        <v>186</v>
      </c>
      <c r="BK230" s="15" t="s">
        <v>187</v>
      </c>
      <c r="BL230" s="15" t="s">
        <v>188</v>
      </c>
      <c r="BM230" s="15" t="s">
        <v>189</v>
      </c>
      <c r="BN230" s="15" t="s">
        <v>190</v>
      </c>
      <c r="BO230" s="15" t="s">
        <v>191</v>
      </c>
      <c r="BR230" s="15" t="s">
        <v>192</v>
      </c>
      <c r="BS230" s="15" t="s">
        <v>193</v>
      </c>
      <c r="BT230" s="15" t="s">
        <v>194</v>
      </c>
      <c r="BU230" s="15" t="s">
        <v>195</v>
      </c>
      <c r="BV230" s="15" t="s">
        <v>196</v>
      </c>
      <c r="CB230" s="15" t="s">
        <v>129</v>
      </c>
      <c r="CC230" s="15" t="s">
        <v>197</v>
      </c>
      <c r="CN230" s="15" t="s">
        <v>198</v>
      </c>
      <c r="CW230" s="10">
        <v>2</v>
      </c>
      <c r="CX230" s="15" t="s">
        <v>924</v>
      </c>
    </row>
    <row r="231" spans="1:102" s="15" customFormat="1" x14ac:dyDescent="0.3">
      <c r="A231" s="11" t="s">
        <v>126</v>
      </c>
      <c r="B231" s="10" t="s">
        <v>925</v>
      </c>
      <c r="C231" s="12" t="s">
        <v>926</v>
      </c>
      <c r="D231" s="10">
        <v>12</v>
      </c>
      <c r="E231" s="13">
        <v>1000000</v>
      </c>
      <c r="F231" s="14" t="s">
        <v>724</v>
      </c>
      <c r="G231" s="14" t="s">
        <v>724</v>
      </c>
      <c r="H231" s="15" t="s">
        <v>725</v>
      </c>
      <c r="I231" s="8"/>
      <c r="J231" s="10"/>
      <c r="AW231" s="15" t="s">
        <v>128</v>
      </c>
      <c r="AX231" s="15" t="s">
        <v>726</v>
      </c>
      <c r="BH231" s="15" t="s">
        <v>184</v>
      </c>
      <c r="BI231" s="15" t="s">
        <v>185</v>
      </c>
      <c r="BJ231" s="15" t="s">
        <v>186</v>
      </c>
      <c r="BK231" s="15" t="s">
        <v>187</v>
      </c>
      <c r="BL231" s="15" t="s">
        <v>188</v>
      </c>
      <c r="BM231" s="15" t="s">
        <v>189</v>
      </c>
      <c r="BN231" s="15" t="s">
        <v>190</v>
      </c>
      <c r="BO231" s="15" t="s">
        <v>191</v>
      </c>
      <c r="BR231" s="15" t="s">
        <v>192</v>
      </c>
      <c r="BS231" s="15" t="s">
        <v>193</v>
      </c>
      <c r="BT231" s="15" t="s">
        <v>194</v>
      </c>
      <c r="BU231" s="15" t="s">
        <v>195</v>
      </c>
      <c r="BV231" s="15" t="s">
        <v>196</v>
      </c>
      <c r="CB231" s="15" t="s">
        <v>128</v>
      </c>
      <c r="CC231" s="15" t="s">
        <v>197</v>
      </c>
      <c r="CN231" s="15" t="s">
        <v>198</v>
      </c>
      <c r="CW231" s="10">
        <v>2</v>
      </c>
      <c r="CX231" s="15" t="s">
        <v>927</v>
      </c>
    </row>
    <row r="232" spans="1:102" s="15" customFormat="1" x14ac:dyDescent="0.3">
      <c r="A232" s="11" t="s">
        <v>126</v>
      </c>
      <c r="B232" s="10" t="s">
        <v>928</v>
      </c>
      <c r="C232" s="12" t="s">
        <v>3874</v>
      </c>
      <c r="D232" s="10">
        <v>12</v>
      </c>
      <c r="E232" s="13">
        <v>1000000</v>
      </c>
      <c r="F232" s="14" t="s">
        <v>209</v>
      </c>
      <c r="G232" s="14" t="s">
        <v>210</v>
      </c>
      <c r="H232" s="15" t="s">
        <v>211</v>
      </c>
      <c r="I232" s="8"/>
      <c r="J232" s="10"/>
      <c r="AV232" s="15" t="s">
        <v>212</v>
      </c>
      <c r="AW232" s="15" t="s">
        <v>213</v>
      </c>
      <c r="AX232" s="15" t="s">
        <v>190</v>
      </c>
      <c r="BH232" s="15" t="s">
        <v>184</v>
      </c>
      <c r="BI232" s="15" t="s">
        <v>185</v>
      </c>
      <c r="BJ232" s="15" t="s">
        <v>186</v>
      </c>
      <c r="BK232" s="15" t="s">
        <v>187</v>
      </c>
      <c r="BL232" s="15" t="s">
        <v>188</v>
      </c>
      <c r="BM232" s="15" t="s">
        <v>189</v>
      </c>
      <c r="BN232" s="15" t="s">
        <v>190</v>
      </c>
      <c r="BO232" s="15" t="s">
        <v>191</v>
      </c>
      <c r="BR232" s="15" t="s">
        <v>192</v>
      </c>
      <c r="BS232" s="15" t="s">
        <v>193</v>
      </c>
      <c r="BT232" s="15" t="s">
        <v>194</v>
      </c>
      <c r="BU232" s="15" t="s">
        <v>195</v>
      </c>
      <c r="BV232" s="15" t="s">
        <v>196</v>
      </c>
      <c r="BW232" s="15" t="s">
        <v>196</v>
      </c>
      <c r="CB232" s="15" t="s">
        <v>129</v>
      </c>
      <c r="CC232" s="15">
        <v>1</v>
      </c>
      <c r="CN232" s="15" t="s">
        <v>929</v>
      </c>
      <c r="CW232" s="10">
        <v>2</v>
      </c>
      <c r="CX232" s="15" t="s">
        <v>930</v>
      </c>
    </row>
    <row r="233" spans="1:102" s="15" customFormat="1" x14ac:dyDescent="0.3">
      <c r="A233" s="11" t="s">
        <v>126</v>
      </c>
      <c r="B233" s="10" t="s">
        <v>931</v>
      </c>
      <c r="C233" s="12" t="s">
        <v>3875</v>
      </c>
      <c r="D233" s="10">
        <v>12</v>
      </c>
      <c r="E233" s="13">
        <v>2000000</v>
      </c>
      <c r="F233" s="14" t="s">
        <v>209</v>
      </c>
      <c r="G233" s="14" t="s">
        <v>210</v>
      </c>
      <c r="H233" s="15" t="s">
        <v>211</v>
      </c>
      <c r="I233" s="8"/>
      <c r="J233" s="10"/>
      <c r="AV233" s="15" t="s">
        <v>212</v>
      </c>
      <c r="AW233" s="15" t="s">
        <v>213</v>
      </c>
      <c r="AX233" s="15" t="s">
        <v>188</v>
      </c>
      <c r="BH233" s="15" t="s">
        <v>184</v>
      </c>
      <c r="BI233" s="15" t="s">
        <v>185</v>
      </c>
      <c r="BJ233" s="15" t="s">
        <v>186</v>
      </c>
      <c r="BK233" s="15" t="s">
        <v>187</v>
      </c>
      <c r="BL233" s="15" t="s">
        <v>188</v>
      </c>
      <c r="BM233" s="15" t="s">
        <v>189</v>
      </c>
      <c r="BN233" s="15" t="s">
        <v>190</v>
      </c>
      <c r="BO233" s="15" t="s">
        <v>191</v>
      </c>
      <c r="BR233" s="15" t="s">
        <v>192</v>
      </c>
      <c r="BS233" s="15" t="s">
        <v>193</v>
      </c>
      <c r="BT233" s="15" t="s">
        <v>194</v>
      </c>
      <c r="BU233" s="15" t="s">
        <v>195</v>
      </c>
      <c r="BV233" s="15" t="s">
        <v>196</v>
      </c>
      <c r="BW233" s="15" t="s">
        <v>196</v>
      </c>
      <c r="CB233" s="15" t="s">
        <v>129</v>
      </c>
      <c r="CC233" s="15">
        <v>1</v>
      </c>
      <c r="CN233" s="15" t="s">
        <v>932</v>
      </c>
      <c r="CW233" s="10">
        <v>2</v>
      </c>
      <c r="CX233" s="15" t="s">
        <v>933</v>
      </c>
    </row>
    <row r="234" spans="1:102" s="15" customFormat="1" x14ac:dyDescent="0.3">
      <c r="A234" s="11" t="s">
        <v>126</v>
      </c>
      <c r="B234" s="10" t="s">
        <v>934</v>
      </c>
      <c r="C234" s="12" t="s">
        <v>3876</v>
      </c>
      <c r="D234" s="10">
        <v>12</v>
      </c>
      <c r="E234" s="13">
        <v>10000000</v>
      </c>
      <c r="F234" s="14" t="s">
        <v>209</v>
      </c>
      <c r="G234" s="14" t="s">
        <v>210</v>
      </c>
      <c r="H234" s="15" t="s">
        <v>254</v>
      </c>
      <c r="I234" s="8"/>
      <c r="J234" s="10"/>
      <c r="AV234" s="15" t="s">
        <v>212</v>
      </c>
      <c r="AW234" s="15" t="s">
        <v>213</v>
      </c>
      <c r="AX234" s="15" t="s">
        <v>935</v>
      </c>
      <c r="BH234" s="15" t="s">
        <v>184</v>
      </c>
      <c r="BI234" s="15" t="s">
        <v>185</v>
      </c>
      <c r="BJ234" s="15" t="s">
        <v>186</v>
      </c>
      <c r="BK234" s="15" t="s">
        <v>187</v>
      </c>
      <c r="BL234" s="15" t="s">
        <v>188</v>
      </c>
      <c r="BM234" s="15" t="s">
        <v>189</v>
      </c>
      <c r="BN234" s="15" t="s">
        <v>190</v>
      </c>
      <c r="BO234" s="15" t="s">
        <v>191</v>
      </c>
      <c r="BR234" s="15" t="s">
        <v>192</v>
      </c>
      <c r="BS234" s="15" t="s">
        <v>193</v>
      </c>
      <c r="BT234" s="15" t="s">
        <v>194</v>
      </c>
      <c r="BU234" s="15" t="s">
        <v>195</v>
      </c>
      <c r="BV234" s="15" t="s">
        <v>196</v>
      </c>
      <c r="BW234" s="15" t="s">
        <v>196</v>
      </c>
      <c r="CB234" s="15" t="s">
        <v>129</v>
      </c>
      <c r="CC234" s="15">
        <v>1</v>
      </c>
      <c r="CN234" s="15" t="s">
        <v>198</v>
      </c>
      <c r="CW234" s="10">
        <v>2</v>
      </c>
      <c r="CX234" s="15" t="s">
        <v>936</v>
      </c>
    </row>
    <row r="235" spans="1:102" s="15" customFormat="1" x14ac:dyDescent="0.3">
      <c r="A235" s="11" t="s">
        <v>126</v>
      </c>
      <c r="B235" s="10" t="s">
        <v>937</v>
      </c>
      <c r="C235" s="12" t="s">
        <v>3877</v>
      </c>
      <c r="D235" s="10">
        <v>12</v>
      </c>
      <c r="E235" s="13">
        <v>100000</v>
      </c>
      <c r="F235" s="14" t="s">
        <v>243</v>
      </c>
      <c r="G235" s="14" t="s">
        <v>244</v>
      </c>
      <c r="H235" s="15" t="s">
        <v>254</v>
      </c>
      <c r="I235" s="8"/>
      <c r="J235" s="10"/>
      <c r="AV235" s="15" t="s">
        <v>181</v>
      </c>
      <c r="AW235" s="15" t="s">
        <v>182</v>
      </c>
      <c r="AX235" s="15" t="s">
        <v>938</v>
      </c>
      <c r="BH235" s="15" t="s">
        <v>184</v>
      </c>
      <c r="BI235" s="15" t="s">
        <v>185</v>
      </c>
      <c r="BJ235" s="15" t="s">
        <v>186</v>
      </c>
      <c r="BK235" s="15" t="s">
        <v>187</v>
      </c>
      <c r="BL235" s="15" t="s">
        <v>188</v>
      </c>
      <c r="BM235" s="15" t="s">
        <v>189</v>
      </c>
      <c r="BN235" s="15" t="s">
        <v>190</v>
      </c>
      <c r="BO235" s="15" t="s">
        <v>191</v>
      </c>
      <c r="BR235" s="15" t="s">
        <v>192</v>
      </c>
      <c r="BS235" s="15" t="s">
        <v>193</v>
      </c>
      <c r="BT235" s="15" t="s">
        <v>194</v>
      </c>
      <c r="BU235" s="15" t="s">
        <v>195</v>
      </c>
      <c r="BV235" s="15" t="s">
        <v>196</v>
      </c>
      <c r="BW235" s="15" t="s">
        <v>251</v>
      </c>
      <c r="CB235" s="15" t="s">
        <v>129</v>
      </c>
      <c r="CC235" s="15">
        <v>1</v>
      </c>
      <c r="CN235" s="15" t="s">
        <v>198</v>
      </c>
      <c r="CW235" s="10">
        <v>2</v>
      </c>
      <c r="CX235" s="15" t="s">
        <v>939</v>
      </c>
    </row>
    <row r="236" spans="1:102" s="15" customFormat="1" x14ac:dyDescent="0.3">
      <c r="A236" s="11" t="s">
        <v>126</v>
      </c>
      <c r="B236" s="10" t="s">
        <v>940</v>
      </c>
      <c r="C236" s="12" t="s">
        <v>3878</v>
      </c>
      <c r="D236" s="10">
        <v>12</v>
      </c>
      <c r="E236" s="13">
        <v>500000</v>
      </c>
      <c r="F236" s="14" t="s">
        <v>243</v>
      </c>
      <c r="G236" s="14" t="s">
        <v>244</v>
      </c>
      <c r="H236" s="15" t="s">
        <v>254</v>
      </c>
      <c r="I236" s="8"/>
      <c r="J236" s="10"/>
      <c r="AV236" s="15" t="s">
        <v>181</v>
      </c>
      <c r="AW236" s="15" t="s">
        <v>182</v>
      </c>
      <c r="AX236" s="15" t="s">
        <v>941</v>
      </c>
      <c r="BH236" s="15" t="s">
        <v>184</v>
      </c>
      <c r="BI236" s="15" t="s">
        <v>185</v>
      </c>
      <c r="BJ236" s="15" t="s">
        <v>186</v>
      </c>
      <c r="BK236" s="15" t="s">
        <v>187</v>
      </c>
      <c r="BL236" s="15" t="s">
        <v>188</v>
      </c>
      <c r="BM236" s="15" t="s">
        <v>189</v>
      </c>
      <c r="BN236" s="15" t="s">
        <v>190</v>
      </c>
      <c r="BO236" s="15" t="s">
        <v>191</v>
      </c>
      <c r="BR236" s="15" t="s">
        <v>192</v>
      </c>
      <c r="BS236" s="15" t="s">
        <v>193</v>
      </c>
      <c r="BT236" s="15" t="s">
        <v>194</v>
      </c>
      <c r="BU236" s="15" t="s">
        <v>195</v>
      </c>
      <c r="BV236" s="15" t="s">
        <v>196</v>
      </c>
      <c r="BW236" s="15" t="s">
        <v>251</v>
      </c>
      <c r="CB236" s="15" t="s">
        <v>129</v>
      </c>
      <c r="CC236" s="15">
        <v>1</v>
      </c>
      <c r="CN236" s="15" t="s">
        <v>198</v>
      </c>
      <c r="CW236" s="10">
        <v>2</v>
      </c>
      <c r="CX236" s="15" t="s">
        <v>942</v>
      </c>
    </row>
    <row r="237" spans="1:102" s="15" customFormat="1" x14ac:dyDescent="0.3">
      <c r="A237" s="11" t="s">
        <v>126</v>
      </c>
      <c r="B237" s="10" t="s">
        <v>943</v>
      </c>
      <c r="C237" s="12" t="s">
        <v>3879</v>
      </c>
      <c r="D237" s="10">
        <v>12</v>
      </c>
      <c r="E237" s="13">
        <v>100000</v>
      </c>
      <c r="F237" s="14" t="s">
        <v>243</v>
      </c>
      <c r="G237" s="14" t="s">
        <v>244</v>
      </c>
      <c r="H237" s="15" t="s">
        <v>254</v>
      </c>
      <c r="I237" s="8"/>
      <c r="J237" s="10"/>
      <c r="AV237" s="15" t="s">
        <v>181</v>
      </c>
      <c r="AW237" s="15" t="s">
        <v>182</v>
      </c>
      <c r="AX237" s="15" t="s">
        <v>944</v>
      </c>
      <c r="BH237" s="15" t="s">
        <v>184</v>
      </c>
      <c r="BI237" s="15" t="s">
        <v>185</v>
      </c>
      <c r="BJ237" s="15" t="s">
        <v>186</v>
      </c>
      <c r="BK237" s="15" t="s">
        <v>187</v>
      </c>
      <c r="BL237" s="15" t="s">
        <v>188</v>
      </c>
      <c r="BM237" s="15" t="s">
        <v>189</v>
      </c>
      <c r="BN237" s="15" t="s">
        <v>190</v>
      </c>
      <c r="BO237" s="15" t="s">
        <v>191</v>
      </c>
      <c r="BR237" s="15" t="s">
        <v>192</v>
      </c>
      <c r="BS237" s="15" t="s">
        <v>193</v>
      </c>
      <c r="BT237" s="15" t="s">
        <v>194</v>
      </c>
      <c r="BU237" s="15" t="s">
        <v>195</v>
      </c>
      <c r="BV237" s="15" t="s">
        <v>196</v>
      </c>
      <c r="BW237" s="15" t="s">
        <v>456</v>
      </c>
      <c r="CB237" s="15" t="s">
        <v>129</v>
      </c>
      <c r="CC237" s="15">
        <v>1</v>
      </c>
      <c r="CN237" s="15" t="s">
        <v>198</v>
      </c>
      <c r="CW237" s="10">
        <v>2</v>
      </c>
      <c r="CX237" s="15" t="s">
        <v>945</v>
      </c>
    </row>
    <row r="238" spans="1:102" s="15" customFormat="1" x14ac:dyDescent="0.3">
      <c r="A238" s="11" t="s">
        <v>126</v>
      </c>
      <c r="B238" s="10" t="s">
        <v>946</v>
      </c>
      <c r="C238" s="12" t="s">
        <v>3880</v>
      </c>
      <c r="D238" s="10">
        <v>12</v>
      </c>
      <c r="E238" s="13">
        <v>1000000</v>
      </c>
      <c r="F238" s="14" t="s">
        <v>209</v>
      </c>
      <c r="G238" s="14" t="s">
        <v>210</v>
      </c>
      <c r="H238" s="15" t="s">
        <v>211</v>
      </c>
      <c r="I238" s="8"/>
      <c r="J238" s="10"/>
      <c r="AV238" s="15" t="s">
        <v>212</v>
      </c>
      <c r="AW238" s="15" t="s">
        <v>213</v>
      </c>
      <c r="AX238" s="15" t="s">
        <v>947</v>
      </c>
      <c r="BH238" s="15" t="s">
        <v>184</v>
      </c>
      <c r="BI238" s="15" t="s">
        <v>185</v>
      </c>
      <c r="BJ238" s="15" t="s">
        <v>186</v>
      </c>
      <c r="BK238" s="15" t="s">
        <v>187</v>
      </c>
      <c r="BL238" s="15" t="s">
        <v>188</v>
      </c>
      <c r="BM238" s="15" t="s">
        <v>189</v>
      </c>
      <c r="BN238" s="15" t="s">
        <v>190</v>
      </c>
      <c r="BO238" s="15" t="s">
        <v>191</v>
      </c>
      <c r="BR238" s="15" t="s">
        <v>192</v>
      </c>
      <c r="BS238" s="15" t="s">
        <v>193</v>
      </c>
      <c r="BT238" s="15" t="s">
        <v>194</v>
      </c>
      <c r="BU238" s="15" t="s">
        <v>195</v>
      </c>
      <c r="BV238" s="15" t="s">
        <v>196</v>
      </c>
      <c r="BW238" s="15" t="s">
        <v>196</v>
      </c>
      <c r="CB238" s="15" t="s">
        <v>129</v>
      </c>
      <c r="CC238" s="15">
        <v>1</v>
      </c>
      <c r="CN238" s="15" t="s">
        <v>198</v>
      </c>
      <c r="CW238" s="10">
        <v>2</v>
      </c>
      <c r="CX238" s="15" t="s">
        <v>948</v>
      </c>
    </row>
    <row r="239" spans="1:102" s="15" customFormat="1" x14ac:dyDescent="0.3">
      <c r="A239" s="11" t="s">
        <v>126</v>
      </c>
      <c r="B239" s="10" t="s">
        <v>949</v>
      </c>
      <c r="C239" s="12" t="s">
        <v>950</v>
      </c>
      <c r="D239" s="10">
        <v>12</v>
      </c>
      <c r="E239" s="13">
        <v>1000000</v>
      </c>
      <c r="F239" s="14" t="s">
        <v>210</v>
      </c>
      <c r="G239" s="14" t="s">
        <v>210</v>
      </c>
      <c r="H239" s="15" t="s">
        <v>270</v>
      </c>
      <c r="I239" s="8"/>
      <c r="J239" s="10"/>
      <c r="AW239" s="15" t="s">
        <v>128</v>
      </c>
      <c r="AX239" s="15" t="s">
        <v>271</v>
      </c>
      <c r="BH239" s="15" t="s">
        <v>184</v>
      </c>
      <c r="BI239" s="15" t="s">
        <v>185</v>
      </c>
      <c r="BJ239" s="15" t="s">
        <v>186</v>
      </c>
      <c r="BK239" s="15" t="s">
        <v>187</v>
      </c>
      <c r="BL239" s="15" t="s">
        <v>188</v>
      </c>
      <c r="BM239" s="15" t="s">
        <v>189</v>
      </c>
      <c r="BN239" s="15" t="s">
        <v>190</v>
      </c>
      <c r="BO239" s="15" t="s">
        <v>191</v>
      </c>
      <c r="BR239" s="15" t="s">
        <v>192</v>
      </c>
      <c r="BS239" s="15" t="s">
        <v>193</v>
      </c>
      <c r="BT239" s="15" t="s">
        <v>194</v>
      </c>
      <c r="BU239" s="15" t="s">
        <v>195</v>
      </c>
      <c r="BV239" s="15" t="s">
        <v>196</v>
      </c>
      <c r="BW239" s="15" t="s">
        <v>272</v>
      </c>
      <c r="CB239" s="15" t="s">
        <v>128</v>
      </c>
      <c r="CC239" s="15">
        <v>1</v>
      </c>
      <c r="CN239" s="15" t="s">
        <v>273</v>
      </c>
      <c r="CW239" s="10">
        <v>2</v>
      </c>
      <c r="CX239" s="15" t="s">
        <v>951</v>
      </c>
    </row>
    <row r="240" spans="1:102" s="15" customFormat="1" x14ac:dyDescent="0.3">
      <c r="A240" s="11" t="s">
        <v>126</v>
      </c>
      <c r="B240" s="10" t="s">
        <v>952</v>
      </c>
      <c r="C240" s="12" t="s">
        <v>953</v>
      </c>
      <c r="D240" s="10">
        <v>12</v>
      </c>
      <c r="E240" s="13">
        <v>1000000</v>
      </c>
      <c r="F240" s="14" t="s">
        <v>210</v>
      </c>
      <c r="G240" s="14" t="s">
        <v>210</v>
      </c>
      <c r="H240" s="15" t="s">
        <v>270</v>
      </c>
      <c r="I240" s="8"/>
      <c r="J240" s="10"/>
      <c r="AW240" s="15" t="s">
        <v>128</v>
      </c>
      <c r="AX240" s="15" t="s">
        <v>276</v>
      </c>
      <c r="BH240" s="15" t="s">
        <v>184</v>
      </c>
      <c r="BI240" s="15" t="s">
        <v>185</v>
      </c>
      <c r="BJ240" s="15" t="s">
        <v>186</v>
      </c>
      <c r="BK240" s="15" t="s">
        <v>187</v>
      </c>
      <c r="BL240" s="15" t="s">
        <v>188</v>
      </c>
      <c r="BM240" s="15" t="s">
        <v>189</v>
      </c>
      <c r="BN240" s="15" t="s">
        <v>190</v>
      </c>
      <c r="BO240" s="15" t="s">
        <v>191</v>
      </c>
      <c r="BR240" s="15" t="s">
        <v>192</v>
      </c>
      <c r="BS240" s="15" t="s">
        <v>193</v>
      </c>
      <c r="BT240" s="15" t="s">
        <v>194</v>
      </c>
      <c r="BU240" s="15" t="s">
        <v>195</v>
      </c>
      <c r="BV240" s="15" t="s">
        <v>196</v>
      </c>
      <c r="BW240" s="15" t="s">
        <v>272</v>
      </c>
      <c r="CB240" s="15" t="s">
        <v>128</v>
      </c>
      <c r="CC240" s="15">
        <v>1</v>
      </c>
      <c r="CN240" s="15" t="s">
        <v>273</v>
      </c>
      <c r="CW240" s="10">
        <v>2</v>
      </c>
      <c r="CX240" s="15" t="s">
        <v>954</v>
      </c>
    </row>
    <row r="241" spans="1:102" s="15" customFormat="1" x14ac:dyDescent="0.3">
      <c r="A241" s="11" t="s">
        <v>126</v>
      </c>
      <c r="B241" s="10" t="s">
        <v>955</v>
      </c>
      <c r="C241" s="12" t="s">
        <v>956</v>
      </c>
      <c r="D241" s="10">
        <v>12</v>
      </c>
      <c r="E241" s="13">
        <v>100000</v>
      </c>
      <c r="F241" s="14" t="s">
        <v>210</v>
      </c>
      <c r="G241" s="14" t="s">
        <v>210</v>
      </c>
      <c r="H241" s="15" t="s">
        <v>957</v>
      </c>
      <c r="I241" s="8"/>
      <c r="J241" s="10"/>
      <c r="AW241" s="15" t="s">
        <v>128</v>
      </c>
      <c r="AX241" s="15" t="s">
        <v>958</v>
      </c>
      <c r="BH241" s="15" t="s">
        <v>184</v>
      </c>
      <c r="BI241" s="15" t="s">
        <v>185</v>
      </c>
      <c r="BJ241" s="15" t="s">
        <v>186</v>
      </c>
      <c r="BK241" s="15" t="s">
        <v>187</v>
      </c>
      <c r="BL241" s="15" t="s">
        <v>188</v>
      </c>
      <c r="BM241" s="15" t="s">
        <v>189</v>
      </c>
      <c r="BN241" s="15" t="s">
        <v>190</v>
      </c>
      <c r="BO241" s="15" t="s">
        <v>191</v>
      </c>
      <c r="BR241" s="15" t="s">
        <v>192</v>
      </c>
      <c r="BS241" s="15" t="s">
        <v>193</v>
      </c>
      <c r="BT241" s="15" t="s">
        <v>194</v>
      </c>
      <c r="BU241" s="15" t="s">
        <v>195</v>
      </c>
      <c r="BV241" s="15" t="s">
        <v>196</v>
      </c>
      <c r="BW241" s="15" t="s">
        <v>196</v>
      </c>
      <c r="CB241" s="15" t="s">
        <v>128</v>
      </c>
      <c r="CC241" s="15">
        <v>1</v>
      </c>
      <c r="CN241" s="15" t="s">
        <v>198</v>
      </c>
      <c r="CW241" s="10">
        <v>2</v>
      </c>
      <c r="CX241" s="15" t="s">
        <v>959</v>
      </c>
    </row>
    <row r="242" spans="1:102" s="15" customFormat="1" x14ac:dyDescent="0.3">
      <c r="A242" s="11" t="s">
        <v>126</v>
      </c>
      <c r="B242" s="10" t="s">
        <v>960</v>
      </c>
      <c r="C242" s="12" t="s">
        <v>961</v>
      </c>
      <c r="D242" s="10">
        <v>12</v>
      </c>
      <c r="E242" s="13">
        <v>1000000</v>
      </c>
      <c r="F242" s="14" t="s">
        <v>210</v>
      </c>
      <c r="G242" s="14" t="s">
        <v>210</v>
      </c>
      <c r="H242" s="15" t="s">
        <v>211</v>
      </c>
      <c r="I242" s="8"/>
      <c r="J242" s="10"/>
      <c r="AW242" s="15" t="s">
        <v>128</v>
      </c>
      <c r="AX242" s="15" t="s">
        <v>962</v>
      </c>
      <c r="BH242" s="15" t="s">
        <v>184</v>
      </c>
      <c r="BI242" s="15" t="s">
        <v>185</v>
      </c>
      <c r="BJ242" s="15" t="s">
        <v>186</v>
      </c>
      <c r="BK242" s="15" t="s">
        <v>187</v>
      </c>
      <c r="BL242" s="15" t="s">
        <v>188</v>
      </c>
      <c r="BM242" s="15" t="s">
        <v>189</v>
      </c>
      <c r="BN242" s="15" t="s">
        <v>190</v>
      </c>
      <c r="BO242" s="15" t="s">
        <v>191</v>
      </c>
      <c r="BR242" s="15" t="s">
        <v>192</v>
      </c>
      <c r="BS242" s="15" t="s">
        <v>193</v>
      </c>
      <c r="BT242" s="15" t="s">
        <v>194</v>
      </c>
      <c r="BU242" s="15" t="s">
        <v>195</v>
      </c>
      <c r="BV242" s="15" t="s">
        <v>196</v>
      </c>
      <c r="BW242" s="15" t="s">
        <v>251</v>
      </c>
      <c r="CB242" s="15" t="s">
        <v>128</v>
      </c>
      <c r="CC242" s="15">
        <v>1</v>
      </c>
      <c r="CN242" s="15" t="s">
        <v>963</v>
      </c>
      <c r="CW242" s="10">
        <v>2</v>
      </c>
      <c r="CX242" s="15" t="s">
        <v>964</v>
      </c>
    </row>
    <row r="243" spans="1:102" s="15" customFormat="1" x14ac:dyDescent="0.3">
      <c r="A243" s="11" t="s">
        <v>126</v>
      </c>
      <c r="B243" s="10" t="s">
        <v>965</v>
      </c>
      <c r="C243" s="12" t="s">
        <v>3881</v>
      </c>
      <c r="D243" s="10">
        <v>12</v>
      </c>
      <c r="E243" s="13">
        <v>100000</v>
      </c>
      <c r="F243" s="14" t="s">
        <v>243</v>
      </c>
      <c r="G243" s="14" t="s">
        <v>244</v>
      </c>
      <c r="H243" s="15" t="s">
        <v>211</v>
      </c>
      <c r="I243" s="8"/>
      <c r="J243" s="10"/>
      <c r="AV243" s="15" t="s">
        <v>181</v>
      </c>
      <c r="AW243" s="15" t="s">
        <v>182</v>
      </c>
      <c r="AX243" s="15" t="s">
        <v>966</v>
      </c>
      <c r="BH243" s="15" t="s">
        <v>184</v>
      </c>
      <c r="BI243" s="15" t="s">
        <v>185</v>
      </c>
      <c r="BJ243" s="15" t="s">
        <v>186</v>
      </c>
      <c r="BK243" s="15" t="s">
        <v>187</v>
      </c>
      <c r="BL243" s="15" t="s">
        <v>188</v>
      </c>
      <c r="BM243" s="15" t="s">
        <v>189</v>
      </c>
      <c r="BN243" s="15" t="s">
        <v>190</v>
      </c>
      <c r="BO243" s="15" t="s">
        <v>191</v>
      </c>
      <c r="BR243" s="15" t="s">
        <v>192</v>
      </c>
      <c r="BS243" s="15" t="s">
        <v>193</v>
      </c>
      <c r="BT243" s="15" t="s">
        <v>194</v>
      </c>
      <c r="BU243" s="15" t="s">
        <v>195</v>
      </c>
      <c r="BV243" s="15" t="s">
        <v>196</v>
      </c>
      <c r="BW243" s="15" t="s">
        <v>251</v>
      </c>
      <c r="CB243" s="15" t="s">
        <v>129</v>
      </c>
      <c r="CC243" s="15">
        <v>1</v>
      </c>
      <c r="CN243" s="15" t="s">
        <v>198</v>
      </c>
      <c r="CW243" s="10">
        <v>2</v>
      </c>
      <c r="CX243" s="15" t="s">
        <v>967</v>
      </c>
    </row>
    <row r="244" spans="1:102" s="15" customFormat="1" x14ac:dyDescent="0.3">
      <c r="A244" s="11" t="s">
        <v>126</v>
      </c>
      <c r="B244" s="10" t="s">
        <v>968</v>
      </c>
      <c r="C244" s="12" t="s">
        <v>3882</v>
      </c>
      <c r="D244" s="10">
        <v>12</v>
      </c>
      <c r="E244" s="13">
        <v>100000</v>
      </c>
      <c r="F244" s="14" t="s">
        <v>243</v>
      </c>
      <c r="G244" s="14" t="s">
        <v>244</v>
      </c>
      <c r="H244" s="15" t="s">
        <v>254</v>
      </c>
      <c r="I244" s="8"/>
      <c r="J244" s="10"/>
      <c r="AV244" s="15" t="s">
        <v>181</v>
      </c>
      <c r="AW244" s="15" t="s">
        <v>182</v>
      </c>
      <c r="AX244" s="15" t="s">
        <v>969</v>
      </c>
      <c r="BH244" s="15" t="s">
        <v>184</v>
      </c>
      <c r="BI244" s="15" t="s">
        <v>185</v>
      </c>
      <c r="BJ244" s="15" t="s">
        <v>186</v>
      </c>
      <c r="BK244" s="15" t="s">
        <v>187</v>
      </c>
      <c r="BL244" s="15" t="s">
        <v>188</v>
      </c>
      <c r="BM244" s="15" t="s">
        <v>189</v>
      </c>
      <c r="BN244" s="15" t="s">
        <v>190</v>
      </c>
      <c r="BO244" s="15" t="s">
        <v>191</v>
      </c>
      <c r="BR244" s="15" t="s">
        <v>192</v>
      </c>
      <c r="BS244" s="15" t="s">
        <v>193</v>
      </c>
      <c r="BT244" s="15" t="s">
        <v>194</v>
      </c>
      <c r="BU244" s="15" t="s">
        <v>195</v>
      </c>
      <c r="BV244" s="15" t="s">
        <v>196</v>
      </c>
      <c r="BW244" s="15" t="s">
        <v>456</v>
      </c>
      <c r="CB244" s="15" t="s">
        <v>129</v>
      </c>
      <c r="CC244" s="15">
        <v>1</v>
      </c>
      <c r="CN244" s="15" t="s">
        <v>198</v>
      </c>
      <c r="CW244" s="10">
        <v>2</v>
      </c>
      <c r="CX244" s="15" t="s">
        <v>970</v>
      </c>
    </row>
    <row r="245" spans="1:102" s="15" customFormat="1" x14ac:dyDescent="0.3">
      <c r="A245" s="11" t="s">
        <v>126</v>
      </c>
      <c r="B245" s="10" t="s">
        <v>971</v>
      </c>
      <c r="C245" s="12" t="s">
        <v>3883</v>
      </c>
      <c r="D245" s="10">
        <v>12</v>
      </c>
      <c r="E245" s="13">
        <v>100000</v>
      </c>
      <c r="F245" s="14" t="s">
        <v>243</v>
      </c>
      <c r="G245" s="14" t="s">
        <v>244</v>
      </c>
      <c r="H245" s="15" t="s">
        <v>211</v>
      </c>
      <c r="I245" s="8"/>
      <c r="J245" s="10"/>
      <c r="AV245" s="15" t="s">
        <v>181</v>
      </c>
      <c r="AW245" s="15" t="s">
        <v>182</v>
      </c>
      <c r="AX245" s="15" t="s">
        <v>972</v>
      </c>
      <c r="BH245" s="15" t="s">
        <v>184</v>
      </c>
      <c r="BI245" s="15" t="s">
        <v>185</v>
      </c>
      <c r="BJ245" s="15" t="s">
        <v>186</v>
      </c>
      <c r="BK245" s="15" t="s">
        <v>187</v>
      </c>
      <c r="BL245" s="15" t="s">
        <v>188</v>
      </c>
      <c r="BM245" s="15" t="s">
        <v>189</v>
      </c>
      <c r="BN245" s="15" t="s">
        <v>190</v>
      </c>
      <c r="BO245" s="15" t="s">
        <v>191</v>
      </c>
      <c r="BR245" s="15" t="s">
        <v>192</v>
      </c>
      <c r="BS245" s="15" t="s">
        <v>193</v>
      </c>
      <c r="BT245" s="15" t="s">
        <v>194</v>
      </c>
      <c r="BU245" s="15" t="s">
        <v>195</v>
      </c>
      <c r="BV245" s="15" t="s">
        <v>196</v>
      </c>
      <c r="BW245" s="15" t="s">
        <v>251</v>
      </c>
      <c r="CB245" s="15" t="s">
        <v>129</v>
      </c>
      <c r="CC245" s="15">
        <v>1</v>
      </c>
      <c r="CN245" s="15" t="s">
        <v>198</v>
      </c>
      <c r="CW245" s="10">
        <v>2</v>
      </c>
      <c r="CX245" s="15" t="s">
        <v>973</v>
      </c>
    </row>
    <row r="246" spans="1:102" s="15" customFormat="1" x14ac:dyDescent="0.3">
      <c r="A246" s="11" t="s">
        <v>126</v>
      </c>
      <c r="B246" s="10" t="s">
        <v>974</v>
      </c>
      <c r="C246" s="12" t="s">
        <v>975</v>
      </c>
      <c r="D246" s="10">
        <v>12</v>
      </c>
      <c r="E246" s="13">
        <v>500000</v>
      </c>
      <c r="F246" s="14" t="s">
        <v>244</v>
      </c>
      <c r="G246" s="14" t="s">
        <v>244</v>
      </c>
      <c r="H246" s="15" t="s">
        <v>270</v>
      </c>
      <c r="I246" s="8"/>
      <c r="J246" s="10"/>
      <c r="AW246" s="15" t="s">
        <v>128</v>
      </c>
      <c r="AX246" s="15" t="s">
        <v>762</v>
      </c>
      <c r="BH246" s="15" t="s">
        <v>184</v>
      </c>
      <c r="BI246" s="15" t="s">
        <v>185</v>
      </c>
      <c r="BJ246" s="15" t="s">
        <v>186</v>
      </c>
      <c r="BK246" s="15" t="s">
        <v>187</v>
      </c>
      <c r="BL246" s="15" t="s">
        <v>188</v>
      </c>
      <c r="BM246" s="15" t="s">
        <v>189</v>
      </c>
      <c r="BN246" s="15" t="s">
        <v>190</v>
      </c>
      <c r="BO246" s="15" t="s">
        <v>191</v>
      </c>
      <c r="BR246" s="15" t="s">
        <v>192</v>
      </c>
      <c r="BS246" s="15" t="s">
        <v>193</v>
      </c>
      <c r="BT246" s="15" t="s">
        <v>194</v>
      </c>
      <c r="BU246" s="15" t="s">
        <v>195</v>
      </c>
      <c r="BV246" s="15" t="s">
        <v>196</v>
      </c>
      <c r="BW246" s="15" t="s">
        <v>272</v>
      </c>
      <c r="CB246" s="15" t="s">
        <v>128</v>
      </c>
      <c r="CC246" s="15">
        <v>1</v>
      </c>
      <c r="CN246" s="15" t="s">
        <v>273</v>
      </c>
      <c r="CW246" s="10">
        <v>2</v>
      </c>
      <c r="CX246" s="15" t="s">
        <v>976</v>
      </c>
    </row>
    <row r="247" spans="1:102" s="15" customFormat="1" x14ac:dyDescent="0.3">
      <c r="A247" s="11" t="s">
        <v>126</v>
      </c>
      <c r="B247" s="10" t="s">
        <v>977</v>
      </c>
      <c r="C247" s="12" t="s">
        <v>978</v>
      </c>
      <c r="D247" s="10">
        <v>12</v>
      </c>
      <c r="E247" s="13">
        <v>100000</v>
      </c>
      <c r="F247" s="14" t="s">
        <v>244</v>
      </c>
      <c r="G247" s="14" t="s">
        <v>244</v>
      </c>
      <c r="H247" s="15" t="s">
        <v>211</v>
      </c>
      <c r="I247" s="8"/>
      <c r="J247" s="10"/>
      <c r="AW247" s="15" t="s">
        <v>128</v>
      </c>
      <c r="AX247" s="15" t="s">
        <v>393</v>
      </c>
      <c r="BH247" s="15" t="s">
        <v>184</v>
      </c>
      <c r="BI247" s="15" t="s">
        <v>185</v>
      </c>
      <c r="BJ247" s="15" t="s">
        <v>186</v>
      </c>
      <c r="BK247" s="15" t="s">
        <v>187</v>
      </c>
      <c r="BL247" s="15" t="s">
        <v>188</v>
      </c>
      <c r="BM247" s="15" t="s">
        <v>189</v>
      </c>
      <c r="BN247" s="15" t="s">
        <v>190</v>
      </c>
      <c r="BO247" s="15" t="s">
        <v>191</v>
      </c>
      <c r="BR247" s="15" t="s">
        <v>192</v>
      </c>
      <c r="BS247" s="15" t="s">
        <v>193</v>
      </c>
      <c r="BT247" s="15" t="s">
        <v>194</v>
      </c>
      <c r="BU247" s="15" t="s">
        <v>195</v>
      </c>
      <c r="BV247" s="15" t="s">
        <v>196</v>
      </c>
      <c r="BW247" s="15" t="s">
        <v>251</v>
      </c>
      <c r="CB247" s="15" t="s">
        <v>128</v>
      </c>
      <c r="CC247" s="15">
        <v>1</v>
      </c>
      <c r="CN247" s="15" t="s">
        <v>198</v>
      </c>
      <c r="CW247" s="10">
        <v>2</v>
      </c>
      <c r="CX247" s="15" t="s">
        <v>979</v>
      </c>
    </row>
    <row r="248" spans="1:102" s="15" customFormat="1" x14ac:dyDescent="0.3">
      <c r="A248" s="11" t="s">
        <v>126</v>
      </c>
      <c r="B248" s="10" t="s">
        <v>980</v>
      </c>
      <c r="C248" s="12" t="s">
        <v>3884</v>
      </c>
      <c r="D248" s="10">
        <v>12</v>
      </c>
      <c r="E248" s="13">
        <v>100000</v>
      </c>
      <c r="F248" s="14" t="s">
        <v>209</v>
      </c>
      <c r="G248" s="14" t="s">
        <v>210</v>
      </c>
      <c r="H248" s="15" t="s">
        <v>211</v>
      </c>
      <c r="I248" s="8"/>
      <c r="J248" s="10"/>
      <c r="AV248" s="15" t="s">
        <v>212</v>
      </c>
      <c r="AW248" s="15" t="s">
        <v>213</v>
      </c>
      <c r="AX248" s="15" t="s">
        <v>981</v>
      </c>
      <c r="BH248" s="15" t="s">
        <v>184</v>
      </c>
      <c r="BI248" s="15" t="s">
        <v>185</v>
      </c>
      <c r="BJ248" s="15" t="s">
        <v>186</v>
      </c>
      <c r="BK248" s="15" t="s">
        <v>187</v>
      </c>
      <c r="BL248" s="15" t="s">
        <v>188</v>
      </c>
      <c r="BM248" s="15" t="s">
        <v>189</v>
      </c>
      <c r="BN248" s="15" t="s">
        <v>190</v>
      </c>
      <c r="BO248" s="15" t="s">
        <v>191</v>
      </c>
      <c r="BR248" s="15" t="s">
        <v>192</v>
      </c>
      <c r="BS248" s="15" t="s">
        <v>193</v>
      </c>
      <c r="BT248" s="15" t="s">
        <v>194</v>
      </c>
      <c r="BU248" s="15" t="s">
        <v>195</v>
      </c>
      <c r="BV248" s="15" t="s">
        <v>196</v>
      </c>
      <c r="BW248" s="15" t="s">
        <v>251</v>
      </c>
      <c r="CB248" s="15" t="s">
        <v>129</v>
      </c>
      <c r="CC248" s="15">
        <v>1</v>
      </c>
      <c r="CN248" s="15" t="s">
        <v>198</v>
      </c>
      <c r="CW248" s="10">
        <v>2</v>
      </c>
      <c r="CX248" s="15" t="s">
        <v>982</v>
      </c>
    </row>
    <row r="249" spans="1:102" s="15" customFormat="1" x14ac:dyDescent="0.3">
      <c r="A249" s="11" t="s">
        <v>126</v>
      </c>
      <c r="B249" s="10" t="s">
        <v>983</v>
      </c>
      <c r="C249" s="12" t="s">
        <v>3885</v>
      </c>
      <c r="D249" s="10">
        <v>12</v>
      </c>
      <c r="E249" s="13">
        <v>20000</v>
      </c>
      <c r="F249" s="14" t="s">
        <v>243</v>
      </c>
      <c r="G249" s="14" t="s">
        <v>244</v>
      </c>
      <c r="H249" s="15" t="s">
        <v>270</v>
      </c>
      <c r="I249" s="8"/>
      <c r="J249" s="10"/>
      <c r="AV249" s="15" t="s">
        <v>181</v>
      </c>
      <c r="AW249" s="15" t="s">
        <v>182</v>
      </c>
      <c r="AX249" s="15" t="s">
        <v>984</v>
      </c>
      <c r="BF249" s="15" t="s">
        <v>467</v>
      </c>
      <c r="BG249" s="15" t="s">
        <v>468</v>
      </c>
      <c r="BH249" s="15" t="s">
        <v>184</v>
      </c>
      <c r="BI249" s="15" t="s">
        <v>185</v>
      </c>
      <c r="BJ249" s="15" t="s">
        <v>186</v>
      </c>
      <c r="BK249" s="15" t="s">
        <v>187</v>
      </c>
      <c r="BL249" s="15" t="s">
        <v>188</v>
      </c>
      <c r="BM249" s="15" t="s">
        <v>189</v>
      </c>
      <c r="BN249" s="15" t="s">
        <v>190</v>
      </c>
      <c r="BO249" s="15" t="s">
        <v>191</v>
      </c>
      <c r="BR249" s="15" t="s">
        <v>192</v>
      </c>
      <c r="BS249" s="15" t="s">
        <v>193</v>
      </c>
      <c r="BT249" s="15" t="s">
        <v>194</v>
      </c>
      <c r="BU249" s="15" t="s">
        <v>195</v>
      </c>
      <c r="BV249" s="15" t="s">
        <v>196</v>
      </c>
      <c r="BW249" s="15" t="s">
        <v>272</v>
      </c>
      <c r="CB249" s="15" t="s">
        <v>129</v>
      </c>
      <c r="CC249" s="15">
        <v>1</v>
      </c>
      <c r="CN249" s="15" t="s">
        <v>985</v>
      </c>
      <c r="CW249" s="10">
        <v>2</v>
      </c>
      <c r="CX249" s="15" t="s">
        <v>986</v>
      </c>
    </row>
    <row r="250" spans="1:102" s="15" customFormat="1" x14ac:dyDescent="0.3">
      <c r="A250" s="11" t="s">
        <v>126</v>
      </c>
      <c r="B250" s="10" t="s">
        <v>987</v>
      </c>
      <c r="C250" s="12" t="s">
        <v>3886</v>
      </c>
      <c r="D250" s="10">
        <v>12</v>
      </c>
      <c r="E250" s="13">
        <v>100000</v>
      </c>
      <c r="F250" s="14" t="s">
        <v>243</v>
      </c>
      <c r="G250" s="14" t="s">
        <v>244</v>
      </c>
      <c r="H250" s="15" t="s">
        <v>270</v>
      </c>
      <c r="I250" s="8"/>
      <c r="J250" s="10"/>
      <c r="AV250" s="15" t="s">
        <v>181</v>
      </c>
      <c r="AW250" s="15" t="s">
        <v>182</v>
      </c>
      <c r="AX250" s="15" t="s">
        <v>988</v>
      </c>
      <c r="BH250" s="15" t="s">
        <v>184</v>
      </c>
      <c r="BI250" s="15" t="s">
        <v>185</v>
      </c>
      <c r="BJ250" s="15" t="s">
        <v>186</v>
      </c>
      <c r="BK250" s="15" t="s">
        <v>187</v>
      </c>
      <c r="BL250" s="15" t="s">
        <v>188</v>
      </c>
      <c r="BM250" s="15" t="s">
        <v>189</v>
      </c>
      <c r="BN250" s="15" t="s">
        <v>190</v>
      </c>
      <c r="BO250" s="15" t="s">
        <v>191</v>
      </c>
      <c r="BR250" s="15" t="s">
        <v>192</v>
      </c>
      <c r="BS250" s="15" t="s">
        <v>193</v>
      </c>
      <c r="BT250" s="15" t="s">
        <v>194</v>
      </c>
      <c r="BU250" s="15" t="s">
        <v>195</v>
      </c>
      <c r="BV250" s="15" t="s">
        <v>196</v>
      </c>
      <c r="BW250" s="15" t="s">
        <v>272</v>
      </c>
      <c r="CB250" s="15" t="s">
        <v>129</v>
      </c>
      <c r="CC250" s="15">
        <v>1</v>
      </c>
      <c r="CN250" s="15" t="s">
        <v>273</v>
      </c>
      <c r="CW250" s="10">
        <v>2</v>
      </c>
      <c r="CX250" s="15" t="s">
        <v>989</v>
      </c>
    </row>
    <row r="251" spans="1:102" s="15" customFormat="1" x14ac:dyDescent="0.3">
      <c r="A251" s="11" t="s">
        <v>126</v>
      </c>
      <c r="B251" s="10" t="s">
        <v>990</v>
      </c>
      <c r="C251" s="12" t="s">
        <v>991</v>
      </c>
      <c r="D251" s="10">
        <v>12</v>
      </c>
      <c r="E251" s="13">
        <v>100000</v>
      </c>
      <c r="F251" s="14" t="s">
        <v>244</v>
      </c>
      <c r="G251" s="14" t="s">
        <v>244</v>
      </c>
      <c r="H251" s="15" t="s">
        <v>254</v>
      </c>
      <c r="I251" s="8"/>
      <c r="J251" s="10"/>
      <c r="AW251" s="15" t="s">
        <v>128</v>
      </c>
      <c r="AX251" s="15" t="s">
        <v>765</v>
      </c>
      <c r="BH251" s="15" t="s">
        <v>184</v>
      </c>
      <c r="BI251" s="15" t="s">
        <v>185</v>
      </c>
      <c r="BJ251" s="15" t="s">
        <v>186</v>
      </c>
      <c r="BK251" s="15" t="s">
        <v>187</v>
      </c>
      <c r="BL251" s="15" t="s">
        <v>188</v>
      </c>
      <c r="BM251" s="15" t="s">
        <v>189</v>
      </c>
      <c r="BN251" s="15" t="s">
        <v>190</v>
      </c>
      <c r="BO251" s="15" t="s">
        <v>191</v>
      </c>
      <c r="BR251" s="15" t="s">
        <v>192</v>
      </c>
      <c r="BS251" s="15" t="s">
        <v>193</v>
      </c>
      <c r="BT251" s="15" t="s">
        <v>194</v>
      </c>
      <c r="BU251" s="15" t="s">
        <v>195</v>
      </c>
      <c r="BV251" s="15" t="s">
        <v>196</v>
      </c>
      <c r="BW251" s="15" t="s">
        <v>251</v>
      </c>
      <c r="CB251" s="15" t="s">
        <v>128</v>
      </c>
      <c r="CC251" s="15">
        <v>1</v>
      </c>
      <c r="CN251" s="15" t="s">
        <v>198</v>
      </c>
      <c r="CW251" s="10">
        <v>2</v>
      </c>
      <c r="CX251" s="15" t="s">
        <v>992</v>
      </c>
    </row>
    <row r="252" spans="1:102" s="15" customFormat="1" x14ac:dyDescent="0.3">
      <c r="A252" s="11" t="s">
        <v>126</v>
      </c>
      <c r="B252" s="10" t="s">
        <v>993</v>
      </c>
      <c r="C252" s="12" t="s">
        <v>3887</v>
      </c>
      <c r="D252" s="10">
        <v>12</v>
      </c>
      <c r="E252" s="13">
        <v>1000000</v>
      </c>
      <c r="F252" s="14" t="s">
        <v>209</v>
      </c>
      <c r="G252" s="14" t="s">
        <v>210</v>
      </c>
      <c r="H252" s="15" t="s">
        <v>211</v>
      </c>
      <c r="I252" s="8"/>
      <c r="J252" s="10"/>
      <c r="AV252" s="15" t="s">
        <v>212</v>
      </c>
      <c r="AW252" s="15" t="s">
        <v>213</v>
      </c>
      <c r="AX252" s="15" t="s">
        <v>994</v>
      </c>
      <c r="BH252" s="15" t="s">
        <v>184</v>
      </c>
      <c r="BI252" s="15" t="s">
        <v>185</v>
      </c>
      <c r="BJ252" s="15" t="s">
        <v>186</v>
      </c>
      <c r="BK252" s="15" t="s">
        <v>187</v>
      </c>
      <c r="BL252" s="15" t="s">
        <v>188</v>
      </c>
      <c r="BM252" s="15" t="s">
        <v>189</v>
      </c>
      <c r="BN252" s="15" t="s">
        <v>190</v>
      </c>
      <c r="BO252" s="15" t="s">
        <v>191</v>
      </c>
      <c r="BR252" s="15" t="s">
        <v>192</v>
      </c>
      <c r="BS252" s="15" t="s">
        <v>193</v>
      </c>
      <c r="BT252" s="15" t="s">
        <v>194</v>
      </c>
      <c r="BU252" s="15" t="s">
        <v>195</v>
      </c>
      <c r="BV252" s="15" t="s">
        <v>196</v>
      </c>
      <c r="BW252" s="15" t="s">
        <v>196</v>
      </c>
      <c r="CB252" s="15" t="s">
        <v>129</v>
      </c>
      <c r="CC252" s="15">
        <v>1</v>
      </c>
      <c r="CN252" s="15" t="s">
        <v>198</v>
      </c>
      <c r="CW252" s="10">
        <v>2</v>
      </c>
      <c r="CX252" s="15" t="s">
        <v>995</v>
      </c>
    </row>
    <row r="253" spans="1:102" s="15" customFormat="1" x14ac:dyDescent="0.3">
      <c r="A253" s="11" t="s">
        <v>126</v>
      </c>
      <c r="B253" s="10" t="s">
        <v>996</v>
      </c>
      <c r="C253" s="12" t="s">
        <v>3888</v>
      </c>
      <c r="D253" s="10">
        <v>12</v>
      </c>
      <c r="E253" s="13">
        <v>1000000</v>
      </c>
      <c r="F253" s="14" t="s">
        <v>209</v>
      </c>
      <c r="G253" s="14" t="s">
        <v>210</v>
      </c>
      <c r="H253" s="15" t="s">
        <v>254</v>
      </c>
      <c r="I253" s="8"/>
      <c r="J253" s="10"/>
      <c r="AV253" s="15" t="s">
        <v>212</v>
      </c>
      <c r="AW253" s="15" t="s">
        <v>213</v>
      </c>
      <c r="AX253" s="15" t="s">
        <v>997</v>
      </c>
      <c r="BH253" s="15" t="s">
        <v>184</v>
      </c>
      <c r="BI253" s="15" t="s">
        <v>185</v>
      </c>
      <c r="BJ253" s="15" t="s">
        <v>186</v>
      </c>
      <c r="BK253" s="15" t="s">
        <v>187</v>
      </c>
      <c r="BL253" s="15" t="s">
        <v>188</v>
      </c>
      <c r="BM253" s="15" t="s">
        <v>189</v>
      </c>
      <c r="BN253" s="15" t="s">
        <v>190</v>
      </c>
      <c r="BO253" s="15" t="s">
        <v>191</v>
      </c>
      <c r="BR253" s="15" t="s">
        <v>192</v>
      </c>
      <c r="BS253" s="15" t="s">
        <v>193</v>
      </c>
      <c r="BT253" s="15" t="s">
        <v>194</v>
      </c>
      <c r="BU253" s="15" t="s">
        <v>195</v>
      </c>
      <c r="BV253" s="15" t="s">
        <v>196</v>
      </c>
      <c r="BW253" s="15" t="s">
        <v>460</v>
      </c>
      <c r="CB253" s="15" t="s">
        <v>129</v>
      </c>
      <c r="CC253" s="15">
        <v>1</v>
      </c>
      <c r="CN253" s="15" t="s">
        <v>198</v>
      </c>
      <c r="CW253" s="10">
        <v>2</v>
      </c>
      <c r="CX253" s="15" t="s">
        <v>998</v>
      </c>
    </row>
    <row r="254" spans="1:102" s="15" customFormat="1" x14ac:dyDescent="0.3">
      <c r="A254" s="11" t="s">
        <v>126</v>
      </c>
      <c r="B254" s="10" t="s">
        <v>999</v>
      </c>
      <c r="C254" s="12" t="s">
        <v>3889</v>
      </c>
      <c r="D254" s="10">
        <v>12</v>
      </c>
      <c r="E254" s="13">
        <v>1000000</v>
      </c>
      <c r="F254" s="14" t="s">
        <v>209</v>
      </c>
      <c r="G254" s="14" t="s">
        <v>210</v>
      </c>
      <c r="H254" s="15" t="s">
        <v>254</v>
      </c>
      <c r="I254" s="8"/>
      <c r="J254" s="10"/>
      <c r="AV254" s="15" t="s">
        <v>212</v>
      </c>
      <c r="AW254" s="15" t="s">
        <v>213</v>
      </c>
      <c r="AX254" s="15" t="s">
        <v>1000</v>
      </c>
      <c r="BH254" s="15" t="s">
        <v>184</v>
      </c>
      <c r="BI254" s="15" t="s">
        <v>185</v>
      </c>
      <c r="BJ254" s="15" t="s">
        <v>186</v>
      </c>
      <c r="BK254" s="15" t="s">
        <v>187</v>
      </c>
      <c r="BL254" s="15" t="s">
        <v>188</v>
      </c>
      <c r="BM254" s="15" t="s">
        <v>189</v>
      </c>
      <c r="BN254" s="15" t="s">
        <v>190</v>
      </c>
      <c r="BO254" s="15" t="s">
        <v>191</v>
      </c>
      <c r="BR254" s="15" t="s">
        <v>192</v>
      </c>
      <c r="BS254" s="15" t="s">
        <v>193</v>
      </c>
      <c r="BT254" s="15" t="s">
        <v>194</v>
      </c>
      <c r="BU254" s="15" t="s">
        <v>195</v>
      </c>
      <c r="BV254" s="15" t="s">
        <v>196</v>
      </c>
      <c r="BW254" s="15" t="s">
        <v>460</v>
      </c>
      <c r="CB254" s="15" t="s">
        <v>129</v>
      </c>
      <c r="CC254" s="15">
        <v>1</v>
      </c>
      <c r="CN254" s="15" t="s">
        <v>198</v>
      </c>
      <c r="CW254" s="10">
        <v>2</v>
      </c>
      <c r="CX254" s="15" t="s">
        <v>1001</v>
      </c>
    </row>
    <row r="255" spans="1:102" s="15" customFormat="1" x14ac:dyDescent="0.3">
      <c r="A255" s="11" t="s">
        <v>126</v>
      </c>
      <c r="B255" s="10" t="s">
        <v>1002</v>
      </c>
      <c r="C255" s="12" t="s">
        <v>3890</v>
      </c>
      <c r="D255" s="10">
        <v>12</v>
      </c>
      <c r="E255" s="13">
        <v>100000</v>
      </c>
      <c r="F255" s="14" t="s">
        <v>209</v>
      </c>
      <c r="G255" s="14" t="s">
        <v>210</v>
      </c>
      <c r="H255" s="15" t="s">
        <v>254</v>
      </c>
      <c r="I255" s="8"/>
      <c r="J255" s="10"/>
      <c r="AV255" s="15" t="s">
        <v>212</v>
      </c>
      <c r="AW255" s="15" t="s">
        <v>213</v>
      </c>
      <c r="AX255" s="15" t="s">
        <v>1003</v>
      </c>
      <c r="BH255" s="15" t="s">
        <v>184</v>
      </c>
      <c r="BI255" s="15" t="s">
        <v>185</v>
      </c>
      <c r="BJ255" s="15" t="s">
        <v>186</v>
      </c>
      <c r="BK255" s="15" t="s">
        <v>187</v>
      </c>
      <c r="BL255" s="15" t="s">
        <v>188</v>
      </c>
      <c r="BM255" s="15" t="s">
        <v>189</v>
      </c>
      <c r="BN255" s="15" t="s">
        <v>190</v>
      </c>
      <c r="BO255" s="15" t="s">
        <v>191</v>
      </c>
      <c r="BR255" s="15" t="s">
        <v>192</v>
      </c>
      <c r="BS255" s="15" t="s">
        <v>193</v>
      </c>
      <c r="BT255" s="15" t="s">
        <v>194</v>
      </c>
      <c r="BU255" s="15" t="s">
        <v>195</v>
      </c>
      <c r="BV255" s="15" t="s">
        <v>196</v>
      </c>
      <c r="BW255" s="15" t="s">
        <v>196</v>
      </c>
      <c r="CB255" s="15" t="s">
        <v>129</v>
      </c>
      <c r="CC255" s="15">
        <v>1</v>
      </c>
      <c r="CN255" s="15" t="s">
        <v>198</v>
      </c>
      <c r="CW255" s="10">
        <v>2</v>
      </c>
      <c r="CX255" s="15" t="s">
        <v>1004</v>
      </c>
    </row>
    <row r="256" spans="1:102" s="15" customFormat="1" x14ac:dyDescent="0.3">
      <c r="A256" s="11" t="s">
        <v>126</v>
      </c>
      <c r="B256" s="10" t="s">
        <v>1005</v>
      </c>
      <c r="C256" s="12" t="s">
        <v>3891</v>
      </c>
      <c r="D256" s="10">
        <v>12</v>
      </c>
      <c r="E256" s="13">
        <v>1000000</v>
      </c>
      <c r="F256" s="14" t="s">
        <v>243</v>
      </c>
      <c r="G256" s="14" t="s">
        <v>244</v>
      </c>
      <c r="H256" s="15" t="s">
        <v>254</v>
      </c>
      <c r="I256" s="8"/>
      <c r="J256" s="10"/>
      <c r="AV256" s="15" t="s">
        <v>181</v>
      </c>
      <c r="AW256" s="15" t="s">
        <v>182</v>
      </c>
      <c r="AX256" s="15" t="s">
        <v>1006</v>
      </c>
      <c r="BH256" s="15" t="s">
        <v>184</v>
      </c>
      <c r="BI256" s="15" t="s">
        <v>185</v>
      </c>
      <c r="BJ256" s="15" t="s">
        <v>186</v>
      </c>
      <c r="BK256" s="15" t="s">
        <v>187</v>
      </c>
      <c r="BL256" s="15" t="s">
        <v>188</v>
      </c>
      <c r="BM256" s="15" t="s">
        <v>189</v>
      </c>
      <c r="BN256" s="15" t="s">
        <v>190</v>
      </c>
      <c r="BO256" s="15" t="s">
        <v>191</v>
      </c>
      <c r="BR256" s="15" t="s">
        <v>192</v>
      </c>
      <c r="BS256" s="15" t="s">
        <v>193</v>
      </c>
      <c r="BT256" s="15" t="s">
        <v>194</v>
      </c>
      <c r="BU256" s="15" t="s">
        <v>195</v>
      </c>
      <c r="BV256" s="15" t="s">
        <v>196</v>
      </c>
      <c r="BW256" s="15" t="s">
        <v>251</v>
      </c>
      <c r="CB256" s="15" t="s">
        <v>129</v>
      </c>
      <c r="CC256" s="15">
        <v>1</v>
      </c>
      <c r="CN256" s="15" t="s">
        <v>198</v>
      </c>
      <c r="CW256" s="10">
        <v>2</v>
      </c>
      <c r="CX256" s="15" t="s">
        <v>1007</v>
      </c>
    </row>
    <row r="257" spans="1:102" s="15" customFormat="1" x14ac:dyDescent="0.3">
      <c r="A257" s="11" t="s">
        <v>126</v>
      </c>
      <c r="B257" s="10" t="s">
        <v>1008</v>
      </c>
      <c r="C257" s="12" t="s">
        <v>3892</v>
      </c>
      <c r="D257" s="10">
        <v>12</v>
      </c>
      <c r="E257" s="13">
        <v>100000</v>
      </c>
      <c r="F257" s="14" t="s">
        <v>243</v>
      </c>
      <c r="G257" s="14" t="s">
        <v>244</v>
      </c>
      <c r="H257" s="15" t="s">
        <v>402</v>
      </c>
      <c r="I257" s="8"/>
      <c r="J257" s="10"/>
      <c r="AV257" s="15" t="s">
        <v>181</v>
      </c>
      <c r="AW257" s="15" t="s">
        <v>182</v>
      </c>
      <c r="AX257" s="15" t="s">
        <v>1009</v>
      </c>
      <c r="BH257" s="15" t="s">
        <v>184</v>
      </c>
      <c r="BI257" s="15" t="s">
        <v>185</v>
      </c>
      <c r="BJ257" s="15" t="s">
        <v>186</v>
      </c>
      <c r="BK257" s="15" t="s">
        <v>187</v>
      </c>
      <c r="BL257" s="15" t="s">
        <v>188</v>
      </c>
      <c r="BM257" s="15" t="s">
        <v>189</v>
      </c>
      <c r="BN257" s="15" t="s">
        <v>190</v>
      </c>
      <c r="BO257" s="15" t="s">
        <v>191</v>
      </c>
      <c r="BR257" s="15" t="s">
        <v>192</v>
      </c>
      <c r="BS257" s="15" t="s">
        <v>193</v>
      </c>
      <c r="BT257" s="15" t="s">
        <v>194</v>
      </c>
      <c r="BU257" s="15" t="s">
        <v>195</v>
      </c>
      <c r="BV257" s="15" t="s">
        <v>196</v>
      </c>
      <c r="BW257" s="15" t="s">
        <v>456</v>
      </c>
      <c r="CB257" s="15" t="s">
        <v>129</v>
      </c>
      <c r="CC257" s="15">
        <v>1</v>
      </c>
      <c r="CN257" s="15" t="s">
        <v>198</v>
      </c>
      <c r="CW257" s="10">
        <v>2</v>
      </c>
      <c r="CX257" s="15" t="s">
        <v>1010</v>
      </c>
    </row>
    <row r="258" spans="1:102" s="15" customFormat="1" x14ac:dyDescent="0.3">
      <c r="A258" s="11" t="s">
        <v>126</v>
      </c>
      <c r="B258" s="10" t="s">
        <v>1011</v>
      </c>
      <c r="C258" s="12" t="s">
        <v>3893</v>
      </c>
      <c r="D258" s="10">
        <v>12</v>
      </c>
      <c r="E258" s="13">
        <v>1000000</v>
      </c>
      <c r="F258" s="14" t="s">
        <v>243</v>
      </c>
      <c r="G258" s="14" t="s">
        <v>244</v>
      </c>
      <c r="H258" s="15" t="s">
        <v>254</v>
      </c>
      <c r="I258" s="8"/>
      <c r="J258" s="10"/>
      <c r="AV258" s="15" t="s">
        <v>181</v>
      </c>
      <c r="AW258" s="15" t="s">
        <v>182</v>
      </c>
      <c r="AX258" s="15" t="s">
        <v>1012</v>
      </c>
      <c r="BH258" s="15" t="s">
        <v>184</v>
      </c>
      <c r="BI258" s="15" t="s">
        <v>185</v>
      </c>
      <c r="BJ258" s="15" t="s">
        <v>186</v>
      </c>
      <c r="BK258" s="15" t="s">
        <v>187</v>
      </c>
      <c r="BL258" s="15" t="s">
        <v>188</v>
      </c>
      <c r="BM258" s="15" t="s">
        <v>189</v>
      </c>
      <c r="BN258" s="15" t="s">
        <v>190</v>
      </c>
      <c r="BO258" s="15" t="s">
        <v>191</v>
      </c>
      <c r="BR258" s="15" t="s">
        <v>192</v>
      </c>
      <c r="BS258" s="15" t="s">
        <v>193</v>
      </c>
      <c r="BT258" s="15" t="s">
        <v>194</v>
      </c>
      <c r="BU258" s="15" t="s">
        <v>195</v>
      </c>
      <c r="BV258" s="15" t="s">
        <v>196</v>
      </c>
      <c r="BW258" s="15" t="s">
        <v>456</v>
      </c>
      <c r="CB258" s="15" t="s">
        <v>129</v>
      </c>
      <c r="CC258" s="15">
        <v>1</v>
      </c>
      <c r="CN258" s="15" t="s">
        <v>198</v>
      </c>
      <c r="CW258" s="10">
        <v>2</v>
      </c>
      <c r="CX258" s="15" t="s">
        <v>1013</v>
      </c>
    </row>
    <row r="259" spans="1:102" s="15" customFormat="1" x14ac:dyDescent="0.3">
      <c r="A259" s="11" t="s">
        <v>126</v>
      </c>
      <c r="B259" s="10" t="s">
        <v>1014</v>
      </c>
      <c r="C259" s="12" t="s">
        <v>3894</v>
      </c>
      <c r="D259" s="10">
        <v>12</v>
      </c>
      <c r="E259" s="13">
        <v>100000</v>
      </c>
      <c r="F259" s="14" t="s">
        <v>1015</v>
      </c>
      <c r="G259" s="14" t="s">
        <v>1015</v>
      </c>
      <c r="H259" s="15" t="s">
        <v>1016</v>
      </c>
      <c r="I259" s="8"/>
      <c r="J259" s="10"/>
      <c r="AV259" s="15" t="s">
        <v>1017</v>
      </c>
      <c r="AW259" s="15" t="s">
        <v>1018</v>
      </c>
      <c r="BH259" s="15" t="s">
        <v>184</v>
      </c>
      <c r="BI259" s="15" t="s">
        <v>185</v>
      </c>
      <c r="BJ259" s="15" t="s">
        <v>186</v>
      </c>
      <c r="BK259" s="15" t="s">
        <v>187</v>
      </c>
      <c r="BL259" s="15" t="s">
        <v>188</v>
      </c>
      <c r="BM259" s="15" t="s">
        <v>189</v>
      </c>
      <c r="BN259" s="15" t="s">
        <v>190</v>
      </c>
      <c r="BO259" s="15" t="s">
        <v>191</v>
      </c>
      <c r="BR259" s="15" t="s">
        <v>192</v>
      </c>
      <c r="BS259" s="15" t="s">
        <v>193</v>
      </c>
      <c r="BT259" s="15" t="s">
        <v>194</v>
      </c>
      <c r="BU259" s="15" t="s">
        <v>195</v>
      </c>
      <c r="BV259" s="15" t="s">
        <v>196</v>
      </c>
      <c r="CB259" s="15" t="s">
        <v>129</v>
      </c>
      <c r="CC259" s="15">
        <v>1</v>
      </c>
      <c r="CN259" s="15" t="s">
        <v>198</v>
      </c>
      <c r="CW259" s="10">
        <v>2</v>
      </c>
      <c r="CX259" s="15" t="s">
        <v>1019</v>
      </c>
    </row>
    <row r="260" spans="1:102" s="15" customFormat="1" x14ac:dyDescent="0.3">
      <c r="A260" s="11" t="s">
        <v>126</v>
      </c>
      <c r="B260" s="10" t="s">
        <v>1020</v>
      </c>
      <c r="C260" s="12" t="s">
        <v>3895</v>
      </c>
      <c r="D260" s="10">
        <v>104</v>
      </c>
      <c r="E260" s="13">
        <v>10000</v>
      </c>
      <c r="F260" s="14" t="s">
        <v>1015</v>
      </c>
      <c r="G260" s="14" t="s">
        <v>244</v>
      </c>
      <c r="I260" s="8"/>
      <c r="J260" s="10"/>
      <c r="AB260" s="15">
        <v>1</v>
      </c>
      <c r="AV260" s="15" t="s">
        <v>1017</v>
      </c>
      <c r="AW260" s="15" t="s">
        <v>1018</v>
      </c>
      <c r="BH260" s="15" t="s">
        <v>184</v>
      </c>
      <c r="BI260" s="15" t="s">
        <v>185</v>
      </c>
      <c r="BJ260" s="15" t="s">
        <v>214</v>
      </c>
      <c r="BK260" s="15" t="s">
        <v>224</v>
      </c>
      <c r="BL260" s="15" t="s">
        <v>188</v>
      </c>
      <c r="BM260" s="15" t="s">
        <v>189</v>
      </c>
      <c r="BN260" s="15" t="s">
        <v>190</v>
      </c>
      <c r="BO260" s="15" t="s">
        <v>191</v>
      </c>
      <c r="BR260" s="15" t="s">
        <v>192</v>
      </c>
      <c r="BS260" s="15" t="s">
        <v>193</v>
      </c>
      <c r="BT260" s="15" t="s">
        <v>194</v>
      </c>
      <c r="BU260" s="15" t="s">
        <v>195</v>
      </c>
      <c r="BV260" s="15" t="s">
        <v>196</v>
      </c>
      <c r="CB260" s="15" t="s">
        <v>129</v>
      </c>
      <c r="CC260" s="15">
        <v>1</v>
      </c>
      <c r="CN260" s="15" t="s">
        <v>198</v>
      </c>
      <c r="CW260" s="10">
        <v>2</v>
      </c>
      <c r="CX260" s="15" t="s">
        <v>1021</v>
      </c>
    </row>
    <row r="261" spans="1:102" s="15" customFormat="1" x14ac:dyDescent="0.3">
      <c r="A261" s="11" t="s">
        <v>126</v>
      </c>
      <c r="B261" s="10" t="s">
        <v>1022</v>
      </c>
      <c r="C261" s="12" t="s">
        <v>3896</v>
      </c>
      <c r="D261" s="10">
        <v>104</v>
      </c>
      <c r="E261" s="13">
        <v>10000</v>
      </c>
      <c r="F261" s="14" t="s">
        <v>1015</v>
      </c>
      <c r="G261" s="14" t="s">
        <v>244</v>
      </c>
      <c r="I261" s="8"/>
      <c r="J261" s="10"/>
      <c r="AV261" s="15" t="s">
        <v>1017</v>
      </c>
      <c r="AW261" s="15" t="s">
        <v>1018</v>
      </c>
      <c r="BH261" s="15" t="s">
        <v>184</v>
      </c>
      <c r="BI261" s="15" t="s">
        <v>185</v>
      </c>
      <c r="BJ261" s="15" t="s">
        <v>186</v>
      </c>
      <c r="BK261" s="15" t="s">
        <v>187</v>
      </c>
      <c r="BL261" s="15" t="s">
        <v>188</v>
      </c>
      <c r="BM261" s="15" t="s">
        <v>189</v>
      </c>
      <c r="BN261" s="15" t="s">
        <v>190</v>
      </c>
      <c r="BO261" s="15" t="s">
        <v>191</v>
      </c>
      <c r="BR261" s="15" t="s">
        <v>192</v>
      </c>
      <c r="BS261" s="15" t="s">
        <v>193</v>
      </c>
      <c r="BT261" s="15" t="s">
        <v>194</v>
      </c>
      <c r="BU261" s="15" t="s">
        <v>195</v>
      </c>
      <c r="BV261" s="15" t="s">
        <v>196</v>
      </c>
      <c r="CB261" s="15" t="s">
        <v>129</v>
      </c>
      <c r="CC261" s="15">
        <v>1</v>
      </c>
      <c r="CN261" s="15" t="s">
        <v>1023</v>
      </c>
      <c r="CW261" s="10">
        <v>2</v>
      </c>
      <c r="CX261" s="15" t="s">
        <v>1024</v>
      </c>
    </row>
    <row r="262" spans="1:102" s="15" customFormat="1" x14ac:dyDescent="0.3">
      <c r="A262" s="11" t="s">
        <v>126</v>
      </c>
      <c r="B262" s="10" t="s">
        <v>1025</v>
      </c>
      <c r="C262" s="12" t="s">
        <v>3897</v>
      </c>
      <c r="D262" s="10">
        <v>104</v>
      </c>
      <c r="E262" s="13">
        <v>10000</v>
      </c>
      <c r="F262" s="14" t="s">
        <v>1015</v>
      </c>
      <c r="G262" s="14" t="s">
        <v>244</v>
      </c>
      <c r="I262" s="8"/>
      <c r="J262" s="10"/>
      <c r="AV262" s="15" t="s">
        <v>1017</v>
      </c>
      <c r="AW262" s="15" t="s">
        <v>1018</v>
      </c>
      <c r="BH262" s="15" t="s">
        <v>184</v>
      </c>
      <c r="BI262" s="15" t="s">
        <v>185</v>
      </c>
      <c r="BJ262" s="15" t="s">
        <v>186</v>
      </c>
      <c r="BK262" s="15" t="s">
        <v>187</v>
      </c>
      <c r="BL262" s="15" t="s">
        <v>188</v>
      </c>
      <c r="BM262" s="15" t="s">
        <v>189</v>
      </c>
      <c r="BN262" s="15" t="s">
        <v>190</v>
      </c>
      <c r="BO262" s="15" t="s">
        <v>191</v>
      </c>
      <c r="BR262" s="15" t="s">
        <v>192</v>
      </c>
      <c r="BS262" s="15" t="s">
        <v>193</v>
      </c>
      <c r="BT262" s="15" t="s">
        <v>194</v>
      </c>
      <c r="BU262" s="15" t="s">
        <v>195</v>
      </c>
      <c r="BV262" s="15" t="s">
        <v>196</v>
      </c>
      <c r="CB262" s="15" t="s">
        <v>129</v>
      </c>
      <c r="CC262" s="15">
        <v>1</v>
      </c>
      <c r="CN262" s="15" t="s">
        <v>1026</v>
      </c>
      <c r="CW262" s="10">
        <v>2</v>
      </c>
      <c r="CX262" s="15" t="s">
        <v>1027</v>
      </c>
    </row>
    <row r="263" spans="1:102" s="15" customFormat="1" x14ac:dyDescent="0.3">
      <c r="A263" s="11" t="s">
        <v>126</v>
      </c>
      <c r="B263" s="10" t="s">
        <v>1028</v>
      </c>
      <c r="C263" s="12" t="s">
        <v>3898</v>
      </c>
      <c r="D263" s="10">
        <v>12</v>
      </c>
      <c r="E263" s="13">
        <v>100000</v>
      </c>
      <c r="F263" s="14" t="s">
        <v>243</v>
      </c>
      <c r="G263" s="14" t="s">
        <v>244</v>
      </c>
      <c r="H263" s="15" t="s">
        <v>402</v>
      </c>
      <c r="I263" s="8"/>
      <c r="J263" s="10"/>
      <c r="AV263" s="15" t="s">
        <v>181</v>
      </c>
      <c r="AW263" s="15" t="s">
        <v>182</v>
      </c>
      <c r="AX263" s="15" t="s">
        <v>1029</v>
      </c>
      <c r="BH263" s="15" t="s">
        <v>184</v>
      </c>
      <c r="BI263" s="15" t="s">
        <v>185</v>
      </c>
      <c r="BJ263" s="15" t="s">
        <v>186</v>
      </c>
      <c r="BK263" s="15" t="s">
        <v>187</v>
      </c>
      <c r="BL263" s="15" t="s">
        <v>188</v>
      </c>
      <c r="BM263" s="15" t="s">
        <v>189</v>
      </c>
      <c r="BN263" s="15" t="s">
        <v>190</v>
      </c>
      <c r="BO263" s="15" t="s">
        <v>191</v>
      </c>
      <c r="BR263" s="15" t="s">
        <v>192</v>
      </c>
      <c r="BS263" s="15" t="s">
        <v>193</v>
      </c>
      <c r="BT263" s="15" t="s">
        <v>194</v>
      </c>
      <c r="BU263" s="15" t="s">
        <v>195</v>
      </c>
      <c r="BV263" s="15" t="s">
        <v>196</v>
      </c>
      <c r="BW263" s="15" t="s">
        <v>251</v>
      </c>
      <c r="CB263" s="15" t="s">
        <v>129</v>
      </c>
      <c r="CC263" s="15">
        <v>1</v>
      </c>
      <c r="CN263" s="15" t="s">
        <v>198</v>
      </c>
      <c r="CW263" s="10">
        <v>2</v>
      </c>
      <c r="CX263" s="15" t="s">
        <v>1030</v>
      </c>
    </row>
    <row r="264" spans="1:102" s="15" customFormat="1" x14ac:dyDescent="0.3">
      <c r="A264" s="11" t="s">
        <v>126</v>
      </c>
      <c r="B264" s="10" t="s">
        <v>1031</v>
      </c>
      <c r="C264" s="12" t="s">
        <v>3899</v>
      </c>
      <c r="D264" s="10">
        <v>12</v>
      </c>
      <c r="E264" s="13">
        <v>1000000</v>
      </c>
      <c r="F264" s="14" t="s">
        <v>178</v>
      </c>
      <c r="G264" s="14" t="s">
        <v>179</v>
      </c>
      <c r="H264" s="15" t="s">
        <v>180</v>
      </c>
      <c r="I264" s="8"/>
      <c r="J264" s="10"/>
      <c r="AV264" s="15" t="s">
        <v>181</v>
      </c>
      <c r="AW264" s="15" t="s">
        <v>182</v>
      </c>
      <c r="AX264" s="15" t="s">
        <v>1032</v>
      </c>
      <c r="BH264" s="15" t="s">
        <v>1033</v>
      </c>
      <c r="BI264" s="15" t="s">
        <v>185</v>
      </c>
      <c r="BJ264" s="15" t="s">
        <v>186</v>
      </c>
      <c r="BK264" s="15" t="s">
        <v>187</v>
      </c>
      <c r="BL264" s="15" t="s">
        <v>188</v>
      </c>
      <c r="BM264" s="15" t="s">
        <v>189</v>
      </c>
      <c r="BN264" s="15" t="s">
        <v>190</v>
      </c>
      <c r="BO264" s="15" t="s">
        <v>191</v>
      </c>
      <c r="BR264" s="15" t="s">
        <v>192</v>
      </c>
      <c r="BS264" s="15" t="s">
        <v>193</v>
      </c>
      <c r="BT264" s="15" t="s">
        <v>194</v>
      </c>
      <c r="BU264" s="15" t="s">
        <v>195</v>
      </c>
      <c r="BV264" s="15" t="s">
        <v>196</v>
      </c>
      <c r="CB264" s="15" t="s">
        <v>129</v>
      </c>
      <c r="CC264" s="15" t="s">
        <v>197</v>
      </c>
      <c r="CN264" s="15" t="s">
        <v>198</v>
      </c>
      <c r="CW264" s="10">
        <v>2</v>
      </c>
      <c r="CX264" s="15" t="s">
        <v>1034</v>
      </c>
    </row>
    <row r="265" spans="1:102" s="15" customFormat="1" x14ac:dyDescent="0.3">
      <c r="A265" s="11" t="s">
        <v>126</v>
      </c>
      <c r="B265" s="10" t="s">
        <v>1035</v>
      </c>
      <c r="C265" s="12" t="s">
        <v>3900</v>
      </c>
      <c r="D265" s="10">
        <v>12</v>
      </c>
      <c r="E265" s="13">
        <v>1000000</v>
      </c>
      <c r="F265" s="14" t="s">
        <v>178</v>
      </c>
      <c r="G265" s="14" t="s">
        <v>179</v>
      </c>
      <c r="H265" s="15" t="s">
        <v>180</v>
      </c>
      <c r="I265" s="8"/>
      <c r="J265" s="10"/>
      <c r="AV265" s="15" t="s">
        <v>203</v>
      </c>
      <c r="AW265" s="15" t="s">
        <v>204</v>
      </c>
      <c r="AX265" s="15" t="s">
        <v>1032</v>
      </c>
      <c r="BH265" s="15" t="s">
        <v>1033</v>
      </c>
      <c r="BI265" s="15" t="s">
        <v>185</v>
      </c>
      <c r="BJ265" s="15" t="s">
        <v>186</v>
      </c>
      <c r="BK265" s="15" t="s">
        <v>187</v>
      </c>
      <c r="BL265" s="15" t="s">
        <v>188</v>
      </c>
      <c r="BM265" s="15" t="s">
        <v>189</v>
      </c>
      <c r="BN265" s="15" t="s">
        <v>190</v>
      </c>
      <c r="BO265" s="15" t="s">
        <v>191</v>
      </c>
      <c r="BR265" s="15" t="s">
        <v>192</v>
      </c>
      <c r="BS265" s="15" t="s">
        <v>193</v>
      </c>
      <c r="BT265" s="15" t="s">
        <v>194</v>
      </c>
      <c r="BU265" s="15" t="s">
        <v>195</v>
      </c>
      <c r="BV265" s="15" t="s">
        <v>196</v>
      </c>
      <c r="CB265" s="15" t="s">
        <v>129</v>
      </c>
      <c r="CC265" s="15" t="s">
        <v>197</v>
      </c>
      <c r="CN265" s="15" t="s">
        <v>198</v>
      </c>
      <c r="CW265" s="10">
        <v>2</v>
      </c>
      <c r="CX265" s="15" t="s">
        <v>1036</v>
      </c>
    </row>
    <row r="266" spans="1:102" s="15" customFormat="1" x14ac:dyDescent="0.3">
      <c r="A266" s="11" t="s">
        <v>126</v>
      </c>
      <c r="B266" s="10" t="s">
        <v>1037</v>
      </c>
      <c r="C266" s="12" t="s">
        <v>3901</v>
      </c>
      <c r="D266" s="10">
        <v>12</v>
      </c>
      <c r="E266" s="13">
        <v>1000000</v>
      </c>
      <c r="F266" s="14" t="s">
        <v>209</v>
      </c>
      <c r="G266" s="14" t="s">
        <v>210</v>
      </c>
      <c r="H266" s="15" t="s">
        <v>254</v>
      </c>
      <c r="I266" s="8"/>
      <c r="J266" s="10"/>
      <c r="AV266" s="15" t="s">
        <v>212</v>
      </c>
      <c r="AW266" s="15" t="s">
        <v>213</v>
      </c>
      <c r="AX266" s="15" t="s">
        <v>1038</v>
      </c>
      <c r="BH266" s="15" t="s">
        <v>184</v>
      </c>
      <c r="BI266" s="15" t="s">
        <v>185</v>
      </c>
      <c r="BJ266" s="15" t="s">
        <v>186</v>
      </c>
      <c r="BK266" s="15" t="s">
        <v>187</v>
      </c>
      <c r="BL266" s="15" t="s">
        <v>188</v>
      </c>
      <c r="BM266" s="15" t="s">
        <v>189</v>
      </c>
      <c r="BN266" s="15" t="s">
        <v>190</v>
      </c>
      <c r="BO266" s="15" t="s">
        <v>191</v>
      </c>
      <c r="BR266" s="15" t="s">
        <v>192</v>
      </c>
      <c r="BS266" s="15" t="s">
        <v>193</v>
      </c>
      <c r="BT266" s="15" t="s">
        <v>194</v>
      </c>
      <c r="BU266" s="15" t="s">
        <v>195</v>
      </c>
      <c r="BV266" s="15" t="s">
        <v>196</v>
      </c>
      <c r="BW266" s="15" t="s">
        <v>196</v>
      </c>
      <c r="CB266" s="15" t="s">
        <v>129</v>
      </c>
      <c r="CC266" s="15">
        <v>1</v>
      </c>
      <c r="CN266" s="15" t="s">
        <v>198</v>
      </c>
      <c r="CW266" s="10">
        <v>2</v>
      </c>
      <c r="CX266" s="15" t="s">
        <v>1039</v>
      </c>
    </row>
    <row r="267" spans="1:102" s="15" customFormat="1" x14ac:dyDescent="0.3">
      <c r="A267" s="11" t="s">
        <v>126</v>
      </c>
      <c r="B267" s="10" t="s">
        <v>1040</v>
      </c>
      <c r="C267" s="12" t="s">
        <v>3902</v>
      </c>
      <c r="D267" s="10">
        <v>12</v>
      </c>
      <c r="E267" s="13">
        <v>1000000</v>
      </c>
      <c r="F267" s="14" t="s">
        <v>209</v>
      </c>
      <c r="G267" s="14" t="s">
        <v>210</v>
      </c>
      <c r="H267" s="15" t="s">
        <v>211</v>
      </c>
      <c r="I267" s="8"/>
      <c r="J267" s="10"/>
      <c r="AV267" s="15" t="s">
        <v>212</v>
      </c>
      <c r="AW267" s="15" t="s">
        <v>213</v>
      </c>
      <c r="AX267" s="15" t="s">
        <v>1041</v>
      </c>
      <c r="BH267" s="15" t="s">
        <v>184</v>
      </c>
      <c r="BI267" s="15" t="s">
        <v>185</v>
      </c>
      <c r="BJ267" s="15" t="s">
        <v>186</v>
      </c>
      <c r="BK267" s="15" t="s">
        <v>187</v>
      </c>
      <c r="BL267" s="15" t="s">
        <v>188</v>
      </c>
      <c r="BM267" s="15" t="s">
        <v>189</v>
      </c>
      <c r="BN267" s="15" t="s">
        <v>190</v>
      </c>
      <c r="BO267" s="15" t="s">
        <v>191</v>
      </c>
      <c r="BR267" s="15" t="s">
        <v>192</v>
      </c>
      <c r="BS267" s="15" t="s">
        <v>193</v>
      </c>
      <c r="BT267" s="15" t="s">
        <v>194</v>
      </c>
      <c r="BU267" s="15" t="s">
        <v>195</v>
      </c>
      <c r="BV267" s="15" t="s">
        <v>196</v>
      </c>
      <c r="BW267" s="15" t="s">
        <v>196</v>
      </c>
      <c r="CB267" s="15" t="s">
        <v>129</v>
      </c>
      <c r="CC267" s="15">
        <v>1</v>
      </c>
      <c r="CN267" s="15" t="s">
        <v>198</v>
      </c>
      <c r="CW267" s="10">
        <v>2</v>
      </c>
      <c r="CX267" s="15" t="s">
        <v>1042</v>
      </c>
    </row>
    <row r="268" spans="1:102" s="15" customFormat="1" x14ac:dyDescent="0.3">
      <c r="A268" s="11" t="s">
        <v>126</v>
      </c>
      <c r="B268" s="10" t="s">
        <v>1043</v>
      </c>
      <c r="C268" s="12" t="s">
        <v>3903</v>
      </c>
      <c r="D268" s="10">
        <v>12</v>
      </c>
      <c r="E268" s="13">
        <v>1000000</v>
      </c>
      <c r="F268" s="14" t="s">
        <v>209</v>
      </c>
      <c r="G268" s="14" t="s">
        <v>210</v>
      </c>
      <c r="H268" s="15" t="s">
        <v>211</v>
      </c>
      <c r="I268" s="8"/>
      <c r="J268" s="10"/>
      <c r="AV268" s="15" t="s">
        <v>212</v>
      </c>
      <c r="AW268" s="15" t="s">
        <v>213</v>
      </c>
      <c r="AX268" s="15" t="s">
        <v>1044</v>
      </c>
      <c r="BH268" s="15" t="s">
        <v>184</v>
      </c>
      <c r="BI268" s="15" t="s">
        <v>185</v>
      </c>
      <c r="BJ268" s="15" t="s">
        <v>186</v>
      </c>
      <c r="BK268" s="15" t="s">
        <v>187</v>
      </c>
      <c r="BL268" s="15" t="s">
        <v>188</v>
      </c>
      <c r="BM268" s="15" t="s">
        <v>189</v>
      </c>
      <c r="BN268" s="15" t="s">
        <v>190</v>
      </c>
      <c r="BO268" s="15" t="s">
        <v>191</v>
      </c>
      <c r="BR268" s="15" t="s">
        <v>192</v>
      </c>
      <c r="BS268" s="15" t="s">
        <v>193</v>
      </c>
      <c r="BT268" s="15" t="s">
        <v>194</v>
      </c>
      <c r="BU268" s="15" t="s">
        <v>195</v>
      </c>
      <c r="BV268" s="15" t="s">
        <v>196</v>
      </c>
      <c r="BW268" s="15" t="s">
        <v>196</v>
      </c>
      <c r="CB268" s="15" t="s">
        <v>129</v>
      </c>
      <c r="CC268" s="15">
        <v>1</v>
      </c>
      <c r="CN268" s="15" t="s">
        <v>198</v>
      </c>
      <c r="CW268" s="10">
        <v>2</v>
      </c>
      <c r="CX268" s="15" t="s">
        <v>1045</v>
      </c>
    </row>
    <row r="269" spans="1:102" s="15" customFormat="1" x14ac:dyDescent="0.3">
      <c r="A269" s="11" t="s">
        <v>126</v>
      </c>
      <c r="B269" s="10" t="s">
        <v>1046</v>
      </c>
      <c r="C269" s="12" t="s">
        <v>3904</v>
      </c>
      <c r="D269" s="10">
        <v>12</v>
      </c>
      <c r="E269" s="13">
        <v>1000000</v>
      </c>
      <c r="F269" s="14" t="s">
        <v>209</v>
      </c>
      <c r="G269" s="14" t="s">
        <v>210</v>
      </c>
      <c r="H269" s="15" t="s">
        <v>211</v>
      </c>
      <c r="I269" s="8"/>
      <c r="J269" s="10"/>
      <c r="AV269" s="15" t="s">
        <v>212</v>
      </c>
      <c r="AW269" s="15" t="s">
        <v>213</v>
      </c>
      <c r="AX269" s="15" t="s">
        <v>1047</v>
      </c>
      <c r="BH269" s="15" t="s">
        <v>184</v>
      </c>
      <c r="BI269" s="15" t="s">
        <v>185</v>
      </c>
      <c r="BJ269" s="15" t="s">
        <v>186</v>
      </c>
      <c r="BK269" s="15" t="s">
        <v>187</v>
      </c>
      <c r="BL269" s="15" t="s">
        <v>188</v>
      </c>
      <c r="BM269" s="15" t="s">
        <v>189</v>
      </c>
      <c r="BN269" s="15" t="s">
        <v>190</v>
      </c>
      <c r="BO269" s="15" t="s">
        <v>191</v>
      </c>
      <c r="BR269" s="15" t="s">
        <v>192</v>
      </c>
      <c r="BS269" s="15" t="s">
        <v>193</v>
      </c>
      <c r="BT269" s="15" t="s">
        <v>194</v>
      </c>
      <c r="BU269" s="15" t="s">
        <v>195</v>
      </c>
      <c r="BV269" s="15" t="s">
        <v>196</v>
      </c>
      <c r="BW269" s="15" t="s">
        <v>460</v>
      </c>
      <c r="CB269" s="15" t="s">
        <v>129</v>
      </c>
      <c r="CC269" s="15">
        <v>1</v>
      </c>
      <c r="CN269" s="15" t="s">
        <v>198</v>
      </c>
      <c r="CW269" s="10">
        <v>2</v>
      </c>
      <c r="CX269" s="15" t="s">
        <v>1048</v>
      </c>
    </row>
    <row r="270" spans="1:102" s="15" customFormat="1" x14ac:dyDescent="0.3">
      <c r="A270" s="11" t="s">
        <v>126</v>
      </c>
      <c r="B270" s="10" t="s">
        <v>1049</v>
      </c>
      <c r="C270" s="12" t="s">
        <v>3905</v>
      </c>
      <c r="D270" s="10">
        <v>12</v>
      </c>
      <c r="E270" s="13">
        <v>1000000</v>
      </c>
      <c r="F270" s="14" t="s">
        <v>209</v>
      </c>
      <c r="G270" s="14" t="s">
        <v>210</v>
      </c>
      <c r="H270" s="15" t="s">
        <v>254</v>
      </c>
      <c r="I270" s="8"/>
      <c r="J270" s="10"/>
      <c r="AV270" s="15" t="s">
        <v>212</v>
      </c>
      <c r="AW270" s="15" t="s">
        <v>213</v>
      </c>
      <c r="AX270" s="15" t="s">
        <v>1050</v>
      </c>
      <c r="BH270" s="15" t="s">
        <v>184</v>
      </c>
      <c r="BI270" s="15" t="s">
        <v>185</v>
      </c>
      <c r="BJ270" s="15" t="s">
        <v>186</v>
      </c>
      <c r="BK270" s="15" t="s">
        <v>187</v>
      </c>
      <c r="BL270" s="15" t="s">
        <v>188</v>
      </c>
      <c r="BM270" s="15" t="s">
        <v>189</v>
      </c>
      <c r="BN270" s="15" t="s">
        <v>190</v>
      </c>
      <c r="BO270" s="15" t="s">
        <v>191</v>
      </c>
      <c r="BR270" s="15" t="s">
        <v>192</v>
      </c>
      <c r="BS270" s="15" t="s">
        <v>193</v>
      </c>
      <c r="BT270" s="15" t="s">
        <v>194</v>
      </c>
      <c r="BU270" s="15" t="s">
        <v>195</v>
      </c>
      <c r="BV270" s="15" t="s">
        <v>196</v>
      </c>
      <c r="BW270" s="15" t="s">
        <v>516</v>
      </c>
      <c r="CB270" s="15" t="s">
        <v>129</v>
      </c>
      <c r="CC270" s="15">
        <v>1</v>
      </c>
      <c r="CN270" s="15" t="s">
        <v>198</v>
      </c>
      <c r="CW270" s="10">
        <v>2</v>
      </c>
      <c r="CX270" s="15" t="s">
        <v>1051</v>
      </c>
    </row>
    <row r="271" spans="1:102" s="15" customFormat="1" x14ac:dyDescent="0.3">
      <c r="A271" s="11" t="s">
        <v>126</v>
      </c>
      <c r="B271" s="10" t="s">
        <v>1052</v>
      </c>
      <c r="C271" s="12" t="s">
        <v>3906</v>
      </c>
      <c r="D271" s="10">
        <v>12</v>
      </c>
      <c r="E271" s="13">
        <v>100000</v>
      </c>
      <c r="F271" s="14" t="s">
        <v>209</v>
      </c>
      <c r="G271" s="14" t="s">
        <v>210</v>
      </c>
      <c r="H271" s="15" t="s">
        <v>211</v>
      </c>
      <c r="I271" s="8"/>
      <c r="J271" s="10"/>
      <c r="AV271" s="15" t="s">
        <v>212</v>
      </c>
      <c r="AW271" s="15" t="s">
        <v>213</v>
      </c>
      <c r="AX271" s="15" t="s">
        <v>1053</v>
      </c>
      <c r="BH271" s="15" t="s">
        <v>184</v>
      </c>
      <c r="BI271" s="15" t="s">
        <v>185</v>
      </c>
      <c r="BJ271" s="15" t="s">
        <v>186</v>
      </c>
      <c r="BK271" s="15" t="s">
        <v>187</v>
      </c>
      <c r="BL271" s="15" t="s">
        <v>188</v>
      </c>
      <c r="BM271" s="15" t="s">
        <v>189</v>
      </c>
      <c r="BN271" s="15" t="s">
        <v>190</v>
      </c>
      <c r="BO271" s="15" t="s">
        <v>191</v>
      </c>
      <c r="BR271" s="15" t="s">
        <v>192</v>
      </c>
      <c r="BS271" s="15" t="s">
        <v>193</v>
      </c>
      <c r="BT271" s="15" t="s">
        <v>194</v>
      </c>
      <c r="BU271" s="15" t="s">
        <v>195</v>
      </c>
      <c r="BV271" s="15" t="s">
        <v>196</v>
      </c>
      <c r="BW271" s="15" t="s">
        <v>196</v>
      </c>
      <c r="CB271" s="15" t="s">
        <v>129</v>
      </c>
      <c r="CC271" s="15">
        <v>1</v>
      </c>
      <c r="CN271" s="15" t="s">
        <v>198</v>
      </c>
      <c r="CW271" s="10">
        <v>2</v>
      </c>
      <c r="CX271" s="15" t="s">
        <v>1054</v>
      </c>
    </row>
    <row r="272" spans="1:102" s="15" customFormat="1" x14ac:dyDescent="0.3">
      <c r="A272" s="11" t="s">
        <v>126</v>
      </c>
      <c r="B272" s="10" t="s">
        <v>1055</v>
      </c>
      <c r="C272" s="12" t="s">
        <v>3907</v>
      </c>
      <c r="D272" s="10">
        <v>12</v>
      </c>
      <c r="E272" s="13">
        <v>50000</v>
      </c>
      <c r="F272" s="14" t="s">
        <v>243</v>
      </c>
      <c r="G272" s="14" t="s">
        <v>244</v>
      </c>
      <c r="H272" s="15" t="s">
        <v>402</v>
      </c>
      <c r="I272" s="8"/>
      <c r="J272" s="10"/>
      <c r="AV272" s="15" t="s">
        <v>181</v>
      </c>
      <c r="AW272" s="15" t="s">
        <v>182</v>
      </c>
      <c r="AX272" s="15" t="s">
        <v>1056</v>
      </c>
      <c r="BH272" s="15" t="s">
        <v>184</v>
      </c>
      <c r="BI272" s="15" t="s">
        <v>185</v>
      </c>
      <c r="BJ272" s="15" t="s">
        <v>186</v>
      </c>
      <c r="BK272" s="15" t="s">
        <v>187</v>
      </c>
      <c r="BL272" s="15" t="s">
        <v>188</v>
      </c>
      <c r="BM272" s="15" t="s">
        <v>189</v>
      </c>
      <c r="BN272" s="15" t="s">
        <v>190</v>
      </c>
      <c r="BO272" s="15" t="s">
        <v>191</v>
      </c>
      <c r="BR272" s="15" t="s">
        <v>192</v>
      </c>
      <c r="BS272" s="15" t="s">
        <v>193</v>
      </c>
      <c r="BT272" s="15" t="s">
        <v>194</v>
      </c>
      <c r="BU272" s="15" t="s">
        <v>195</v>
      </c>
      <c r="BV272" s="15" t="s">
        <v>196</v>
      </c>
      <c r="BW272" s="15" t="s">
        <v>404</v>
      </c>
      <c r="CB272" s="15" t="s">
        <v>129</v>
      </c>
      <c r="CC272" s="15">
        <v>1</v>
      </c>
      <c r="CN272" s="15" t="s">
        <v>198</v>
      </c>
      <c r="CW272" s="10">
        <v>2</v>
      </c>
      <c r="CX272" s="15" t="s">
        <v>1057</v>
      </c>
    </row>
    <row r="273" spans="1:102" s="15" customFormat="1" x14ac:dyDescent="0.3">
      <c r="A273" s="11" t="s">
        <v>126</v>
      </c>
      <c r="B273" s="10" t="s">
        <v>1058</v>
      </c>
      <c r="C273" s="12" t="s">
        <v>3908</v>
      </c>
      <c r="D273" s="10">
        <v>12</v>
      </c>
      <c r="E273" s="13">
        <v>10000</v>
      </c>
      <c r="F273" s="14" t="s">
        <v>243</v>
      </c>
      <c r="G273" s="14" t="s">
        <v>244</v>
      </c>
      <c r="H273" s="15" t="s">
        <v>254</v>
      </c>
      <c r="I273" s="8"/>
      <c r="J273" s="10"/>
      <c r="AV273" s="15" t="s">
        <v>181</v>
      </c>
      <c r="AW273" s="15" t="s">
        <v>182</v>
      </c>
      <c r="AX273" s="15" t="s">
        <v>1059</v>
      </c>
      <c r="BH273" s="15" t="s">
        <v>184</v>
      </c>
      <c r="BI273" s="15" t="s">
        <v>185</v>
      </c>
      <c r="BJ273" s="15" t="s">
        <v>186</v>
      </c>
      <c r="BK273" s="15" t="s">
        <v>187</v>
      </c>
      <c r="BL273" s="15" t="s">
        <v>188</v>
      </c>
      <c r="BM273" s="15" t="s">
        <v>189</v>
      </c>
      <c r="BN273" s="15" t="s">
        <v>190</v>
      </c>
      <c r="BO273" s="15" t="s">
        <v>191</v>
      </c>
      <c r="BR273" s="15" t="s">
        <v>192</v>
      </c>
      <c r="BS273" s="15" t="s">
        <v>193</v>
      </c>
      <c r="BT273" s="15" t="s">
        <v>194</v>
      </c>
      <c r="BU273" s="15" t="s">
        <v>195</v>
      </c>
      <c r="BV273" s="15" t="s">
        <v>196</v>
      </c>
      <c r="BW273" s="15" t="s">
        <v>323</v>
      </c>
      <c r="CB273" s="15" t="s">
        <v>129</v>
      </c>
      <c r="CC273" s="15">
        <v>1</v>
      </c>
      <c r="CN273" s="15" t="s">
        <v>198</v>
      </c>
      <c r="CW273" s="10">
        <v>2</v>
      </c>
      <c r="CX273" s="15" t="s">
        <v>1060</v>
      </c>
    </row>
    <row r="274" spans="1:102" s="15" customFormat="1" x14ac:dyDescent="0.3">
      <c r="A274" s="11" t="s">
        <v>126</v>
      </c>
      <c r="B274" s="10" t="s">
        <v>1061</v>
      </c>
      <c r="C274" s="12" t="s">
        <v>1065</v>
      </c>
      <c r="D274" s="10">
        <v>12</v>
      </c>
      <c r="E274" s="13">
        <v>100000</v>
      </c>
      <c r="F274" s="14" t="s">
        <v>243</v>
      </c>
      <c r="G274" s="14" t="s">
        <v>244</v>
      </c>
      <c r="H274" s="15" t="s">
        <v>312</v>
      </c>
      <c r="I274" s="8"/>
      <c r="J274" s="10"/>
      <c r="AV274" s="15" t="s">
        <v>181</v>
      </c>
      <c r="AW274" s="15" t="s">
        <v>182</v>
      </c>
      <c r="AX274" s="15" t="s">
        <v>1062</v>
      </c>
      <c r="BF274" s="15" t="s">
        <v>467</v>
      </c>
      <c r="BG274" s="15" t="s">
        <v>468</v>
      </c>
      <c r="BH274" s="15" t="s">
        <v>184</v>
      </c>
      <c r="BI274" s="15" t="s">
        <v>185</v>
      </c>
      <c r="BJ274" s="15" t="s">
        <v>186</v>
      </c>
      <c r="BK274" s="15" t="s">
        <v>187</v>
      </c>
      <c r="BL274" s="15" t="s">
        <v>188</v>
      </c>
      <c r="BM274" s="15" t="s">
        <v>189</v>
      </c>
      <c r="BN274" s="15" t="s">
        <v>190</v>
      </c>
      <c r="BO274" s="15" t="s">
        <v>191</v>
      </c>
      <c r="BR274" s="15" t="s">
        <v>192</v>
      </c>
      <c r="BS274" s="15" t="s">
        <v>193</v>
      </c>
      <c r="BT274" s="15" t="s">
        <v>194</v>
      </c>
      <c r="BU274" s="15" t="s">
        <v>195</v>
      </c>
      <c r="BV274" s="15" t="s">
        <v>196</v>
      </c>
      <c r="BW274" s="15" t="s">
        <v>272</v>
      </c>
      <c r="CB274" s="15" t="s">
        <v>129</v>
      </c>
      <c r="CC274" s="15">
        <v>1</v>
      </c>
      <c r="CN274" s="15" t="s">
        <v>985</v>
      </c>
      <c r="CW274" s="10">
        <v>2</v>
      </c>
      <c r="CX274" s="15" t="s">
        <v>1063</v>
      </c>
    </row>
    <row r="275" spans="1:102" s="15" customFormat="1" x14ac:dyDescent="0.3">
      <c r="A275" s="11" t="s">
        <v>126</v>
      </c>
      <c r="B275" s="10" t="s">
        <v>1064</v>
      </c>
      <c r="C275" s="12" t="s">
        <v>1065</v>
      </c>
      <c r="D275" s="10">
        <v>12</v>
      </c>
      <c r="E275" s="13">
        <v>100000</v>
      </c>
      <c r="F275" s="14" t="s">
        <v>244</v>
      </c>
      <c r="G275" s="14" t="s">
        <v>244</v>
      </c>
      <c r="H275" s="15" t="s">
        <v>312</v>
      </c>
      <c r="I275" s="8"/>
      <c r="J275" s="10"/>
      <c r="AW275" s="15" t="s">
        <v>128</v>
      </c>
      <c r="AX275" s="15" t="s">
        <v>1062</v>
      </c>
      <c r="BF275" s="15" t="s">
        <v>467</v>
      </c>
      <c r="BG275" s="15" t="s">
        <v>468</v>
      </c>
      <c r="BH275" s="15" t="s">
        <v>184</v>
      </c>
      <c r="BI275" s="15" t="s">
        <v>185</v>
      </c>
      <c r="BJ275" s="15" t="s">
        <v>186</v>
      </c>
      <c r="BK275" s="15" t="s">
        <v>187</v>
      </c>
      <c r="BL275" s="15" t="s">
        <v>188</v>
      </c>
      <c r="BM275" s="15" t="s">
        <v>189</v>
      </c>
      <c r="BN275" s="15" t="s">
        <v>190</v>
      </c>
      <c r="BO275" s="15" t="s">
        <v>191</v>
      </c>
      <c r="BR275" s="15" t="s">
        <v>192</v>
      </c>
      <c r="BS275" s="15" t="s">
        <v>193</v>
      </c>
      <c r="BT275" s="15" t="s">
        <v>194</v>
      </c>
      <c r="BU275" s="15" t="s">
        <v>195</v>
      </c>
      <c r="BV275" s="15" t="s">
        <v>196</v>
      </c>
      <c r="BW275" s="15" t="s">
        <v>272</v>
      </c>
      <c r="CB275" s="15" t="s">
        <v>128</v>
      </c>
      <c r="CC275" s="15">
        <v>1</v>
      </c>
      <c r="CN275" s="15" t="s">
        <v>985</v>
      </c>
      <c r="CW275" s="10">
        <v>2</v>
      </c>
      <c r="CX275" s="15" t="s">
        <v>1066</v>
      </c>
    </row>
    <row r="276" spans="1:102" s="15" customFormat="1" x14ac:dyDescent="0.3">
      <c r="A276" s="11" t="s">
        <v>126</v>
      </c>
      <c r="B276" s="10" t="s">
        <v>1067</v>
      </c>
      <c r="C276" s="12" t="s">
        <v>3909</v>
      </c>
      <c r="D276" s="10">
        <v>12</v>
      </c>
      <c r="E276" s="13">
        <v>500000</v>
      </c>
      <c r="F276" s="14" t="s">
        <v>178</v>
      </c>
      <c r="G276" s="14" t="s">
        <v>179</v>
      </c>
      <c r="H276" s="15" t="s">
        <v>1068</v>
      </c>
      <c r="I276" s="8"/>
      <c r="J276" s="10"/>
      <c r="AV276" s="15" t="s">
        <v>181</v>
      </c>
      <c r="AW276" s="15" t="s">
        <v>182</v>
      </c>
      <c r="AX276" s="15" t="s">
        <v>183</v>
      </c>
      <c r="BH276" s="15" t="s">
        <v>184</v>
      </c>
      <c r="BI276" s="15" t="s">
        <v>185</v>
      </c>
      <c r="BJ276" s="15" t="s">
        <v>186</v>
      </c>
      <c r="BK276" s="15" t="s">
        <v>187</v>
      </c>
      <c r="BL276" s="15" t="s">
        <v>188</v>
      </c>
      <c r="BM276" s="15" t="s">
        <v>189</v>
      </c>
      <c r="BN276" s="15" t="s">
        <v>190</v>
      </c>
      <c r="BO276" s="15" t="s">
        <v>191</v>
      </c>
      <c r="BR276" s="15" t="s">
        <v>192</v>
      </c>
      <c r="BS276" s="15" t="s">
        <v>193</v>
      </c>
      <c r="BT276" s="15" t="s">
        <v>194</v>
      </c>
      <c r="BU276" s="15" t="s">
        <v>195</v>
      </c>
      <c r="BV276" s="15" t="s">
        <v>196</v>
      </c>
      <c r="CB276" s="15" t="s">
        <v>129</v>
      </c>
      <c r="CC276" s="15" t="s">
        <v>197</v>
      </c>
      <c r="CN276" s="15" t="s">
        <v>198</v>
      </c>
      <c r="CW276" s="10">
        <v>2</v>
      </c>
      <c r="CX276" s="15" t="s">
        <v>1069</v>
      </c>
    </row>
    <row r="277" spans="1:102" s="15" customFormat="1" x14ac:dyDescent="0.3">
      <c r="A277" s="11" t="s">
        <v>126</v>
      </c>
      <c r="B277" s="10" t="s">
        <v>1070</v>
      </c>
      <c r="C277" s="12" t="s">
        <v>3910</v>
      </c>
      <c r="D277" s="10">
        <v>12</v>
      </c>
      <c r="E277" s="13">
        <v>500000</v>
      </c>
      <c r="F277" s="14" t="s">
        <v>178</v>
      </c>
      <c r="G277" s="14" t="s">
        <v>179</v>
      </c>
      <c r="H277" s="15" t="s">
        <v>1068</v>
      </c>
      <c r="I277" s="8"/>
      <c r="J277" s="10"/>
      <c r="AV277" s="15" t="s">
        <v>181</v>
      </c>
      <c r="AW277" s="15" t="s">
        <v>182</v>
      </c>
      <c r="AX277" s="15" t="s">
        <v>726</v>
      </c>
      <c r="BH277" s="15" t="s">
        <v>184</v>
      </c>
      <c r="BI277" s="15" t="s">
        <v>185</v>
      </c>
      <c r="BJ277" s="15" t="s">
        <v>186</v>
      </c>
      <c r="BK277" s="15" t="s">
        <v>187</v>
      </c>
      <c r="BL277" s="15" t="s">
        <v>188</v>
      </c>
      <c r="BM277" s="15" t="s">
        <v>189</v>
      </c>
      <c r="BN277" s="15" t="s">
        <v>190</v>
      </c>
      <c r="BO277" s="15" t="s">
        <v>191</v>
      </c>
      <c r="BR277" s="15" t="s">
        <v>192</v>
      </c>
      <c r="BS277" s="15" t="s">
        <v>193</v>
      </c>
      <c r="BT277" s="15" t="s">
        <v>194</v>
      </c>
      <c r="BU277" s="15" t="s">
        <v>195</v>
      </c>
      <c r="BV277" s="15" t="s">
        <v>196</v>
      </c>
      <c r="CB277" s="15" t="s">
        <v>129</v>
      </c>
      <c r="CC277" s="15" t="s">
        <v>197</v>
      </c>
      <c r="CN277" s="15" t="s">
        <v>198</v>
      </c>
      <c r="CW277" s="10">
        <v>2</v>
      </c>
      <c r="CX277" s="15" t="s">
        <v>1071</v>
      </c>
    </row>
    <row r="278" spans="1:102" s="15" customFormat="1" x14ac:dyDescent="0.3">
      <c r="A278" s="11" t="s">
        <v>126</v>
      </c>
      <c r="B278" s="10" t="s">
        <v>1072</v>
      </c>
      <c r="C278" s="12" t="s">
        <v>1073</v>
      </c>
      <c r="D278" s="10">
        <v>12</v>
      </c>
      <c r="E278" s="13">
        <v>1000000</v>
      </c>
      <c r="F278" s="14" t="s">
        <v>210</v>
      </c>
      <c r="G278" s="14" t="s">
        <v>210</v>
      </c>
      <c r="H278" s="15" t="s">
        <v>270</v>
      </c>
      <c r="I278" s="8"/>
      <c r="J278" s="10"/>
      <c r="AW278" s="15" t="s">
        <v>128</v>
      </c>
      <c r="AX278" s="15" t="s">
        <v>271</v>
      </c>
      <c r="BH278" s="15" t="s">
        <v>184</v>
      </c>
      <c r="BI278" s="15" t="s">
        <v>185</v>
      </c>
      <c r="BJ278" s="15" t="s">
        <v>186</v>
      </c>
      <c r="BK278" s="15" t="s">
        <v>187</v>
      </c>
      <c r="BL278" s="15" t="s">
        <v>188</v>
      </c>
      <c r="BM278" s="15" t="s">
        <v>189</v>
      </c>
      <c r="BN278" s="15" t="s">
        <v>190</v>
      </c>
      <c r="BO278" s="15" t="s">
        <v>191</v>
      </c>
      <c r="BR278" s="15" t="s">
        <v>192</v>
      </c>
      <c r="BS278" s="15" t="s">
        <v>193</v>
      </c>
      <c r="BT278" s="15" t="s">
        <v>194</v>
      </c>
      <c r="BU278" s="15" t="s">
        <v>195</v>
      </c>
      <c r="BV278" s="15" t="s">
        <v>196</v>
      </c>
      <c r="BW278" s="15" t="s">
        <v>272</v>
      </c>
      <c r="CB278" s="15" t="s">
        <v>128</v>
      </c>
      <c r="CC278" s="15">
        <v>1</v>
      </c>
      <c r="CN278" s="15" t="s">
        <v>273</v>
      </c>
      <c r="CW278" s="10">
        <v>2</v>
      </c>
      <c r="CX278" s="15" t="s">
        <v>1074</v>
      </c>
    </row>
    <row r="279" spans="1:102" s="15" customFormat="1" x14ac:dyDescent="0.3">
      <c r="A279" s="11" t="s">
        <v>126</v>
      </c>
      <c r="B279" s="10" t="s">
        <v>1075</v>
      </c>
      <c r="C279" s="12" t="s">
        <v>1076</v>
      </c>
      <c r="D279" s="10">
        <v>12</v>
      </c>
      <c r="E279" s="13">
        <v>1000000</v>
      </c>
      <c r="F279" s="14" t="s">
        <v>210</v>
      </c>
      <c r="G279" s="14" t="s">
        <v>210</v>
      </c>
      <c r="H279" s="15" t="s">
        <v>270</v>
      </c>
      <c r="I279" s="8"/>
      <c r="J279" s="10"/>
      <c r="AW279" s="15" t="s">
        <v>128</v>
      </c>
      <c r="AX279" s="15" t="s">
        <v>276</v>
      </c>
      <c r="BH279" s="15" t="s">
        <v>184</v>
      </c>
      <c r="BI279" s="15" t="s">
        <v>185</v>
      </c>
      <c r="BJ279" s="15" t="s">
        <v>186</v>
      </c>
      <c r="BK279" s="15" t="s">
        <v>187</v>
      </c>
      <c r="BL279" s="15" t="s">
        <v>188</v>
      </c>
      <c r="BM279" s="15" t="s">
        <v>189</v>
      </c>
      <c r="BN279" s="15" t="s">
        <v>190</v>
      </c>
      <c r="BO279" s="15" t="s">
        <v>191</v>
      </c>
      <c r="BR279" s="15" t="s">
        <v>192</v>
      </c>
      <c r="BS279" s="15" t="s">
        <v>193</v>
      </c>
      <c r="BT279" s="15" t="s">
        <v>194</v>
      </c>
      <c r="BU279" s="15" t="s">
        <v>195</v>
      </c>
      <c r="BV279" s="15" t="s">
        <v>196</v>
      </c>
      <c r="BW279" s="15" t="s">
        <v>272</v>
      </c>
      <c r="CB279" s="15" t="s">
        <v>128</v>
      </c>
      <c r="CC279" s="15">
        <v>1</v>
      </c>
      <c r="CN279" s="15" t="s">
        <v>273</v>
      </c>
      <c r="CW279" s="10">
        <v>2</v>
      </c>
      <c r="CX279" s="15" t="s">
        <v>1077</v>
      </c>
    </row>
    <row r="280" spans="1:102" s="15" customFormat="1" x14ac:dyDescent="0.3">
      <c r="A280" s="11" t="s">
        <v>126</v>
      </c>
      <c r="B280" s="10" t="s">
        <v>1078</v>
      </c>
      <c r="C280" s="12" t="s">
        <v>1079</v>
      </c>
      <c r="D280" s="10">
        <v>12</v>
      </c>
      <c r="E280" s="13">
        <v>100000</v>
      </c>
      <c r="F280" s="14" t="s">
        <v>210</v>
      </c>
      <c r="G280" s="14" t="s">
        <v>210</v>
      </c>
      <c r="H280" s="15" t="s">
        <v>957</v>
      </c>
      <c r="I280" s="8"/>
      <c r="J280" s="10"/>
      <c r="AW280" s="15" t="s">
        <v>128</v>
      </c>
      <c r="AX280" s="15" t="s">
        <v>958</v>
      </c>
      <c r="BH280" s="15" t="s">
        <v>184</v>
      </c>
      <c r="BI280" s="15" t="s">
        <v>185</v>
      </c>
      <c r="BJ280" s="15" t="s">
        <v>186</v>
      </c>
      <c r="BK280" s="15" t="s">
        <v>187</v>
      </c>
      <c r="BL280" s="15" t="s">
        <v>188</v>
      </c>
      <c r="BM280" s="15" t="s">
        <v>189</v>
      </c>
      <c r="BN280" s="15" t="s">
        <v>190</v>
      </c>
      <c r="BO280" s="15" t="s">
        <v>191</v>
      </c>
      <c r="BR280" s="15" t="s">
        <v>192</v>
      </c>
      <c r="BS280" s="15" t="s">
        <v>193</v>
      </c>
      <c r="BT280" s="15" t="s">
        <v>194</v>
      </c>
      <c r="BU280" s="15" t="s">
        <v>195</v>
      </c>
      <c r="BV280" s="15" t="s">
        <v>196</v>
      </c>
      <c r="BW280" s="15" t="s">
        <v>196</v>
      </c>
      <c r="CB280" s="15" t="s">
        <v>128</v>
      </c>
      <c r="CC280" s="15">
        <v>1</v>
      </c>
      <c r="CN280" s="15" t="s">
        <v>198</v>
      </c>
      <c r="CW280" s="10">
        <v>2</v>
      </c>
      <c r="CX280" s="15" t="s">
        <v>1080</v>
      </c>
    </row>
    <row r="281" spans="1:102" s="15" customFormat="1" x14ac:dyDescent="0.3">
      <c r="A281" s="11" t="s">
        <v>126</v>
      </c>
      <c r="B281" s="10" t="s">
        <v>1081</v>
      </c>
      <c r="C281" s="12" t="s">
        <v>1082</v>
      </c>
      <c r="D281" s="10">
        <v>12</v>
      </c>
      <c r="E281" s="13">
        <v>1000000</v>
      </c>
      <c r="F281" s="14" t="s">
        <v>210</v>
      </c>
      <c r="G281" s="14" t="s">
        <v>210</v>
      </c>
      <c r="H281" s="15" t="s">
        <v>211</v>
      </c>
      <c r="I281" s="8"/>
      <c r="J281" s="10"/>
      <c r="AW281" s="15" t="s">
        <v>128</v>
      </c>
      <c r="AX281" s="15" t="s">
        <v>962</v>
      </c>
      <c r="BH281" s="15" t="s">
        <v>184</v>
      </c>
      <c r="BI281" s="15" t="s">
        <v>185</v>
      </c>
      <c r="BJ281" s="15" t="s">
        <v>186</v>
      </c>
      <c r="BK281" s="15" t="s">
        <v>187</v>
      </c>
      <c r="BL281" s="15" t="s">
        <v>188</v>
      </c>
      <c r="BM281" s="15" t="s">
        <v>189</v>
      </c>
      <c r="BN281" s="15" t="s">
        <v>190</v>
      </c>
      <c r="BO281" s="15" t="s">
        <v>191</v>
      </c>
      <c r="BR281" s="15" t="s">
        <v>192</v>
      </c>
      <c r="BS281" s="15" t="s">
        <v>193</v>
      </c>
      <c r="BT281" s="15" t="s">
        <v>194</v>
      </c>
      <c r="BU281" s="15" t="s">
        <v>195</v>
      </c>
      <c r="BV281" s="15" t="s">
        <v>196</v>
      </c>
      <c r="BW281" s="15" t="s">
        <v>251</v>
      </c>
      <c r="CB281" s="15" t="s">
        <v>128</v>
      </c>
      <c r="CC281" s="15">
        <v>1</v>
      </c>
      <c r="CN281" s="15" t="s">
        <v>963</v>
      </c>
      <c r="CW281" s="10">
        <v>2</v>
      </c>
      <c r="CX281" s="15" t="s">
        <v>1083</v>
      </c>
    </row>
    <row r="282" spans="1:102" s="15" customFormat="1" x14ac:dyDescent="0.3">
      <c r="A282" s="11" t="s">
        <v>126</v>
      </c>
      <c r="B282" s="10" t="s">
        <v>1084</v>
      </c>
      <c r="C282" s="12" t="s">
        <v>1085</v>
      </c>
      <c r="D282" s="10">
        <v>12</v>
      </c>
      <c r="E282" s="13">
        <v>500000</v>
      </c>
      <c r="F282" s="14" t="s">
        <v>244</v>
      </c>
      <c r="G282" s="14" t="s">
        <v>244</v>
      </c>
      <c r="H282" s="15" t="s">
        <v>270</v>
      </c>
      <c r="I282" s="8"/>
      <c r="J282" s="10"/>
      <c r="AW282" s="15" t="s">
        <v>128</v>
      </c>
      <c r="AX282" s="15" t="s">
        <v>762</v>
      </c>
      <c r="BH282" s="15" t="s">
        <v>184</v>
      </c>
      <c r="BI282" s="15" t="s">
        <v>185</v>
      </c>
      <c r="BJ282" s="15" t="s">
        <v>186</v>
      </c>
      <c r="BK282" s="15" t="s">
        <v>187</v>
      </c>
      <c r="BL282" s="15" t="s">
        <v>188</v>
      </c>
      <c r="BM282" s="15" t="s">
        <v>189</v>
      </c>
      <c r="BN282" s="15" t="s">
        <v>190</v>
      </c>
      <c r="BO282" s="15" t="s">
        <v>191</v>
      </c>
      <c r="BR282" s="15" t="s">
        <v>192</v>
      </c>
      <c r="BS282" s="15" t="s">
        <v>193</v>
      </c>
      <c r="BT282" s="15" t="s">
        <v>194</v>
      </c>
      <c r="BU282" s="15" t="s">
        <v>195</v>
      </c>
      <c r="BV282" s="15" t="s">
        <v>196</v>
      </c>
      <c r="BW282" s="15" t="s">
        <v>272</v>
      </c>
      <c r="CB282" s="15" t="s">
        <v>128</v>
      </c>
      <c r="CC282" s="15">
        <v>1</v>
      </c>
      <c r="CN282" s="15" t="s">
        <v>273</v>
      </c>
      <c r="CW282" s="10">
        <v>2</v>
      </c>
      <c r="CX282" s="15" t="s">
        <v>1086</v>
      </c>
    </row>
    <row r="283" spans="1:102" s="15" customFormat="1" x14ac:dyDescent="0.3">
      <c r="A283" s="11" t="s">
        <v>126</v>
      </c>
      <c r="B283" s="10" t="s">
        <v>1087</v>
      </c>
      <c r="C283" s="12" t="s">
        <v>1088</v>
      </c>
      <c r="D283" s="10">
        <v>12</v>
      </c>
      <c r="E283" s="13">
        <v>100000</v>
      </c>
      <c r="F283" s="14" t="s">
        <v>244</v>
      </c>
      <c r="G283" s="14" t="s">
        <v>244</v>
      </c>
      <c r="H283" s="15" t="s">
        <v>211</v>
      </c>
      <c r="I283" s="8"/>
      <c r="J283" s="10"/>
      <c r="AW283" s="15" t="s">
        <v>128</v>
      </c>
      <c r="AX283" s="15" t="s">
        <v>393</v>
      </c>
      <c r="BH283" s="15" t="s">
        <v>184</v>
      </c>
      <c r="BI283" s="15" t="s">
        <v>185</v>
      </c>
      <c r="BJ283" s="15" t="s">
        <v>186</v>
      </c>
      <c r="BK283" s="15" t="s">
        <v>187</v>
      </c>
      <c r="BL283" s="15" t="s">
        <v>188</v>
      </c>
      <c r="BM283" s="15" t="s">
        <v>189</v>
      </c>
      <c r="BN283" s="15" t="s">
        <v>190</v>
      </c>
      <c r="BO283" s="15" t="s">
        <v>191</v>
      </c>
      <c r="BR283" s="15" t="s">
        <v>192</v>
      </c>
      <c r="BS283" s="15" t="s">
        <v>193</v>
      </c>
      <c r="BT283" s="15" t="s">
        <v>194</v>
      </c>
      <c r="BU283" s="15" t="s">
        <v>195</v>
      </c>
      <c r="BV283" s="15" t="s">
        <v>196</v>
      </c>
      <c r="BW283" s="15" t="s">
        <v>251</v>
      </c>
      <c r="CB283" s="15" t="s">
        <v>128</v>
      </c>
      <c r="CC283" s="15">
        <v>1</v>
      </c>
      <c r="CN283" s="15" t="s">
        <v>198</v>
      </c>
      <c r="CW283" s="10">
        <v>2</v>
      </c>
      <c r="CX283" s="15" t="s">
        <v>1089</v>
      </c>
    </row>
    <row r="284" spans="1:102" s="15" customFormat="1" x14ac:dyDescent="0.3">
      <c r="A284" s="11" t="s">
        <v>126</v>
      </c>
      <c r="B284" s="10" t="s">
        <v>1090</v>
      </c>
      <c r="C284" s="12" t="s">
        <v>1091</v>
      </c>
      <c r="D284" s="10">
        <v>12</v>
      </c>
      <c r="E284" s="13">
        <v>100000</v>
      </c>
      <c r="F284" s="14" t="s">
        <v>244</v>
      </c>
      <c r="G284" s="14" t="s">
        <v>244</v>
      </c>
      <c r="H284" s="15" t="s">
        <v>312</v>
      </c>
      <c r="I284" s="8"/>
      <c r="J284" s="10"/>
      <c r="AW284" s="15" t="s">
        <v>128</v>
      </c>
      <c r="AX284" s="15" t="s">
        <v>1062</v>
      </c>
      <c r="BH284" s="15" t="s">
        <v>184</v>
      </c>
      <c r="BI284" s="15" t="s">
        <v>185</v>
      </c>
      <c r="BJ284" s="15" t="s">
        <v>186</v>
      </c>
      <c r="BK284" s="15" t="s">
        <v>187</v>
      </c>
      <c r="BL284" s="15" t="s">
        <v>188</v>
      </c>
      <c r="BM284" s="15" t="s">
        <v>189</v>
      </c>
      <c r="BN284" s="15" t="s">
        <v>190</v>
      </c>
      <c r="BO284" s="15" t="s">
        <v>191</v>
      </c>
      <c r="BR284" s="15" t="s">
        <v>192</v>
      </c>
      <c r="BS284" s="15" t="s">
        <v>193</v>
      </c>
      <c r="BT284" s="15" t="s">
        <v>194</v>
      </c>
      <c r="BU284" s="15" t="s">
        <v>195</v>
      </c>
      <c r="BV284" s="15" t="s">
        <v>196</v>
      </c>
      <c r="BW284" s="15" t="s">
        <v>272</v>
      </c>
      <c r="CB284" s="15" t="s">
        <v>128</v>
      </c>
      <c r="CC284" s="15">
        <v>1</v>
      </c>
      <c r="CN284" s="15" t="s">
        <v>985</v>
      </c>
      <c r="CW284" s="10">
        <v>2</v>
      </c>
      <c r="CX284" s="15" t="s">
        <v>1092</v>
      </c>
    </row>
    <row r="285" spans="1:102" s="15" customFormat="1" x14ac:dyDescent="0.3">
      <c r="A285" s="11" t="s">
        <v>126</v>
      </c>
      <c r="B285" s="10" t="s">
        <v>1093</v>
      </c>
      <c r="C285" s="12" t="s">
        <v>1094</v>
      </c>
      <c r="D285" s="10">
        <v>12</v>
      </c>
      <c r="E285" s="13">
        <v>1000000</v>
      </c>
      <c r="F285" s="14" t="s">
        <v>210</v>
      </c>
      <c r="G285" s="14" t="s">
        <v>210</v>
      </c>
      <c r="H285" s="15" t="s">
        <v>312</v>
      </c>
      <c r="I285" s="8"/>
      <c r="J285" s="10"/>
      <c r="AW285" s="15" t="s">
        <v>128</v>
      </c>
      <c r="AX285" s="15" t="s">
        <v>832</v>
      </c>
      <c r="BH285" s="15" t="s">
        <v>184</v>
      </c>
      <c r="BI285" s="15" t="s">
        <v>185</v>
      </c>
      <c r="BJ285" s="15" t="s">
        <v>186</v>
      </c>
      <c r="BK285" s="15" t="s">
        <v>187</v>
      </c>
      <c r="BL285" s="15" t="s">
        <v>188</v>
      </c>
      <c r="BM285" s="15" t="s">
        <v>189</v>
      </c>
      <c r="BN285" s="15" t="s">
        <v>190</v>
      </c>
      <c r="BO285" s="15" t="s">
        <v>191</v>
      </c>
      <c r="BR285" s="15" t="s">
        <v>192</v>
      </c>
      <c r="BS285" s="15" t="s">
        <v>193</v>
      </c>
      <c r="BT285" s="15" t="s">
        <v>194</v>
      </c>
      <c r="BU285" s="15" t="s">
        <v>195</v>
      </c>
      <c r="BV285" s="15" t="s">
        <v>196</v>
      </c>
      <c r="BW285" s="15" t="s">
        <v>193</v>
      </c>
      <c r="CB285" s="15" t="s">
        <v>128</v>
      </c>
      <c r="CC285" s="15">
        <v>1</v>
      </c>
      <c r="CN285" s="15" t="s">
        <v>963</v>
      </c>
      <c r="CW285" s="10">
        <v>2</v>
      </c>
      <c r="CX285" s="15" t="s">
        <v>1095</v>
      </c>
    </row>
    <row r="286" spans="1:102" s="15" customFormat="1" x14ac:dyDescent="0.3">
      <c r="A286" s="11" t="s">
        <v>126</v>
      </c>
      <c r="B286" s="10" t="s">
        <v>1096</v>
      </c>
      <c r="C286" s="12" t="s">
        <v>1097</v>
      </c>
      <c r="D286" s="10">
        <v>12</v>
      </c>
      <c r="E286" s="13">
        <v>1000000</v>
      </c>
      <c r="F286" s="14" t="s">
        <v>210</v>
      </c>
      <c r="G286" s="14" t="s">
        <v>210</v>
      </c>
      <c r="H286" s="15" t="s">
        <v>312</v>
      </c>
      <c r="I286" s="8"/>
      <c r="J286" s="10"/>
      <c r="AW286" s="15" t="s">
        <v>128</v>
      </c>
      <c r="AX286" s="15" t="s">
        <v>832</v>
      </c>
      <c r="BH286" s="15" t="s">
        <v>184</v>
      </c>
      <c r="BI286" s="15" t="s">
        <v>185</v>
      </c>
      <c r="BJ286" s="15" t="s">
        <v>186</v>
      </c>
      <c r="BK286" s="15" t="s">
        <v>187</v>
      </c>
      <c r="BL286" s="15" t="s">
        <v>188</v>
      </c>
      <c r="BM286" s="15" t="s">
        <v>189</v>
      </c>
      <c r="BN286" s="15" t="s">
        <v>190</v>
      </c>
      <c r="BO286" s="15" t="s">
        <v>191</v>
      </c>
      <c r="BR286" s="15" t="s">
        <v>192</v>
      </c>
      <c r="BS286" s="15" t="s">
        <v>193</v>
      </c>
      <c r="BT286" s="15" t="s">
        <v>194</v>
      </c>
      <c r="BU286" s="15" t="s">
        <v>195</v>
      </c>
      <c r="BV286" s="15" t="s">
        <v>196</v>
      </c>
      <c r="BW286" s="15" t="s">
        <v>193</v>
      </c>
      <c r="CB286" s="15" t="s">
        <v>128</v>
      </c>
      <c r="CC286" s="15">
        <v>1</v>
      </c>
      <c r="CN286" s="15" t="s">
        <v>963</v>
      </c>
      <c r="CW286" s="10">
        <v>2</v>
      </c>
      <c r="CX286" s="15" t="s">
        <v>1098</v>
      </c>
    </row>
    <row r="287" spans="1:102" s="15" customFormat="1" x14ac:dyDescent="0.3">
      <c r="A287" s="11" t="s">
        <v>126</v>
      </c>
      <c r="B287" s="10" t="s">
        <v>1099</v>
      </c>
      <c r="C287" s="12" t="s">
        <v>1100</v>
      </c>
      <c r="D287" s="10">
        <v>12</v>
      </c>
      <c r="E287" s="13">
        <v>1000000</v>
      </c>
      <c r="F287" s="14" t="s">
        <v>210</v>
      </c>
      <c r="G287" s="14" t="s">
        <v>210</v>
      </c>
      <c r="H287" s="15" t="s">
        <v>312</v>
      </c>
      <c r="I287" s="8"/>
      <c r="J287" s="10"/>
      <c r="AW287" s="15" t="s">
        <v>128</v>
      </c>
      <c r="AX287" s="15" t="s">
        <v>836</v>
      </c>
      <c r="BH287" s="15" t="s">
        <v>184</v>
      </c>
      <c r="BI287" s="15" t="s">
        <v>185</v>
      </c>
      <c r="BJ287" s="15" t="s">
        <v>186</v>
      </c>
      <c r="BK287" s="15" t="s">
        <v>187</v>
      </c>
      <c r="BL287" s="15" t="s">
        <v>188</v>
      </c>
      <c r="BM287" s="15" t="s">
        <v>189</v>
      </c>
      <c r="BN287" s="15" t="s">
        <v>190</v>
      </c>
      <c r="BO287" s="15" t="s">
        <v>191</v>
      </c>
      <c r="BR287" s="15" t="s">
        <v>192</v>
      </c>
      <c r="BS287" s="15" t="s">
        <v>193</v>
      </c>
      <c r="BT287" s="15" t="s">
        <v>194</v>
      </c>
      <c r="BU287" s="15" t="s">
        <v>195</v>
      </c>
      <c r="BV287" s="15" t="s">
        <v>196</v>
      </c>
      <c r="BW287" s="15" t="s">
        <v>193</v>
      </c>
      <c r="CB287" s="15" t="s">
        <v>128</v>
      </c>
      <c r="CC287" s="15">
        <v>1</v>
      </c>
      <c r="CN287" s="15" t="s">
        <v>963</v>
      </c>
      <c r="CW287" s="10">
        <v>2</v>
      </c>
      <c r="CX287" s="15" t="s">
        <v>1101</v>
      </c>
    </row>
    <row r="288" spans="1:102" s="15" customFormat="1" x14ac:dyDescent="0.3">
      <c r="A288" s="11" t="s">
        <v>126</v>
      </c>
      <c r="B288" s="10" t="s">
        <v>1102</v>
      </c>
      <c r="C288" s="12" t="s">
        <v>1103</v>
      </c>
      <c r="D288" s="10">
        <v>12</v>
      </c>
      <c r="E288" s="13">
        <v>1000000</v>
      </c>
      <c r="F288" s="14" t="s">
        <v>210</v>
      </c>
      <c r="G288" s="14" t="s">
        <v>210</v>
      </c>
      <c r="H288" s="15" t="s">
        <v>312</v>
      </c>
      <c r="I288" s="8"/>
      <c r="J288" s="10"/>
      <c r="AW288" s="15" t="s">
        <v>128</v>
      </c>
      <c r="AX288" s="15" t="s">
        <v>836</v>
      </c>
      <c r="BH288" s="15" t="s">
        <v>184</v>
      </c>
      <c r="BI288" s="15" t="s">
        <v>185</v>
      </c>
      <c r="BJ288" s="15" t="s">
        <v>186</v>
      </c>
      <c r="BK288" s="15" t="s">
        <v>187</v>
      </c>
      <c r="BL288" s="15" t="s">
        <v>188</v>
      </c>
      <c r="BM288" s="15" t="s">
        <v>189</v>
      </c>
      <c r="BN288" s="15" t="s">
        <v>190</v>
      </c>
      <c r="BO288" s="15" t="s">
        <v>191</v>
      </c>
      <c r="BR288" s="15" t="s">
        <v>192</v>
      </c>
      <c r="BS288" s="15" t="s">
        <v>193</v>
      </c>
      <c r="BT288" s="15" t="s">
        <v>194</v>
      </c>
      <c r="BU288" s="15" t="s">
        <v>195</v>
      </c>
      <c r="BV288" s="15" t="s">
        <v>196</v>
      </c>
      <c r="BW288" s="15" t="s">
        <v>193</v>
      </c>
      <c r="CB288" s="15" t="s">
        <v>128</v>
      </c>
      <c r="CC288" s="15">
        <v>1</v>
      </c>
      <c r="CN288" s="15" t="s">
        <v>963</v>
      </c>
      <c r="CW288" s="10">
        <v>2</v>
      </c>
      <c r="CX288" s="15" t="s">
        <v>1104</v>
      </c>
    </row>
    <row r="289" spans="1:102" s="15" customFormat="1" x14ac:dyDescent="0.3">
      <c r="A289" s="11" t="s">
        <v>126</v>
      </c>
      <c r="B289" s="10" t="s">
        <v>1105</v>
      </c>
      <c r="C289" s="12" t="s">
        <v>3911</v>
      </c>
      <c r="D289" s="10">
        <v>12</v>
      </c>
      <c r="E289" s="13">
        <v>100000</v>
      </c>
      <c r="F289" s="14" t="s">
        <v>243</v>
      </c>
      <c r="G289" s="14" t="s">
        <v>244</v>
      </c>
      <c r="H289" s="15" t="s">
        <v>254</v>
      </c>
      <c r="I289" s="8"/>
      <c r="J289" s="10"/>
      <c r="AV289" s="15" t="s">
        <v>181</v>
      </c>
      <c r="AW289" s="15" t="s">
        <v>182</v>
      </c>
      <c r="AX289" s="15" t="s">
        <v>1106</v>
      </c>
      <c r="BH289" s="15" t="s">
        <v>184</v>
      </c>
      <c r="BI289" s="15" t="s">
        <v>185</v>
      </c>
      <c r="BJ289" s="15" t="s">
        <v>186</v>
      </c>
      <c r="BK289" s="15" t="s">
        <v>187</v>
      </c>
      <c r="BL289" s="15" t="s">
        <v>188</v>
      </c>
      <c r="BM289" s="15" t="s">
        <v>189</v>
      </c>
      <c r="BN289" s="15" t="s">
        <v>190</v>
      </c>
      <c r="BO289" s="15" t="s">
        <v>191</v>
      </c>
      <c r="BR289" s="15" t="s">
        <v>192</v>
      </c>
      <c r="BS289" s="15" t="s">
        <v>193</v>
      </c>
      <c r="BT289" s="15" t="s">
        <v>194</v>
      </c>
      <c r="BU289" s="15" t="s">
        <v>195</v>
      </c>
      <c r="BV289" s="15" t="s">
        <v>196</v>
      </c>
      <c r="BW289" s="15" t="s">
        <v>404</v>
      </c>
      <c r="CB289" s="15" t="s">
        <v>129</v>
      </c>
      <c r="CC289" s="15">
        <v>1</v>
      </c>
      <c r="CN289" s="15" t="s">
        <v>198</v>
      </c>
      <c r="CW289" s="10">
        <v>2</v>
      </c>
      <c r="CX289" s="15" t="s">
        <v>1107</v>
      </c>
    </row>
    <row r="290" spans="1:102" s="15" customFormat="1" x14ac:dyDescent="0.3">
      <c r="A290" s="11" t="s">
        <v>126</v>
      </c>
      <c r="B290" s="10" t="s">
        <v>1108</v>
      </c>
      <c r="C290" s="12" t="s">
        <v>1139</v>
      </c>
      <c r="D290" s="10">
        <v>12</v>
      </c>
      <c r="E290" s="13">
        <v>100000</v>
      </c>
      <c r="F290" s="14" t="s">
        <v>243</v>
      </c>
      <c r="G290" s="14" t="s">
        <v>244</v>
      </c>
      <c r="H290" s="15" t="s">
        <v>254</v>
      </c>
      <c r="I290" s="8"/>
      <c r="J290" s="10"/>
      <c r="AV290" s="15" t="s">
        <v>181</v>
      </c>
      <c r="AW290" s="15" t="s">
        <v>182</v>
      </c>
      <c r="AX290" s="15" t="s">
        <v>1109</v>
      </c>
      <c r="BH290" s="15" t="s">
        <v>184</v>
      </c>
      <c r="BI290" s="15" t="s">
        <v>185</v>
      </c>
      <c r="BJ290" s="15" t="s">
        <v>186</v>
      </c>
      <c r="BK290" s="15" t="s">
        <v>187</v>
      </c>
      <c r="BL290" s="15" t="s">
        <v>188</v>
      </c>
      <c r="BM290" s="15" t="s">
        <v>189</v>
      </c>
      <c r="BN290" s="15" t="s">
        <v>190</v>
      </c>
      <c r="BO290" s="15" t="s">
        <v>191</v>
      </c>
      <c r="BR290" s="15" t="s">
        <v>192</v>
      </c>
      <c r="BS290" s="15" t="s">
        <v>193</v>
      </c>
      <c r="BT290" s="15" t="s">
        <v>194</v>
      </c>
      <c r="BU290" s="15" t="s">
        <v>195</v>
      </c>
      <c r="BV290" s="15" t="s">
        <v>196</v>
      </c>
      <c r="BW290" s="15" t="s">
        <v>404</v>
      </c>
      <c r="CB290" s="15" t="s">
        <v>129</v>
      </c>
      <c r="CC290" s="15">
        <v>1</v>
      </c>
      <c r="CN290" s="15" t="s">
        <v>198</v>
      </c>
      <c r="CW290" s="10">
        <v>2</v>
      </c>
      <c r="CX290" s="15" t="s">
        <v>1110</v>
      </c>
    </row>
    <row r="291" spans="1:102" s="15" customFormat="1" x14ac:dyDescent="0.3">
      <c r="A291" s="11" t="s">
        <v>126</v>
      </c>
      <c r="B291" s="10" t="s">
        <v>1111</v>
      </c>
      <c r="C291" s="12" t="s">
        <v>1142</v>
      </c>
      <c r="D291" s="10">
        <v>12</v>
      </c>
      <c r="E291" s="13">
        <v>500000</v>
      </c>
      <c r="F291" s="14" t="s">
        <v>243</v>
      </c>
      <c r="G291" s="14" t="s">
        <v>244</v>
      </c>
      <c r="H291" s="15" t="s">
        <v>254</v>
      </c>
      <c r="I291" s="8"/>
      <c r="J291" s="10"/>
      <c r="AV291" s="15" t="s">
        <v>181</v>
      </c>
      <c r="AW291" s="15" t="s">
        <v>182</v>
      </c>
      <c r="AX291" s="15" t="s">
        <v>1112</v>
      </c>
      <c r="BH291" s="15" t="s">
        <v>184</v>
      </c>
      <c r="BI291" s="15" t="s">
        <v>185</v>
      </c>
      <c r="BJ291" s="15" t="s">
        <v>186</v>
      </c>
      <c r="BK291" s="15" t="s">
        <v>187</v>
      </c>
      <c r="BL291" s="15" t="s">
        <v>188</v>
      </c>
      <c r="BM291" s="15" t="s">
        <v>189</v>
      </c>
      <c r="BN291" s="15" t="s">
        <v>190</v>
      </c>
      <c r="BO291" s="15" t="s">
        <v>191</v>
      </c>
      <c r="BR291" s="15" t="s">
        <v>192</v>
      </c>
      <c r="BS291" s="15" t="s">
        <v>193</v>
      </c>
      <c r="BT291" s="15" t="s">
        <v>194</v>
      </c>
      <c r="BU291" s="15" t="s">
        <v>195</v>
      </c>
      <c r="BV291" s="15" t="s">
        <v>196</v>
      </c>
      <c r="BW291" s="15" t="s">
        <v>404</v>
      </c>
      <c r="CB291" s="15" t="s">
        <v>129</v>
      </c>
      <c r="CC291" s="15">
        <v>1</v>
      </c>
      <c r="CN291" s="15" t="s">
        <v>198</v>
      </c>
      <c r="CW291" s="10">
        <v>2</v>
      </c>
      <c r="CX291" s="15" t="s">
        <v>1113</v>
      </c>
    </row>
    <row r="292" spans="1:102" s="15" customFormat="1" x14ac:dyDescent="0.3">
      <c r="A292" s="11" t="s">
        <v>126</v>
      </c>
      <c r="B292" s="10" t="s">
        <v>1114</v>
      </c>
      <c r="C292" s="12" t="s">
        <v>1145</v>
      </c>
      <c r="D292" s="10">
        <v>12</v>
      </c>
      <c r="E292" s="13">
        <v>1000000</v>
      </c>
      <c r="F292" s="14" t="s">
        <v>243</v>
      </c>
      <c r="G292" s="14" t="s">
        <v>244</v>
      </c>
      <c r="H292" s="15" t="s">
        <v>254</v>
      </c>
      <c r="I292" s="8"/>
      <c r="J292" s="10"/>
      <c r="AV292" s="15" t="s">
        <v>181</v>
      </c>
      <c r="AW292" s="15" t="s">
        <v>182</v>
      </c>
      <c r="AX292" s="15" t="s">
        <v>1115</v>
      </c>
      <c r="BH292" s="15" t="s">
        <v>184</v>
      </c>
      <c r="BI292" s="15" t="s">
        <v>185</v>
      </c>
      <c r="BJ292" s="15" t="s">
        <v>186</v>
      </c>
      <c r="BK292" s="15" t="s">
        <v>187</v>
      </c>
      <c r="BL292" s="15" t="s">
        <v>188</v>
      </c>
      <c r="BM292" s="15" t="s">
        <v>189</v>
      </c>
      <c r="BN292" s="15" t="s">
        <v>190</v>
      </c>
      <c r="BO292" s="15" t="s">
        <v>191</v>
      </c>
      <c r="BR292" s="15" t="s">
        <v>192</v>
      </c>
      <c r="BS292" s="15" t="s">
        <v>193</v>
      </c>
      <c r="BT292" s="15" t="s">
        <v>194</v>
      </c>
      <c r="BU292" s="15" t="s">
        <v>195</v>
      </c>
      <c r="BV292" s="15" t="s">
        <v>196</v>
      </c>
      <c r="BW292" s="15" t="s">
        <v>404</v>
      </c>
      <c r="CB292" s="15" t="s">
        <v>129</v>
      </c>
      <c r="CC292" s="15">
        <v>1</v>
      </c>
      <c r="CN292" s="15" t="s">
        <v>198</v>
      </c>
      <c r="CW292" s="10">
        <v>2</v>
      </c>
      <c r="CX292" s="15" t="s">
        <v>1116</v>
      </c>
    </row>
    <row r="293" spans="1:102" s="15" customFormat="1" x14ac:dyDescent="0.3">
      <c r="A293" s="11" t="s">
        <v>126</v>
      </c>
      <c r="B293" s="10" t="s">
        <v>1117</v>
      </c>
      <c r="C293" s="12" t="s">
        <v>1148</v>
      </c>
      <c r="D293" s="10">
        <v>12</v>
      </c>
      <c r="E293" s="13">
        <v>1000000</v>
      </c>
      <c r="F293" s="14" t="s">
        <v>243</v>
      </c>
      <c r="G293" s="14" t="s">
        <v>244</v>
      </c>
      <c r="H293" s="15" t="s">
        <v>254</v>
      </c>
      <c r="I293" s="8"/>
      <c r="J293" s="10"/>
      <c r="AV293" s="15" t="s">
        <v>181</v>
      </c>
      <c r="AW293" s="15" t="s">
        <v>182</v>
      </c>
      <c r="AX293" s="15" t="s">
        <v>1118</v>
      </c>
      <c r="BH293" s="15" t="s">
        <v>184</v>
      </c>
      <c r="BI293" s="15" t="s">
        <v>185</v>
      </c>
      <c r="BJ293" s="15" t="s">
        <v>186</v>
      </c>
      <c r="BK293" s="15" t="s">
        <v>187</v>
      </c>
      <c r="BL293" s="15" t="s">
        <v>188</v>
      </c>
      <c r="BM293" s="15" t="s">
        <v>189</v>
      </c>
      <c r="BN293" s="15" t="s">
        <v>190</v>
      </c>
      <c r="BO293" s="15" t="s">
        <v>191</v>
      </c>
      <c r="BR293" s="15" t="s">
        <v>192</v>
      </c>
      <c r="BS293" s="15" t="s">
        <v>193</v>
      </c>
      <c r="BT293" s="15" t="s">
        <v>194</v>
      </c>
      <c r="BU293" s="15" t="s">
        <v>195</v>
      </c>
      <c r="BV293" s="15" t="s">
        <v>196</v>
      </c>
      <c r="BW293" s="15" t="s">
        <v>404</v>
      </c>
      <c r="CB293" s="15" t="s">
        <v>129</v>
      </c>
      <c r="CC293" s="15">
        <v>1</v>
      </c>
      <c r="CN293" s="15" t="s">
        <v>198</v>
      </c>
      <c r="CW293" s="10">
        <v>2</v>
      </c>
      <c r="CX293" s="15" t="s">
        <v>1119</v>
      </c>
    </row>
    <row r="294" spans="1:102" s="15" customFormat="1" x14ac:dyDescent="0.3">
      <c r="A294" s="11" t="s">
        <v>126</v>
      </c>
      <c r="B294" s="10" t="s">
        <v>1120</v>
      </c>
      <c r="C294" s="12" t="s">
        <v>1151</v>
      </c>
      <c r="D294" s="10">
        <v>12</v>
      </c>
      <c r="E294" s="13">
        <v>100000</v>
      </c>
      <c r="F294" s="14" t="s">
        <v>243</v>
      </c>
      <c r="G294" s="14" t="s">
        <v>244</v>
      </c>
      <c r="H294" s="15" t="s">
        <v>245</v>
      </c>
      <c r="I294" s="8"/>
      <c r="J294" s="10"/>
      <c r="AV294" s="15" t="s">
        <v>181</v>
      </c>
      <c r="AW294" s="15" t="s">
        <v>182</v>
      </c>
      <c r="AX294" s="15" t="s">
        <v>1121</v>
      </c>
      <c r="AY294" s="15" t="s">
        <v>247</v>
      </c>
      <c r="AZ294" s="15" t="s">
        <v>248</v>
      </c>
      <c r="BA294" s="15" t="s">
        <v>249</v>
      </c>
      <c r="BB294" s="15" t="s">
        <v>250</v>
      </c>
      <c r="BH294" s="15" t="s">
        <v>184</v>
      </c>
      <c r="BI294" s="15" t="s">
        <v>185</v>
      </c>
      <c r="BJ294" s="15" t="s">
        <v>186</v>
      </c>
      <c r="BK294" s="15" t="s">
        <v>187</v>
      </c>
      <c r="BL294" s="15" t="s">
        <v>188</v>
      </c>
      <c r="BM294" s="15" t="s">
        <v>189</v>
      </c>
      <c r="BN294" s="15" t="s">
        <v>190</v>
      </c>
      <c r="BO294" s="15" t="s">
        <v>191</v>
      </c>
      <c r="BR294" s="15" t="s">
        <v>192</v>
      </c>
      <c r="BS294" s="15" t="s">
        <v>193</v>
      </c>
      <c r="BT294" s="15" t="s">
        <v>194</v>
      </c>
      <c r="BU294" s="15" t="s">
        <v>195</v>
      </c>
      <c r="BV294" s="15" t="s">
        <v>196</v>
      </c>
      <c r="BW294" s="15" t="s">
        <v>251</v>
      </c>
      <c r="CB294" s="15" t="s">
        <v>129</v>
      </c>
      <c r="CC294" s="15">
        <v>1</v>
      </c>
      <c r="CN294" s="15" t="s">
        <v>198</v>
      </c>
      <c r="CW294" s="10">
        <v>2</v>
      </c>
      <c r="CX294" s="15" t="s">
        <v>1122</v>
      </c>
    </row>
    <row r="295" spans="1:102" s="15" customFormat="1" x14ac:dyDescent="0.3">
      <c r="A295" s="11" t="s">
        <v>126</v>
      </c>
      <c r="B295" s="10" t="s">
        <v>1123</v>
      </c>
      <c r="C295" s="12" t="s">
        <v>1154</v>
      </c>
      <c r="D295" s="10">
        <v>12</v>
      </c>
      <c r="E295" s="13">
        <v>100000</v>
      </c>
      <c r="F295" s="14" t="s">
        <v>243</v>
      </c>
      <c r="G295" s="14" t="s">
        <v>244</v>
      </c>
      <c r="H295" s="15" t="s">
        <v>254</v>
      </c>
      <c r="I295" s="8"/>
      <c r="J295" s="10"/>
      <c r="AV295" s="15" t="s">
        <v>181</v>
      </c>
      <c r="AW295" s="15" t="s">
        <v>182</v>
      </c>
      <c r="AX295" s="15" t="s">
        <v>1124</v>
      </c>
      <c r="BH295" s="15" t="s">
        <v>184</v>
      </c>
      <c r="BI295" s="15" t="s">
        <v>185</v>
      </c>
      <c r="BJ295" s="15" t="s">
        <v>186</v>
      </c>
      <c r="BK295" s="15" t="s">
        <v>187</v>
      </c>
      <c r="BL295" s="15" t="s">
        <v>188</v>
      </c>
      <c r="BM295" s="15" t="s">
        <v>189</v>
      </c>
      <c r="BN295" s="15" t="s">
        <v>190</v>
      </c>
      <c r="BO295" s="15" t="s">
        <v>191</v>
      </c>
      <c r="BR295" s="15" t="s">
        <v>192</v>
      </c>
      <c r="BS295" s="15" t="s">
        <v>193</v>
      </c>
      <c r="BT295" s="15" t="s">
        <v>194</v>
      </c>
      <c r="BU295" s="15" t="s">
        <v>195</v>
      </c>
      <c r="BV295" s="15" t="s">
        <v>196</v>
      </c>
      <c r="BW295" s="15" t="s">
        <v>251</v>
      </c>
      <c r="CB295" s="15" t="s">
        <v>129</v>
      </c>
      <c r="CC295" s="15">
        <v>1</v>
      </c>
      <c r="CN295" s="15" t="s">
        <v>198</v>
      </c>
      <c r="CW295" s="10">
        <v>2</v>
      </c>
      <c r="CX295" s="15" t="s">
        <v>1125</v>
      </c>
    </row>
    <row r="296" spans="1:102" s="15" customFormat="1" x14ac:dyDescent="0.3">
      <c r="A296" s="11" t="s">
        <v>126</v>
      </c>
      <c r="B296" s="10" t="s">
        <v>1126</v>
      </c>
      <c r="C296" s="12" t="s">
        <v>1157</v>
      </c>
      <c r="D296" s="10">
        <v>12</v>
      </c>
      <c r="E296" s="13">
        <v>100000</v>
      </c>
      <c r="F296" s="14" t="s">
        <v>243</v>
      </c>
      <c r="G296" s="14" t="s">
        <v>244</v>
      </c>
      <c r="H296" s="15" t="s">
        <v>254</v>
      </c>
      <c r="I296" s="8"/>
      <c r="J296" s="10"/>
      <c r="AV296" s="15" t="s">
        <v>181</v>
      </c>
      <c r="AW296" s="15" t="s">
        <v>182</v>
      </c>
      <c r="AX296" s="15" t="s">
        <v>1127</v>
      </c>
      <c r="BH296" s="15" t="s">
        <v>184</v>
      </c>
      <c r="BI296" s="15" t="s">
        <v>185</v>
      </c>
      <c r="BJ296" s="15" t="s">
        <v>186</v>
      </c>
      <c r="BK296" s="15" t="s">
        <v>187</v>
      </c>
      <c r="BL296" s="15" t="s">
        <v>188</v>
      </c>
      <c r="BM296" s="15" t="s">
        <v>189</v>
      </c>
      <c r="BN296" s="15" t="s">
        <v>190</v>
      </c>
      <c r="BO296" s="15" t="s">
        <v>191</v>
      </c>
      <c r="BR296" s="15" t="s">
        <v>192</v>
      </c>
      <c r="BS296" s="15" t="s">
        <v>193</v>
      </c>
      <c r="BT296" s="15" t="s">
        <v>194</v>
      </c>
      <c r="BU296" s="15" t="s">
        <v>195</v>
      </c>
      <c r="BV296" s="15" t="s">
        <v>196</v>
      </c>
      <c r="BW296" s="15" t="s">
        <v>251</v>
      </c>
      <c r="CB296" s="15" t="s">
        <v>129</v>
      </c>
      <c r="CC296" s="15">
        <v>1</v>
      </c>
      <c r="CN296" s="15" t="s">
        <v>198</v>
      </c>
      <c r="CW296" s="10">
        <v>2</v>
      </c>
      <c r="CX296" s="15" t="s">
        <v>1128</v>
      </c>
    </row>
    <row r="297" spans="1:102" s="15" customFormat="1" x14ac:dyDescent="0.3">
      <c r="A297" s="11" t="s">
        <v>126</v>
      </c>
      <c r="B297" s="10" t="s">
        <v>1129</v>
      </c>
      <c r="C297" s="12" t="s">
        <v>1160</v>
      </c>
      <c r="D297" s="10">
        <v>12</v>
      </c>
      <c r="E297" s="13">
        <v>1000000</v>
      </c>
      <c r="F297" s="14" t="s">
        <v>243</v>
      </c>
      <c r="G297" s="14" t="s">
        <v>244</v>
      </c>
      <c r="H297" s="15" t="s">
        <v>254</v>
      </c>
      <c r="I297" s="8"/>
      <c r="J297" s="10"/>
      <c r="AV297" s="15" t="s">
        <v>181</v>
      </c>
      <c r="AW297" s="15" t="s">
        <v>182</v>
      </c>
      <c r="AX297" s="15" t="s">
        <v>1130</v>
      </c>
      <c r="BH297" s="15" t="s">
        <v>184</v>
      </c>
      <c r="BI297" s="15" t="s">
        <v>185</v>
      </c>
      <c r="BJ297" s="15" t="s">
        <v>186</v>
      </c>
      <c r="BK297" s="15" t="s">
        <v>187</v>
      </c>
      <c r="BL297" s="15" t="s">
        <v>188</v>
      </c>
      <c r="BM297" s="15" t="s">
        <v>189</v>
      </c>
      <c r="BN297" s="15" t="s">
        <v>190</v>
      </c>
      <c r="BO297" s="15" t="s">
        <v>191</v>
      </c>
      <c r="BR297" s="15" t="s">
        <v>192</v>
      </c>
      <c r="BS297" s="15" t="s">
        <v>193</v>
      </c>
      <c r="BT297" s="15" t="s">
        <v>194</v>
      </c>
      <c r="BU297" s="15" t="s">
        <v>195</v>
      </c>
      <c r="BV297" s="15" t="s">
        <v>196</v>
      </c>
      <c r="BW297" s="15" t="s">
        <v>251</v>
      </c>
      <c r="CB297" s="15" t="s">
        <v>129</v>
      </c>
      <c r="CC297" s="15">
        <v>1</v>
      </c>
      <c r="CN297" s="15" t="s">
        <v>198</v>
      </c>
      <c r="CW297" s="10">
        <v>2</v>
      </c>
      <c r="CX297" s="15" t="s">
        <v>1131</v>
      </c>
    </row>
    <row r="298" spans="1:102" s="15" customFormat="1" x14ac:dyDescent="0.3">
      <c r="A298" s="11" t="s">
        <v>126</v>
      </c>
      <c r="B298" s="10" t="s">
        <v>1132</v>
      </c>
      <c r="C298" s="12" t="s">
        <v>1163</v>
      </c>
      <c r="D298" s="10">
        <v>12</v>
      </c>
      <c r="E298" s="13">
        <v>1000000</v>
      </c>
      <c r="F298" s="14" t="s">
        <v>243</v>
      </c>
      <c r="G298" s="14" t="s">
        <v>244</v>
      </c>
      <c r="H298" s="15" t="s">
        <v>254</v>
      </c>
      <c r="I298" s="8"/>
      <c r="J298" s="10"/>
      <c r="AV298" s="15" t="s">
        <v>181</v>
      </c>
      <c r="AW298" s="15" t="s">
        <v>182</v>
      </c>
      <c r="AX298" s="15" t="s">
        <v>1133</v>
      </c>
      <c r="BH298" s="15" t="s">
        <v>184</v>
      </c>
      <c r="BI298" s="15" t="s">
        <v>185</v>
      </c>
      <c r="BJ298" s="15" t="s">
        <v>186</v>
      </c>
      <c r="BK298" s="15" t="s">
        <v>187</v>
      </c>
      <c r="BL298" s="15" t="s">
        <v>188</v>
      </c>
      <c r="BM298" s="15" t="s">
        <v>189</v>
      </c>
      <c r="BN298" s="15" t="s">
        <v>190</v>
      </c>
      <c r="BO298" s="15" t="s">
        <v>191</v>
      </c>
      <c r="BR298" s="15" t="s">
        <v>192</v>
      </c>
      <c r="BS298" s="15" t="s">
        <v>193</v>
      </c>
      <c r="BT298" s="15" t="s">
        <v>194</v>
      </c>
      <c r="BU298" s="15" t="s">
        <v>195</v>
      </c>
      <c r="BV298" s="15" t="s">
        <v>196</v>
      </c>
      <c r="BW298" s="15" t="s">
        <v>251</v>
      </c>
      <c r="CB298" s="15" t="s">
        <v>129</v>
      </c>
      <c r="CC298" s="15">
        <v>1</v>
      </c>
      <c r="CN298" s="15" t="s">
        <v>198</v>
      </c>
      <c r="CW298" s="10">
        <v>2</v>
      </c>
      <c r="CX298" s="15" t="s">
        <v>1134</v>
      </c>
    </row>
    <row r="299" spans="1:102" s="15" customFormat="1" x14ac:dyDescent="0.3">
      <c r="A299" s="11" t="s">
        <v>126</v>
      </c>
      <c r="B299" s="10" t="s">
        <v>1135</v>
      </c>
      <c r="C299" s="12" t="s">
        <v>1136</v>
      </c>
      <c r="D299" s="10">
        <v>12</v>
      </c>
      <c r="E299" s="13">
        <v>100000</v>
      </c>
      <c r="F299" s="14" t="s">
        <v>244</v>
      </c>
      <c r="G299" s="14" t="s">
        <v>244</v>
      </c>
      <c r="H299" s="15" t="s">
        <v>254</v>
      </c>
      <c r="I299" s="8"/>
      <c r="J299" s="10"/>
      <c r="AW299" s="15" t="s">
        <v>128</v>
      </c>
      <c r="AX299" s="15" t="s">
        <v>1106</v>
      </c>
      <c r="BH299" s="15" t="s">
        <v>184</v>
      </c>
      <c r="BI299" s="15" t="s">
        <v>185</v>
      </c>
      <c r="BJ299" s="15" t="s">
        <v>186</v>
      </c>
      <c r="BK299" s="15" t="s">
        <v>187</v>
      </c>
      <c r="BL299" s="15" t="s">
        <v>188</v>
      </c>
      <c r="BM299" s="15" t="s">
        <v>189</v>
      </c>
      <c r="BN299" s="15" t="s">
        <v>190</v>
      </c>
      <c r="BO299" s="15" t="s">
        <v>191</v>
      </c>
      <c r="BR299" s="15" t="s">
        <v>192</v>
      </c>
      <c r="BS299" s="15" t="s">
        <v>193</v>
      </c>
      <c r="BT299" s="15" t="s">
        <v>194</v>
      </c>
      <c r="BU299" s="15" t="s">
        <v>195</v>
      </c>
      <c r="BV299" s="15" t="s">
        <v>196</v>
      </c>
      <c r="BW299" s="15" t="s">
        <v>404</v>
      </c>
      <c r="CB299" s="15" t="s">
        <v>128</v>
      </c>
      <c r="CC299" s="15">
        <v>1</v>
      </c>
      <c r="CN299" s="15" t="s">
        <v>198</v>
      </c>
      <c r="CW299" s="10">
        <v>2</v>
      </c>
      <c r="CX299" s="15" t="s">
        <v>1137</v>
      </c>
    </row>
    <row r="300" spans="1:102" s="15" customFormat="1" x14ac:dyDescent="0.3">
      <c r="A300" s="11" t="s">
        <v>126</v>
      </c>
      <c r="B300" s="10" t="s">
        <v>1138</v>
      </c>
      <c r="C300" s="12" t="s">
        <v>1139</v>
      </c>
      <c r="D300" s="10">
        <v>12</v>
      </c>
      <c r="E300" s="13">
        <v>100000</v>
      </c>
      <c r="F300" s="14" t="s">
        <v>244</v>
      </c>
      <c r="G300" s="14" t="s">
        <v>244</v>
      </c>
      <c r="H300" s="15" t="s">
        <v>254</v>
      </c>
      <c r="I300" s="8"/>
      <c r="J300" s="10"/>
      <c r="AW300" s="15" t="s">
        <v>128</v>
      </c>
      <c r="AX300" s="15" t="s">
        <v>1109</v>
      </c>
      <c r="BH300" s="15" t="s">
        <v>184</v>
      </c>
      <c r="BI300" s="15" t="s">
        <v>185</v>
      </c>
      <c r="BJ300" s="15" t="s">
        <v>186</v>
      </c>
      <c r="BK300" s="15" t="s">
        <v>187</v>
      </c>
      <c r="BL300" s="15" t="s">
        <v>188</v>
      </c>
      <c r="BM300" s="15" t="s">
        <v>189</v>
      </c>
      <c r="BN300" s="15" t="s">
        <v>190</v>
      </c>
      <c r="BO300" s="15" t="s">
        <v>191</v>
      </c>
      <c r="BR300" s="15" t="s">
        <v>192</v>
      </c>
      <c r="BS300" s="15" t="s">
        <v>193</v>
      </c>
      <c r="BT300" s="15" t="s">
        <v>194</v>
      </c>
      <c r="BU300" s="15" t="s">
        <v>195</v>
      </c>
      <c r="BV300" s="15" t="s">
        <v>196</v>
      </c>
      <c r="BW300" s="15" t="s">
        <v>404</v>
      </c>
      <c r="CB300" s="15" t="s">
        <v>128</v>
      </c>
      <c r="CC300" s="15">
        <v>1</v>
      </c>
      <c r="CN300" s="15" t="s">
        <v>198</v>
      </c>
      <c r="CW300" s="10">
        <v>2</v>
      </c>
      <c r="CX300" s="15" t="s">
        <v>1140</v>
      </c>
    </row>
    <row r="301" spans="1:102" s="15" customFormat="1" x14ac:dyDescent="0.3">
      <c r="A301" s="11" t="s">
        <v>126</v>
      </c>
      <c r="B301" s="10" t="s">
        <v>1141</v>
      </c>
      <c r="C301" s="12" t="s">
        <v>1142</v>
      </c>
      <c r="D301" s="10">
        <v>12</v>
      </c>
      <c r="E301" s="13">
        <v>500000</v>
      </c>
      <c r="F301" s="14" t="s">
        <v>244</v>
      </c>
      <c r="G301" s="14" t="s">
        <v>244</v>
      </c>
      <c r="H301" s="15" t="s">
        <v>254</v>
      </c>
      <c r="I301" s="8"/>
      <c r="J301" s="10"/>
      <c r="AW301" s="15" t="s">
        <v>128</v>
      </c>
      <c r="AX301" s="15" t="s">
        <v>1112</v>
      </c>
      <c r="BH301" s="15" t="s">
        <v>184</v>
      </c>
      <c r="BI301" s="15" t="s">
        <v>185</v>
      </c>
      <c r="BJ301" s="15" t="s">
        <v>186</v>
      </c>
      <c r="BK301" s="15" t="s">
        <v>187</v>
      </c>
      <c r="BL301" s="15" t="s">
        <v>188</v>
      </c>
      <c r="BM301" s="15" t="s">
        <v>189</v>
      </c>
      <c r="BN301" s="15" t="s">
        <v>190</v>
      </c>
      <c r="BO301" s="15" t="s">
        <v>191</v>
      </c>
      <c r="BR301" s="15" t="s">
        <v>192</v>
      </c>
      <c r="BS301" s="15" t="s">
        <v>193</v>
      </c>
      <c r="BT301" s="15" t="s">
        <v>194</v>
      </c>
      <c r="BU301" s="15" t="s">
        <v>195</v>
      </c>
      <c r="BV301" s="15" t="s">
        <v>196</v>
      </c>
      <c r="BW301" s="15" t="s">
        <v>404</v>
      </c>
      <c r="CB301" s="15" t="s">
        <v>128</v>
      </c>
      <c r="CC301" s="15">
        <v>1</v>
      </c>
      <c r="CN301" s="15" t="s">
        <v>198</v>
      </c>
      <c r="CW301" s="10">
        <v>2</v>
      </c>
      <c r="CX301" s="15" t="s">
        <v>1143</v>
      </c>
    </row>
    <row r="302" spans="1:102" s="15" customFormat="1" x14ac:dyDescent="0.3">
      <c r="A302" s="11" t="s">
        <v>126</v>
      </c>
      <c r="B302" s="10" t="s">
        <v>1144</v>
      </c>
      <c r="C302" s="12" t="s">
        <v>1145</v>
      </c>
      <c r="D302" s="10">
        <v>12</v>
      </c>
      <c r="E302" s="13">
        <v>1000000</v>
      </c>
      <c r="F302" s="14" t="s">
        <v>244</v>
      </c>
      <c r="G302" s="14" t="s">
        <v>244</v>
      </c>
      <c r="H302" s="15" t="s">
        <v>254</v>
      </c>
      <c r="I302" s="8"/>
      <c r="J302" s="10"/>
      <c r="AW302" s="15" t="s">
        <v>128</v>
      </c>
      <c r="AX302" s="15" t="s">
        <v>1115</v>
      </c>
      <c r="BH302" s="15" t="s">
        <v>184</v>
      </c>
      <c r="BI302" s="15" t="s">
        <v>185</v>
      </c>
      <c r="BJ302" s="15" t="s">
        <v>186</v>
      </c>
      <c r="BK302" s="15" t="s">
        <v>187</v>
      </c>
      <c r="BL302" s="15" t="s">
        <v>188</v>
      </c>
      <c r="BM302" s="15" t="s">
        <v>189</v>
      </c>
      <c r="BN302" s="15" t="s">
        <v>190</v>
      </c>
      <c r="BO302" s="15" t="s">
        <v>191</v>
      </c>
      <c r="BR302" s="15" t="s">
        <v>192</v>
      </c>
      <c r="BS302" s="15" t="s">
        <v>193</v>
      </c>
      <c r="BT302" s="15" t="s">
        <v>194</v>
      </c>
      <c r="BU302" s="15" t="s">
        <v>195</v>
      </c>
      <c r="BV302" s="15" t="s">
        <v>196</v>
      </c>
      <c r="BW302" s="15" t="s">
        <v>404</v>
      </c>
      <c r="CB302" s="15" t="s">
        <v>128</v>
      </c>
      <c r="CC302" s="15">
        <v>1</v>
      </c>
      <c r="CN302" s="15" t="s">
        <v>198</v>
      </c>
      <c r="CW302" s="10">
        <v>2</v>
      </c>
      <c r="CX302" s="15" t="s">
        <v>1146</v>
      </c>
    </row>
    <row r="303" spans="1:102" s="15" customFormat="1" x14ac:dyDescent="0.3">
      <c r="A303" s="11" t="s">
        <v>126</v>
      </c>
      <c r="B303" s="10" t="s">
        <v>1147</v>
      </c>
      <c r="C303" s="12" t="s">
        <v>1148</v>
      </c>
      <c r="D303" s="10">
        <v>12</v>
      </c>
      <c r="E303" s="13">
        <v>1000000</v>
      </c>
      <c r="F303" s="14" t="s">
        <v>244</v>
      </c>
      <c r="G303" s="14" t="s">
        <v>244</v>
      </c>
      <c r="H303" s="15" t="s">
        <v>254</v>
      </c>
      <c r="I303" s="8"/>
      <c r="J303" s="10"/>
      <c r="AW303" s="15" t="s">
        <v>128</v>
      </c>
      <c r="AX303" s="15" t="s">
        <v>1118</v>
      </c>
      <c r="BH303" s="15" t="s">
        <v>184</v>
      </c>
      <c r="BI303" s="15" t="s">
        <v>185</v>
      </c>
      <c r="BJ303" s="15" t="s">
        <v>186</v>
      </c>
      <c r="BK303" s="15" t="s">
        <v>187</v>
      </c>
      <c r="BL303" s="15" t="s">
        <v>188</v>
      </c>
      <c r="BM303" s="15" t="s">
        <v>189</v>
      </c>
      <c r="BN303" s="15" t="s">
        <v>190</v>
      </c>
      <c r="BO303" s="15" t="s">
        <v>191</v>
      </c>
      <c r="BR303" s="15" t="s">
        <v>192</v>
      </c>
      <c r="BS303" s="15" t="s">
        <v>193</v>
      </c>
      <c r="BT303" s="15" t="s">
        <v>194</v>
      </c>
      <c r="BU303" s="15" t="s">
        <v>195</v>
      </c>
      <c r="BV303" s="15" t="s">
        <v>196</v>
      </c>
      <c r="BW303" s="15" t="s">
        <v>404</v>
      </c>
      <c r="CB303" s="15" t="s">
        <v>128</v>
      </c>
      <c r="CC303" s="15">
        <v>1</v>
      </c>
      <c r="CN303" s="15" t="s">
        <v>198</v>
      </c>
      <c r="CW303" s="10">
        <v>2</v>
      </c>
      <c r="CX303" s="15" t="s">
        <v>1149</v>
      </c>
    </row>
    <row r="304" spans="1:102" s="15" customFormat="1" x14ac:dyDescent="0.3">
      <c r="A304" s="11" t="s">
        <v>126</v>
      </c>
      <c r="B304" s="10" t="s">
        <v>1150</v>
      </c>
      <c r="C304" s="12" t="s">
        <v>1151</v>
      </c>
      <c r="D304" s="10">
        <v>12</v>
      </c>
      <c r="E304" s="13">
        <v>100000</v>
      </c>
      <c r="F304" s="14" t="s">
        <v>244</v>
      </c>
      <c r="G304" s="14" t="s">
        <v>244</v>
      </c>
      <c r="H304" s="15" t="s">
        <v>245</v>
      </c>
      <c r="I304" s="8"/>
      <c r="J304" s="10"/>
      <c r="AW304" s="15" t="s">
        <v>128</v>
      </c>
      <c r="AX304" s="15" t="s">
        <v>1121</v>
      </c>
      <c r="AY304" s="15" t="s">
        <v>247</v>
      </c>
      <c r="AZ304" s="15" t="s">
        <v>248</v>
      </c>
      <c r="BA304" s="15" t="s">
        <v>249</v>
      </c>
      <c r="BB304" s="15" t="s">
        <v>250</v>
      </c>
      <c r="BH304" s="15" t="s">
        <v>184</v>
      </c>
      <c r="BI304" s="15" t="s">
        <v>185</v>
      </c>
      <c r="BJ304" s="15" t="s">
        <v>186</v>
      </c>
      <c r="BK304" s="15" t="s">
        <v>187</v>
      </c>
      <c r="BL304" s="15" t="s">
        <v>188</v>
      </c>
      <c r="BM304" s="15" t="s">
        <v>189</v>
      </c>
      <c r="BN304" s="15" t="s">
        <v>190</v>
      </c>
      <c r="BO304" s="15" t="s">
        <v>191</v>
      </c>
      <c r="BR304" s="15" t="s">
        <v>192</v>
      </c>
      <c r="BS304" s="15" t="s">
        <v>193</v>
      </c>
      <c r="BT304" s="15" t="s">
        <v>194</v>
      </c>
      <c r="BU304" s="15" t="s">
        <v>195</v>
      </c>
      <c r="BV304" s="15" t="s">
        <v>196</v>
      </c>
      <c r="BW304" s="15" t="s">
        <v>251</v>
      </c>
      <c r="CB304" s="15" t="s">
        <v>128</v>
      </c>
      <c r="CC304" s="15">
        <v>1</v>
      </c>
      <c r="CN304" s="15" t="s">
        <v>198</v>
      </c>
      <c r="CW304" s="10">
        <v>2</v>
      </c>
      <c r="CX304" s="15" t="s">
        <v>1152</v>
      </c>
    </row>
    <row r="305" spans="1:102" s="15" customFormat="1" x14ac:dyDescent="0.3">
      <c r="A305" s="11" t="s">
        <v>126</v>
      </c>
      <c r="B305" s="10" t="s">
        <v>1153</v>
      </c>
      <c r="C305" s="12" t="s">
        <v>1154</v>
      </c>
      <c r="D305" s="10">
        <v>12</v>
      </c>
      <c r="E305" s="13">
        <v>100000</v>
      </c>
      <c r="F305" s="14" t="s">
        <v>244</v>
      </c>
      <c r="G305" s="14" t="s">
        <v>244</v>
      </c>
      <c r="H305" s="15" t="s">
        <v>254</v>
      </c>
      <c r="I305" s="8"/>
      <c r="J305" s="10"/>
      <c r="AW305" s="15" t="s">
        <v>128</v>
      </c>
      <c r="AX305" s="15" t="s">
        <v>1124</v>
      </c>
      <c r="BH305" s="15" t="s">
        <v>184</v>
      </c>
      <c r="BI305" s="15" t="s">
        <v>185</v>
      </c>
      <c r="BJ305" s="15" t="s">
        <v>186</v>
      </c>
      <c r="BK305" s="15" t="s">
        <v>187</v>
      </c>
      <c r="BL305" s="15" t="s">
        <v>188</v>
      </c>
      <c r="BM305" s="15" t="s">
        <v>189</v>
      </c>
      <c r="BN305" s="15" t="s">
        <v>190</v>
      </c>
      <c r="BO305" s="15" t="s">
        <v>191</v>
      </c>
      <c r="BR305" s="15" t="s">
        <v>192</v>
      </c>
      <c r="BS305" s="15" t="s">
        <v>193</v>
      </c>
      <c r="BT305" s="15" t="s">
        <v>194</v>
      </c>
      <c r="BU305" s="15" t="s">
        <v>195</v>
      </c>
      <c r="BV305" s="15" t="s">
        <v>196</v>
      </c>
      <c r="BW305" s="15" t="s">
        <v>251</v>
      </c>
      <c r="CB305" s="15" t="s">
        <v>128</v>
      </c>
      <c r="CC305" s="15">
        <v>1</v>
      </c>
      <c r="CN305" s="15" t="s">
        <v>198</v>
      </c>
      <c r="CW305" s="10">
        <v>2</v>
      </c>
      <c r="CX305" s="15" t="s">
        <v>1155</v>
      </c>
    </row>
    <row r="306" spans="1:102" s="15" customFormat="1" x14ac:dyDescent="0.3">
      <c r="A306" s="11" t="s">
        <v>126</v>
      </c>
      <c r="B306" s="10" t="s">
        <v>1156</v>
      </c>
      <c r="C306" s="12" t="s">
        <v>1157</v>
      </c>
      <c r="D306" s="10">
        <v>12</v>
      </c>
      <c r="E306" s="13">
        <v>100000</v>
      </c>
      <c r="F306" s="14" t="s">
        <v>244</v>
      </c>
      <c r="G306" s="14" t="s">
        <v>244</v>
      </c>
      <c r="H306" s="15" t="s">
        <v>254</v>
      </c>
      <c r="I306" s="8"/>
      <c r="J306" s="10"/>
      <c r="AW306" s="15" t="s">
        <v>128</v>
      </c>
      <c r="AX306" s="15" t="s">
        <v>1127</v>
      </c>
      <c r="BH306" s="15" t="s">
        <v>184</v>
      </c>
      <c r="BI306" s="15" t="s">
        <v>185</v>
      </c>
      <c r="BJ306" s="15" t="s">
        <v>186</v>
      </c>
      <c r="BK306" s="15" t="s">
        <v>187</v>
      </c>
      <c r="BL306" s="15" t="s">
        <v>188</v>
      </c>
      <c r="BM306" s="15" t="s">
        <v>189</v>
      </c>
      <c r="BN306" s="15" t="s">
        <v>190</v>
      </c>
      <c r="BO306" s="15" t="s">
        <v>191</v>
      </c>
      <c r="BR306" s="15" t="s">
        <v>192</v>
      </c>
      <c r="BS306" s="15" t="s">
        <v>193</v>
      </c>
      <c r="BT306" s="15" t="s">
        <v>194</v>
      </c>
      <c r="BU306" s="15" t="s">
        <v>195</v>
      </c>
      <c r="BV306" s="15" t="s">
        <v>196</v>
      </c>
      <c r="BW306" s="15" t="s">
        <v>251</v>
      </c>
      <c r="CB306" s="15" t="s">
        <v>128</v>
      </c>
      <c r="CC306" s="15">
        <v>1</v>
      </c>
      <c r="CN306" s="15" t="s">
        <v>198</v>
      </c>
      <c r="CW306" s="10">
        <v>2</v>
      </c>
      <c r="CX306" s="15" t="s">
        <v>1158</v>
      </c>
    </row>
    <row r="307" spans="1:102" s="15" customFormat="1" x14ac:dyDescent="0.3">
      <c r="A307" s="11" t="s">
        <v>126</v>
      </c>
      <c r="B307" s="10" t="s">
        <v>1159</v>
      </c>
      <c r="C307" s="12" t="s">
        <v>1160</v>
      </c>
      <c r="D307" s="10">
        <v>12</v>
      </c>
      <c r="E307" s="13">
        <v>1000000</v>
      </c>
      <c r="F307" s="14" t="s">
        <v>244</v>
      </c>
      <c r="G307" s="14" t="s">
        <v>244</v>
      </c>
      <c r="H307" s="15" t="s">
        <v>254</v>
      </c>
      <c r="I307" s="8"/>
      <c r="J307" s="10"/>
      <c r="AW307" s="15" t="s">
        <v>128</v>
      </c>
      <c r="AX307" s="15" t="s">
        <v>1130</v>
      </c>
      <c r="BH307" s="15" t="s">
        <v>184</v>
      </c>
      <c r="BI307" s="15" t="s">
        <v>185</v>
      </c>
      <c r="BJ307" s="15" t="s">
        <v>186</v>
      </c>
      <c r="BK307" s="15" t="s">
        <v>187</v>
      </c>
      <c r="BL307" s="15" t="s">
        <v>188</v>
      </c>
      <c r="BM307" s="15" t="s">
        <v>189</v>
      </c>
      <c r="BN307" s="15" t="s">
        <v>190</v>
      </c>
      <c r="BO307" s="15" t="s">
        <v>191</v>
      </c>
      <c r="BR307" s="15" t="s">
        <v>192</v>
      </c>
      <c r="BS307" s="15" t="s">
        <v>193</v>
      </c>
      <c r="BT307" s="15" t="s">
        <v>194</v>
      </c>
      <c r="BU307" s="15" t="s">
        <v>195</v>
      </c>
      <c r="BV307" s="15" t="s">
        <v>196</v>
      </c>
      <c r="BW307" s="15" t="s">
        <v>251</v>
      </c>
      <c r="CB307" s="15" t="s">
        <v>128</v>
      </c>
      <c r="CC307" s="15">
        <v>1</v>
      </c>
      <c r="CN307" s="15" t="s">
        <v>198</v>
      </c>
      <c r="CW307" s="10">
        <v>2</v>
      </c>
      <c r="CX307" s="15" t="s">
        <v>1161</v>
      </c>
    </row>
    <row r="308" spans="1:102" s="15" customFormat="1" x14ac:dyDescent="0.3">
      <c r="A308" s="11" t="s">
        <v>126</v>
      </c>
      <c r="B308" s="10" t="s">
        <v>1162</v>
      </c>
      <c r="C308" s="12" t="s">
        <v>1163</v>
      </c>
      <c r="D308" s="10">
        <v>12</v>
      </c>
      <c r="E308" s="13">
        <v>1000000</v>
      </c>
      <c r="F308" s="14" t="s">
        <v>244</v>
      </c>
      <c r="G308" s="14" t="s">
        <v>244</v>
      </c>
      <c r="H308" s="15" t="s">
        <v>254</v>
      </c>
      <c r="I308" s="8"/>
      <c r="J308" s="10"/>
      <c r="AW308" s="15" t="s">
        <v>128</v>
      </c>
      <c r="AX308" s="15" t="s">
        <v>1133</v>
      </c>
      <c r="BH308" s="15" t="s">
        <v>184</v>
      </c>
      <c r="BI308" s="15" t="s">
        <v>185</v>
      </c>
      <c r="BJ308" s="15" t="s">
        <v>186</v>
      </c>
      <c r="BK308" s="15" t="s">
        <v>187</v>
      </c>
      <c r="BL308" s="15" t="s">
        <v>188</v>
      </c>
      <c r="BM308" s="15" t="s">
        <v>189</v>
      </c>
      <c r="BN308" s="15" t="s">
        <v>190</v>
      </c>
      <c r="BO308" s="15" t="s">
        <v>191</v>
      </c>
      <c r="BR308" s="15" t="s">
        <v>192</v>
      </c>
      <c r="BS308" s="15" t="s">
        <v>193</v>
      </c>
      <c r="BT308" s="15" t="s">
        <v>194</v>
      </c>
      <c r="BU308" s="15" t="s">
        <v>195</v>
      </c>
      <c r="BV308" s="15" t="s">
        <v>196</v>
      </c>
      <c r="BW308" s="15" t="s">
        <v>251</v>
      </c>
      <c r="CB308" s="15" t="s">
        <v>128</v>
      </c>
      <c r="CC308" s="15">
        <v>1</v>
      </c>
      <c r="CN308" s="15" t="s">
        <v>198</v>
      </c>
      <c r="CW308" s="10">
        <v>2</v>
      </c>
      <c r="CX308" s="15" t="s">
        <v>1164</v>
      </c>
    </row>
    <row r="309" spans="1:102" s="15" customFormat="1" x14ac:dyDescent="0.3">
      <c r="A309" s="11" t="s">
        <v>126</v>
      </c>
      <c r="B309" s="10" t="s">
        <v>1165</v>
      </c>
      <c r="C309" s="12" t="s">
        <v>1168</v>
      </c>
      <c r="D309" s="10">
        <v>12</v>
      </c>
      <c r="E309" s="13">
        <v>1000000</v>
      </c>
      <c r="F309" s="14" t="s">
        <v>209</v>
      </c>
      <c r="G309" s="14" t="s">
        <v>210</v>
      </c>
      <c r="H309" s="15" t="s">
        <v>254</v>
      </c>
      <c r="I309" s="8"/>
      <c r="J309" s="10"/>
      <c r="AV309" s="15" t="s">
        <v>212</v>
      </c>
      <c r="AW309" s="15" t="s">
        <v>213</v>
      </c>
      <c r="AX309" s="15" t="s">
        <v>191</v>
      </c>
      <c r="BH309" s="15" t="s">
        <v>184</v>
      </c>
      <c r="BI309" s="15" t="s">
        <v>185</v>
      </c>
      <c r="BJ309" s="15" t="s">
        <v>186</v>
      </c>
      <c r="BK309" s="15" t="s">
        <v>187</v>
      </c>
      <c r="BL309" s="15" t="s">
        <v>188</v>
      </c>
      <c r="BM309" s="15" t="s">
        <v>189</v>
      </c>
      <c r="BN309" s="15" t="s">
        <v>190</v>
      </c>
      <c r="BO309" s="15" t="s">
        <v>191</v>
      </c>
      <c r="BR309" s="15" t="s">
        <v>192</v>
      </c>
      <c r="BS309" s="15" t="s">
        <v>193</v>
      </c>
      <c r="BT309" s="15" t="s">
        <v>194</v>
      </c>
      <c r="BU309" s="15" t="s">
        <v>195</v>
      </c>
      <c r="BV309" s="15" t="s">
        <v>196</v>
      </c>
      <c r="BW309" s="15" t="s">
        <v>193</v>
      </c>
      <c r="CB309" s="15" t="s">
        <v>129</v>
      </c>
      <c r="CC309" s="15">
        <v>1</v>
      </c>
      <c r="CN309" s="15" t="s">
        <v>313</v>
      </c>
      <c r="CW309" s="10">
        <v>2</v>
      </c>
      <c r="CX309" s="15" t="s">
        <v>1166</v>
      </c>
    </row>
    <row r="310" spans="1:102" s="15" customFormat="1" x14ac:dyDescent="0.3">
      <c r="A310" s="11" t="s">
        <v>126</v>
      </c>
      <c r="B310" s="10" t="s">
        <v>1167</v>
      </c>
      <c r="C310" s="12" t="s">
        <v>1168</v>
      </c>
      <c r="D310" s="10">
        <v>12</v>
      </c>
      <c r="E310" s="13">
        <v>1000000</v>
      </c>
      <c r="F310" s="14" t="s">
        <v>210</v>
      </c>
      <c r="G310" s="14" t="s">
        <v>210</v>
      </c>
      <c r="H310" s="15" t="s">
        <v>254</v>
      </c>
      <c r="I310" s="8"/>
      <c r="J310" s="10"/>
      <c r="AW310" s="15" t="s">
        <v>128</v>
      </c>
      <c r="AX310" s="15" t="s">
        <v>191</v>
      </c>
      <c r="BH310" s="15" t="s">
        <v>184</v>
      </c>
      <c r="BI310" s="15" t="s">
        <v>185</v>
      </c>
      <c r="BJ310" s="15" t="s">
        <v>186</v>
      </c>
      <c r="BK310" s="15" t="s">
        <v>187</v>
      </c>
      <c r="BL310" s="15" t="s">
        <v>188</v>
      </c>
      <c r="BM310" s="15" t="s">
        <v>189</v>
      </c>
      <c r="BN310" s="15" t="s">
        <v>190</v>
      </c>
      <c r="BO310" s="15" t="s">
        <v>191</v>
      </c>
      <c r="BR310" s="15" t="s">
        <v>192</v>
      </c>
      <c r="BS310" s="15" t="s">
        <v>193</v>
      </c>
      <c r="BT310" s="15" t="s">
        <v>194</v>
      </c>
      <c r="BU310" s="15" t="s">
        <v>195</v>
      </c>
      <c r="BV310" s="15" t="s">
        <v>196</v>
      </c>
      <c r="BW310" s="15" t="s">
        <v>193</v>
      </c>
      <c r="CB310" s="15" t="s">
        <v>128</v>
      </c>
      <c r="CC310" s="15">
        <v>1</v>
      </c>
      <c r="CN310" s="15" t="s">
        <v>313</v>
      </c>
      <c r="CW310" s="10">
        <v>2</v>
      </c>
      <c r="CX310" s="15" t="s">
        <v>1169</v>
      </c>
    </row>
    <row r="311" spans="1:102" s="15" customFormat="1" x14ac:dyDescent="0.3">
      <c r="A311" s="11" t="s">
        <v>126</v>
      </c>
      <c r="B311" s="10" t="s">
        <v>1170</v>
      </c>
      <c r="C311" s="12" t="s">
        <v>1173</v>
      </c>
      <c r="D311" s="10">
        <v>12</v>
      </c>
      <c r="E311" s="13">
        <v>100000</v>
      </c>
      <c r="F311" s="14" t="s">
        <v>243</v>
      </c>
      <c r="G311" s="14" t="s">
        <v>244</v>
      </c>
      <c r="H311" s="15" t="s">
        <v>254</v>
      </c>
      <c r="I311" s="8"/>
      <c r="J311" s="10"/>
      <c r="AV311" s="15" t="s">
        <v>181</v>
      </c>
      <c r="AW311" s="15" t="s">
        <v>182</v>
      </c>
      <c r="AX311" s="15" t="s">
        <v>475</v>
      </c>
      <c r="BH311" s="15" t="s">
        <v>184</v>
      </c>
      <c r="BI311" s="15" t="s">
        <v>185</v>
      </c>
      <c r="BJ311" s="15" t="s">
        <v>186</v>
      </c>
      <c r="BK311" s="15" t="s">
        <v>187</v>
      </c>
      <c r="BL311" s="15" t="s">
        <v>188</v>
      </c>
      <c r="BM311" s="15" t="s">
        <v>189</v>
      </c>
      <c r="BN311" s="15" t="s">
        <v>190</v>
      </c>
      <c r="BO311" s="15" t="s">
        <v>191</v>
      </c>
      <c r="BR311" s="15" t="s">
        <v>192</v>
      </c>
      <c r="BS311" s="15" t="s">
        <v>193</v>
      </c>
      <c r="BT311" s="15" t="s">
        <v>194</v>
      </c>
      <c r="BU311" s="15" t="s">
        <v>195</v>
      </c>
      <c r="BV311" s="15" t="s">
        <v>196</v>
      </c>
      <c r="BW311" s="15" t="s">
        <v>272</v>
      </c>
      <c r="CB311" s="15" t="s">
        <v>129</v>
      </c>
      <c r="CC311" s="15">
        <v>1</v>
      </c>
      <c r="CN311" s="15" t="s">
        <v>198</v>
      </c>
      <c r="CW311" s="10">
        <v>2</v>
      </c>
      <c r="CX311" s="15" t="s">
        <v>1171</v>
      </c>
    </row>
    <row r="312" spans="1:102" s="15" customFormat="1" x14ac:dyDescent="0.3">
      <c r="A312" s="11" t="s">
        <v>126</v>
      </c>
      <c r="B312" s="10" t="s">
        <v>1172</v>
      </c>
      <c r="C312" s="12" t="s">
        <v>1173</v>
      </c>
      <c r="D312" s="10">
        <v>12</v>
      </c>
      <c r="E312" s="13">
        <v>100000</v>
      </c>
      <c r="F312" s="14" t="s">
        <v>244</v>
      </c>
      <c r="G312" s="14" t="s">
        <v>244</v>
      </c>
      <c r="H312" s="15" t="s">
        <v>254</v>
      </c>
      <c r="I312" s="8"/>
      <c r="J312" s="10"/>
      <c r="AW312" s="15" t="s">
        <v>128</v>
      </c>
      <c r="AX312" s="15" t="s">
        <v>475</v>
      </c>
      <c r="BH312" s="15" t="s">
        <v>184</v>
      </c>
      <c r="BI312" s="15" t="s">
        <v>185</v>
      </c>
      <c r="BJ312" s="15" t="s">
        <v>186</v>
      </c>
      <c r="BK312" s="15" t="s">
        <v>187</v>
      </c>
      <c r="BL312" s="15" t="s">
        <v>188</v>
      </c>
      <c r="BM312" s="15" t="s">
        <v>189</v>
      </c>
      <c r="BN312" s="15" t="s">
        <v>190</v>
      </c>
      <c r="BO312" s="15" t="s">
        <v>191</v>
      </c>
      <c r="BR312" s="15" t="s">
        <v>192</v>
      </c>
      <c r="BS312" s="15" t="s">
        <v>193</v>
      </c>
      <c r="BT312" s="15" t="s">
        <v>194</v>
      </c>
      <c r="BU312" s="15" t="s">
        <v>195</v>
      </c>
      <c r="BV312" s="15" t="s">
        <v>196</v>
      </c>
      <c r="BW312" s="15" t="s">
        <v>272</v>
      </c>
      <c r="CB312" s="15" t="s">
        <v>128</v>
      </c>
      <c r="CC312" s="15">
        <v>1</v>
      </c>
      <c r="CN312" s="15" t="s">
        <v>273</v>
      </c>
      <c r="CW312" s="10">
        <v>2</v>
      </c>
      <c r="CX312" s="15" t="s">
        <v>1174</v>
      </c>
    </row>
    <row r="313" spans="1:102" s="15" customFormat="1" x14ac:dyDescent="0.3">
      <c r="A313" s="11" t="s">
        <v>126</v>
      </c>
      <c r="B313" s="10" t="s">
        <v>1175</v>
      </c>
      <c r="C313" s="12" t="s">
        <v>1811</v>
      </c>
      <c r="D313" s="10">
        <v>12</v>
      </c>
      <c r="E313" s="13">
        <v>1000000</v>
      </c>
      <c r="F313" s="14" t="s">
        <v>269</v>
      </c>
      <c r="G313" s="14" t="s">
        <v>210</v>
      </c>
      <c r="H313" s="15" t="s">
        <v>254</v>
      </c>
      <c r="I313" s="8"/>
      <c r="J313" s="10"/>
      <c r="AV313" s="15" t="s">
        <v>212</v>
      </c>
      <c r="AW313" s="15" t="s">
        <v>213</v>
      </c>
      <c r="AX313" s="15" t="s">
        <v>271</v>
      </c>
      <c r="BH313" s="15" t="s">
        <v>184</v>
      </c>
      <c r="BI313" s="15" t="s">
        <v>185</v>
      </c>
      <c r="BJ313" s="15" t="s">
        <v>186</v>
      </c>
      <c r="BK313" s="15" t="s">
        <v>187</v>
      </c>
      <c r="BL313" s="15" t="s">
        <v>188</v>
      </c>
      <c r="BM313" s="15" t="s">
        <v>189</v>
      </c>
      <c r="BN313" s="15" t="s">
        <v>190</v>
      </c>
      <c r="BO313" s="15" t="s">
        <v>191</v>
      </c>
      <c r="BR313" s="15" t="s">
        <v>192</v>
      </c>
      <c r="BS313" s="15" t="s">
        <v>193</v>
      </c>
      <c r="BT313" s="15" t="s">
        <v>194</v>
      </c>
      <c r="BU313" s="15" t="s">
        <v>195</v>
      </c>
      <c r="BV313" s="15" t="s">
        <v>196</v>
      </c>
      <c r="BW313" s="15" t="s">
        <v>272</v>
      </c>
      <c r="CB313" s="15" t="s">
        <v>129</v>
      </c>
      <c r="CC313" s="15">
        <v>1</v>
      </c>
      <c r="CN313" s="15" t="s">
        <v>1176</v>
      </c>
      <c r="CW313" s="10">
        <v>2</v>
      </c>
      <c r="CX313" s="15" t="s">
        <v>1177</v>
      </c>
    </row>
    <row r="314" spans="1:102" s="15" customFormat="1" x14ac:dyDescent="0.3">
      <c r="A314" s="11" t="s">
        <v>126</v>
      </c>
      <c r="B314" s="10" t="s">
        <v>1178</v>
      </c>
      <c r="C314" s="12" t="s">
        <v>1814</v>
      </c>
      <c r="D314" s="10">
        <v>12</v>
      </c>
      <c r="E314" s="13">
        <v>1000000</v>
      </c>
      <c r="F314" s="14" t="s">
        <v>269</v>
      </c>
      <c r="G314" s="14" t="s">
        <v>210</v>
      </c>
      <c r="H314" s="15" t="s">
        <v>254</v>
      </c>
      <c r="I314" s="8"/>
      <c r="J314" s="10"/>
      <c r="AV314" s="15" t="s">
        <v>212</v>
      </c>
      <c r="AW314" s="15" t="s">
        <v>213</v>
      </c>
      <c r="AX314" s="15" t="s">
        <v>276</v>
      </c>
      <c r="BH314" s="15" t="s">
        <v>184</v>
      </c>
      <c r="BI314" s="15" t="s">
        <v>185</v>
      </c>
      <c r="BJ314" s="15" t="s">
        <v>186</v>
      </c>
      <c r="BK314" s="15" t="s">
        <v>187</v>
      </c>
      <c r="BL314" s="15" t="s">
        <v>188</v>
      </c>
      <c r="BM314" s="15" t="s">
        <v>189</v>
      </c>
      <c r="BN314" s="15" t="s">
        <v>190</v>
      </c>
      <c r="BO314" s="15" t="s">
        <v>191</v>
      </c>
      <c r="BR314" s="15" t="s">
        <v>192</v>
      </c>
      <c r="BS314" s="15" t="s">
        <v>193</v>
      </c>
      <c r="BT314" s="15" t="s">
        <v>194</v>
      </c>
      <c r="BU314" s="15" t="s">
        <v>195</v>
      </c>
      <c r="BV314" s="15" t="s">
        <v>196</v>
      </c>
      <c r="BW314" s="15" t="s">
        <v>272</v>
      </c>
      <c r="CB314" s="15" t="s">
        <v>129</v>
      </c>
      <c r="CC314" s="15">
        <v>1</v>
      </c>
      <c r="CN314" s="15" t="s">
        <v>1176</v>
      </c>
      <c r="CW314" s="10">
        <v>2</v>
      </c>
      <c r="CX314" s="15" t="s">
        <v>1179</v>
      </c>
    </row>
    <row r="315" spans="1:102" s="15" customFormat="1" x14ac:dyDescent="0.3">
      <c r="A315" s="11" t="s">
        <v>126</v>
      </c>
      <c r="B315" s="10" t="s">
        <v>1180</v>
      </c>
      <c r="C315" s="12" t="s">
        <v>1817</v>
      </c>
      <c r="D315" s="10">
        <v>12</v>
      </c>
      <c r="E315" s="13">
        <v>500000</v>
      </c>
      <c r="F315" s="14" t="s">
        <v>243</v>
      </c>
      <c r="G315" s="14" t="s">
        <v>244</v>
      </c>
      <c r="H315" s="15" t="s">
        <v>254</v>
      </c>
      <c r="I315" s="8"/>
      <c r="J315" s="10"/>
      <c r="AV315" s="15" t="s">
        <v>181</v>
      </c>
      <c r="AW315" s="15" t="s">
        <v>182</v>
      </c>
      <c r="AX315" s="15" t="s">
        <v>762</v>
      </c>
      <c r="BH315" s="15" t="s">
        <v>184</v>
      </c>
      <c r="BI315" s="15" t="s">
        <v>185</v>
      </c>
      <c r="BJ315" s="15" t="s">
        <v>186</v>
      </c>
      <c r="BK315" s="15" t="s">
        <v>187</v>
      </c>
      <c r="BL315" s="15" t="s">
        <v>188</v>
      </c>
      <c r="BM315" s="15" t="s">
        <v>189</v>
      </c>
      <c r="BN315" s="15" t="s">
        <v>190</v>
      </c>
      <c r="BO315" s="15" t="s">
        <v>191</v>
      </c>
      <c r="BR315" s="15" t="s">
        <v>192</v>
      </c>
      <c r="BS315" s="15" t="s">
        <v>193</v>
      </c>
      <c r="BT315" s="15" t="s">
        <v>194</v>
      </c>
      <c r="BU315" s="15" t="s">
        <v>195</v>
      </c>
      <c r="BV315" s="15" t="s">
        <v>196</v>
      </c>
      <c r="BW315" s="15" t="s">
        <v>272</v>
      </c>
      <c r="CB315" s="15" t="s">
        <v>129</v>
      </c>
      <c r="CC315" s="15">
        <v>1</v>
      </c>
      <c r="CN315" s="15" t="s">
        <v>1181</v>
      </c>
      <c r="CW315" s="10">
        <v>2</v>
      </c>
      <c r="CX315" s="15" t="s">
        <v>1182</v>
      </c>
    </row>
    <row r="316" spans="1:102" s="15" customFormat="1" x14ac:dyDescent="0.3">
      <c r="A316" s="11" t="s">
        <v>126</v>
      </c>
      <c r="B316" s="10" t="s">
        <v>1183</v>
      </c>
      <c r="C316" s="12" t="s">
        <v>1184</v>
      </c>
      <c r="D316" s="10">
        <v>12</v>
      </c>
      <c r="E316" s="13">
        <v>1000000</v>
      </c>
      <c r="F316" s="14" t="s">
        <v>210</v>
      </c>
      <c r="G316" s="14" t="s">
        <v>210</v>
      </c>
      <c r="H316" s="15" t="s">
        <v>254</v>
      </c>
      <c r="I316" s="8"/>
      <c r="J316" s="10"/>
      <c r="AW316" s="15" t="s">
        <v>128</v>
      </c>
      <c r="AX316" s="15" t="s">
        <v>464</v>
      </c>
      <c r="BF316" s="15" t="s">
        <v>465</v>
      </c>
      <c r="BG316" s="15" t="s">
        <v>466</v>
      </c>
      <c r="BH316" s="15" t="s">
        <v>184</v>
      </c>
      <c r="BI316" s="15" t="s">
        <v>185</v>
      </c>
      <c r="BJ316" s="15" t="s">
        <v>186</v>
      </c>
      <c r="BK316" s="15" t="s">
        <v>187</v>
      </c>
      <c r="BL316" s="15" t="s">
        <v>188</v>
      </c>
      <c r="BM316" s="15" t="s">
        <v>189</v>
      </c>
      <c r="BN316" s="15" t="s">
        <v>190</v>
      </c>
      <c r="BO316" s="15" t="s">
        <v>191</v>
      </c>
      <c r="BP316" s="15" t="s">
        <v>467</v>
      </c>
      <c r="BQ316" s="15" t="s">
        <v>468</v>
      </c>
      <c r="BR316" s="15" t="s">
        <v>192</v>
      </c>
      <c r="BS316" s="15" t="s">
        <v>193</v>
      </c>
      <c r="BT316" s="15" t="s">
        <v>194</v>
      </c>
      <c r="BU316" s="15" t="s">
        <v>195</v>
      </c>
      <c r="BV316" s="15" t="s">
        <v>196</v>
      </c>
      <c r="BW316" s="15" t="s">
        <v>272</v>
      </c>
      <c r="CB316" s="15" t="s">
        <v>128</v>
      </c>
      <c r="CC316" s="15">
        <v>1</v>
      </c>
      <c r="CN316" s="15" t="s">
        <v>469</v>
      </c>
      <c r="CW316" s="10">
        <v>2</v>
      </c>
      <c r="CX316" s="15" t="s">
        <v>1185</v>
      </c>
    </row>
    <row r="317" spans="1:102" s="15" customFormat="1" x14ac:dyDescent="0.3">
      <c r="A317" s="11" t="s">
        <v>126</v>
      </c>
      <c r="B317" s="10" t="s">
        <v>1186</v>
      </c>
      <c r="C317" s="12" t="s">
        <v>1184</v>
      </c>
      <c r="D317" s="10">
        <v>12</v>
      </c>
      <c r="E317" s="13">
        <v>1000000</v>
      </c>
      <c r="F317" s="14" t="s">
        <v>269</v>
      </c>
      <c r="G317" s="14" t="s">
        <v>210</v>
      </c>
      <c r="H317" s="15" t="s">
        <v>254</v>
      </c>
      <c r="I317" s="8"/>
      <c r="J317" s="10"/>
      <c r="AV317" s="15" t="s">
        <v>212</v>
      </c>
      <c r="AW317" s="15" t="s">
        <v>213</v>
      </c>
      <c r="AX317" s="15" t="s">
        <v>464</v>
      </c>
      <c r="BF317" s="15" t="s">
        <v>465</v>
      </c>
      <c r="BG317" s="15" t="s">
        <v>466</v>
      </c>
      <c r="BH317" s="15" t="s">
        <v>184</v>
      </c>
      <c r="BI317" s="15" t="s">
        <v>185</v>
      </c>
      <c r="BJ317" s="15" t="s">
        <v>186</v>
      </c>
      <c r="BK317" s="15" t="s">
        <v>187</v>
      </c>
      <c r="BL317" s="15" t="s">
        <v>188</v>
      </c>
      <c r="BM317" s="15" t="s">
        <v>189</v>
      </c>
      <c r="BN317" s="15" t="s">
        <v>190</v>
      </c>
      <c r="BO317" s="15" t="s">
        <v>191</v>
      </c>
      <c r="BP317" s="15" t="s">
        <v>467</v>
      </c>
      <c r="BQ317" s="15" t="s">
        <v>468</v>
      </c>
      <c r="BR317" s="15" t="s">
        <v>192</v>
      </c>
      <c r="BS317" s="15" t="s">
        <v>193</v>
      </c>
      <c r="BT317" s="15" t="s">
        <v>194</v>
      </c>
      <c r="BU317" s="15" t="s">
        <v>195</v>
      </c>
      <c r="BV317" s="15" t="s">
        <v>196</v>
      </c>
      <c r="BW317" s="15" t="s">
        <v>272</v>
      </c>
      <c r="CB317" s="15" t="s">
        <v>129</v>
      </c>
      <c r="CC317" s="15">
        <v>1</v>
      </c>
      <c r="CN317" s="15" t="s">
        <v>1187</v>
      </c>
      <c r="CW317" s="10">
        <v>2</v>
      </c>
      <c r="CX317" s="15" t="s">
        <v>1188</v>
      </c>
    </row>
    <row r="318" spans="1:102" s="15" customFormat="1" x14ac:dyDescent="0.3">
      <c r="A318" s="11" t="s">
        <v>126</v>
      </c>
      <c r="B318" s="10" t="s">
        <v>1189</v>
      </c>
      <c r="C318" s="12" t="s">
        <v>3912</v>
      </c>
      <c r="D318" s="10">
        <v>12</v>
      </c>
      <c r="E318" s="13">
        <v>500000</v>
      </c>
      <c r="F318" s="14" t="s">
        <v>209</v>
      </c>
      <c r="G318" s="14" t="s">
        <v>210</v>
      </c>
      <c r="H318" s="15" t="s">
        <v>254</v>
      </c>
      <c r="I318" s="8"/>
      <c r="J318" s="10"/>
      <c r="AV318" s="15" t="s">
        <v>212</v>
      </c>
      <c r="AW318" s="15" t="s">
        <v>213</v>
      </c>
      <c r="AX318" s="15" t="s">
        <v>1190</v>
      </c>
      <c r="BH318" s="15" t="s">
        <v>184</v>
      </c>
      <c r="BI318" s="15" t="s">
        <v>185</v>
      </c>
      <c r="BJ318" s="15" t="s">
        <v>186</v>
      </c>
      <c r="BK318" s="15" t="s">
        <v>187</v>
      </c>
      <c r="BL318" s="15" t="s">
        <v>188</v>
      </c>
      <c r="BM318" s="15" t="s">
        <v>189</v>
      </c>
      <c r="BN318" s="15" t="s">
        <v>190</v>
      </c>
      <c r="BO318" s="15" t="s">
        <v>191</v>
      </c>
      <c r="BR318" s="15" t="s">
        <v>192</v>
      </c>
      <c r="BS318" s="15" t="s">
        <v>193</v>
      </c>
      <c r="BT318" s="15" t="s">
        <v>194</v>
      </c>
      <c r="BU318" s="15" t="s">
        <v>195</v>
      </c>
      <c r="BV318" s="15" t="s">
        <v>196</v>
      </c>
      <c r="BW318" s="15" t="s">
        <v>456</v>
      </c>
      <c r="CB318" s="15" t="s">
        <v>129</v>
      </c>
      <c r="CC318" s="15">
        <v>1</v>
      </c>
      <c r="CN318" s="15" t="s">
        <v>198</v>
      </c>
      <c r="CW318" s="10">
        <v>2</v>
      </c>
      <c r="CX318" s="15" t="s">
        <v>1191</v>
      </c>
    </row>
    <row r="319" spans="1:102" s="15" customFormat="1" x14ac:dyDescent="0.3">
      <c r="A319" s="11" t="s">
        <v>126</v>
      </c>
      <c r="B319" s="10" t="s">
        <v>1192</v>
      </c>
      <c r="C319" s="12" t="s">
        <v>3913</v>
      </c>
      <c r="D319" s="10">
        <v>12</v>
      </c>
      <c r="E319" s="13">
        <v>500000</v>
      </c>
      <c r="F319" s="14" t="s">
        <v>209</v>
      </c>
      <c r="G319" s="14" t="s">
        <v>210</v>
      </c>
      <c r="H319" s="15" t="s">
        <v>254</v>
      </c>
      <c r="I319" s="8"/>
      <c r="J319" s="10"/>
      <c r="AV319" s="15" t="s">
        <v>212</v>
      </c>
      <c r="AW319" s="15" t="s">
        <v>213</v>
      </c>
      <c r="AX319" s="15" t="s">
        <v>1193</v>
      </c>
      <c r="BH319" s="15" t="s">
        <v>184</v>
      </c>
      <c r="BI319" s="15" t="s">
        <v>185</v>
      </c>
      <c r="BJ319" s="15" t="s">
        <v>186</v>
      </c>
      <c r="BK319" s="15" t="s">
        <v>187</v>
      </c>
      <c r="BL319" s="15" t="s">
        <v>188</v>
      </c>
      <c r="BM319" s="15" t="s">
        <v>189</v>
      </c>
      <c r="BN319" s="15" t="s">
        <v>190</v>
      </c>
      <c r="BO319" s="15" t="s">
        <v>191</v>
      </c>
      <c r="BR319" s="15" t="s">
        <v>192</v>
      </c>
      <c r="BS319" s="15" t="s">
        <v>193</v>
      </c>
      <c r="BT319" s="15" t="s">
        <v>194</v>
      </c>
      <c r="BU319" s="15" t="s">
        <v>195</v>
      </c>
      <c r="BV319" s="15" t="s">
        <v>196</v>
      </c>
      <c r="BW319" s="15" t="s">
        <v>456</v>
      </c>
      <c r="CB319" s="15" t="s">
        <v>129</v>
      </c>
      <c r="CC319" s="15">
        <v>1</v>
      </c>
      <c r="CN319" s="15" t="s">
        <v>198</v>
      </c>
      <c r="CW319" s="10">
        <v>2</v>
      </c>
      <c r="CX319" s="15" t="s">
        <v>1194</v>
      </c>
    </row>
    <row r="320" spans="1:102" s="15" customFormat="1" x14ac:dyDescent="0.3">
      <c r="A320" s="11" t="s">
        <v>126</v>
      </c>
      <c r="B320" s="10" t="s">
        <v>1195</v>
      </c>
      <c r="C320" s="12" t="s">
        <v>3914</v>
      </c>
      <c r="D320" s="10">
        <v>12</v>
      </c>
      <c r="E320" s="13">
        <v>500000</v>
      </c>
      <c r="F320" s="14" t="s">
        <v>209</v>
      </c>
      <c r="G320" s="14" t="s">
        <v>210</v>
      </c>
      <c r="H320" s="15" t="s">
        <v>254</v>
      </c>
      <c r="I320" s="8"/>
      <c r="J320" s="10"/>
      <c r="AV320" s="15" t="s">
        <v>212</v>
      </c>
      <c r="AW320" s="15" t="s">
        <v>213</v>
      </c>
      <c r="AX320" s="15" t="s">
        <v>1196</v>
      </c>
      <c r="BH320" s="15" t="s">
        <v>184</v>
      </c>
      <c r="BI320" s="15" t="s">
        <v>185</v>
      </c>
      <c r="BJ320" s="15" t="s">
        <v>186</v>
      </c>
      <c r="BK320" s="15" t="s">
        <v>187</v>
      </c>
      <c r="BL320" s="15" t="s">
        <v>188</v>
      </c>
      <c r="BM320" s="15" t="s">
        <v>189</v>
      </c>
      <c r="BN320" s="15" t="s">
        <v>190</v>
      </c>
      <c r="BO320" s="15" t="s">
        <v>191</v>
      </c>
      <c r="BR320" s="15" t="s">
        <v>192</v>
      </c>
      <c r="BS320" s="15" t="s">
        <v>193</v>
      </c>
      <c r="BT320" s="15" t="s">
        <v>194</v>
      </c>
      <c r="BU320" s="15" t="s">
        <v>195</v>
      </c>
      <c r="BV320" s="15" t="s">
        <v>196</v>
      </c>
      <c r="BW320" s="15" t="s">
        <v>456</v>
      </c>
      <c r="CB320" s="15" t="s">
        <v>129</v>
      </c>
      <c r="CC320" s="15">
        <v>1</v>
      </c>
      <c r="CN320" s="15" t="s">
        <v>198</v>
      </c>
      <c r="CW320" s="10">
        <v>2</v>
      </c>
      <c r="CX320" s="15" t="s">
        <v>1197</v>
      </c>
    </row>
    <row r="321" spans="1:102" s="15" customFormat="1" x14ac:dyDescent="0.3">
      <c r="A321" s="11" t="s">
        <v>126</v>
      </c>
      <c r="B321" s="10" t="s">
        <v>1198</v>
      </c>
      <c r="C321" s="12" t="s">
        <v>3915</v>
      </c>
      <c r="D321" s="10">
        <v>12</v>
      </c>
      <c r="E321" s="13">
        <v>500000</v>
      </c>
      <c r="F321" s="14" t="s">
        <v>209</v>
      </c>
      <c r="G321" s="14" t="s">
        <v>210</v>
      </c>
      <c r="H321" s="15" t="s">
        <v>254</v>
      </c>
      <c r="I321" s="8"/>
      <c r="J321" s="10"/>
      <c r="AV321" s="15" t="s">
        <v>212</v>
      </c>
      <c r="AW321" s="15" t="s">
        <v>213</v>
      </c>
      <c r="AX321" s="15" t="s">
        <v>1199</v>
      </c>
      <c r="BH321" s="15" t="s">
        <v>184</v>
      </c>
      <c r="BI321" s="15" t="s">
        <v>185</v>
      </c>
      <c r="BJ321" s="15" t="s">
        <v>186</v>
      </c>
      <c r="BK321" s="15" t="s">
        <v>187</v>
      </c>
      <c r="BL321" s="15" t="s">
        <v>188</v>
      </c>
      <c r="BM321" s="15" t="s">
        <v>189</v>
      </c>
      <c r="BN321" s="15" t="s">
        <v>190</v>
      </c>
      <c r="BO321" s="15" t="s">
        <v>191</v>
      </c>
      <c r="BR321" s="15" t="s">
        <v>192</v>
      </c>
      <c r="BS321" s="15" t="s">
        <v>193</v>
      </c>
      <c r="BT321" s="15" t="s">
        <v>194</v>
      </c>
      <c r="BU321" s="15" t="s">
        <v>195</v>
      </c>
      <c r="BV321" s="15" t="s">
        <v>196</v>
      </c>
      <c r="BW321" s="15" t="s">
        <v>456</v>
      </c>
      <c r="CB321" s="15" t="s">
        <v>129</v>
      </c>
      <c r="CC321" s="15">
        <v>1</v>
      </c>
      <c r="CN321" s="15" t="s">
        <v>198</v>
      </c>
      <c r="CW321" s="10">
        <v>2</v>
      </c>
      <c r="CX321" s="15" t="s">
        <v>1200</v>
      </c>
    </row>
    <row r="322" spans="1:102" s="15" customFormat="1" x14ac:dyDescent="0.3">
      <c r="A322" s="11" t="s">
        <v>126</v>
      </c>
      <c r="B322" s="10" t="s">
        <v>1201</v>
      </c>
      <c r="C322" s="12" t="s">
        <v>1202</v>
      </c>
      <c r="D322" s="10">
        <v>12</v>
      </c>
      <c r="E322" s="13">
        <v>500000</v>
      </c>
      <c r="F322" s="14" t="s">
        <v>244</v>
      </c>
      <c r="G322" s="14" t="s">
        <v>244</v>
      </c>
      <c r="H322" s="15" t="s">
        <v>254</v>
      </c>
      <c r="I322" s="8"/>
      <c r="J322" s="10"/>
      <c r="AW322" s="15" t="s">
        <v>128</v>
      </c>
      <c r="AX322" s="15" t="s">
        <v>1203</v>
      </c>
      <c r="BH322" s="15" t="s">
        <v>184</v>
      </c>
      <c r="BI322" s="15" t="s">
        <v>185</v>
      </c>
      <c r="BJ322" s="15" t="s">
        <v>186</v>
      </c>
      <c r="BK322" s="15" t="s">
        <v>187</v>
      </c>
      <c r="BL322" s="15" t="s">
        <v>188</v>
      </c>
      <c r="BM322" s="15" t="s">
        <v>189</v>
      </c>
      <c r="BN322" s="15" t="s">
        <v>190</v>
      </c>
      <c r="BO322" s="15" t="s">
        <v>191</v>
      </c>
      <c r="BR322" s="15" t="s">
        <v>192</v>
      </c>
      <c r="BS322" s="15" t="s">
        <v>193</v>
      </c>
      <c r="BT322" s="15" t="s">
        <v>194</v>
      </c>
      <c r="BU322" s="15" t="s">
        <v>195</v>
      </c>
      <c r="BV322" s="15" t="s">
        <v>196</v>
      </c>
      <c r="BW322" s="15" t="s">
        <v>456</v>
      </c>
      <c r="CB322" s="15" t="s">
        <v>128</v>
      </c>
      <c r="CC322" s="15">
        <v>1</v>
      </c>
      <c r="CN322" s="15" t="s">
        <v>198</v>
      </c>
      <c r="CW322" s="10">
        <v>2</v>
      </c>
      <c r="CX322" s="15" t="s">
        <v>1204</v>
      </c>
    </row>
    <row r="323" spans="1:102" s="15" customFormat="1" x14ac:dyDescent="0.3">
      <c r="A323" s="11" t="s">
        <v>126</v>
      </c>
      <c r="B323" s="10" t="s">
        <v>1205</v>
      </c>
      <c r="C323" s="12" t="s">
        <v>1206</v>
      </c>
      <c r="D323" s="10">
        <v>12</v>
      </c>
      <c r="E323" s="13">
        <v>500000</v>
      </c>
      <c r="F323" s="14" t="s">
        <v>210</v>
      </c>
      <c r="G323" s="14" t="s">
        <v>210</v>
      </c>
      <c r="H323" s="15" t="s">
        <v>254</v>
      </c>
      <c r="I323" s="8"/>
      <c r="J323" s="10"/>
      <c r="AW323" s="15" t="s">
        <v>128</v>
      </c>
      <c r="AX323" s="15" t="s">
        <v>1207</v>
      </c>
      <c r="BH323" s="15" t="s">
        <v>184</v>
      </c>
      <c r="BI323" s="15" t="s">
        <v>185</v>
      </c>
      <c r="BJ323" s="15" t="s">
        <v>186</v>
      </c>
      <c r="BK323" s="15" t="s">
        <v>187</v>
      </c>
      <c r="BL323" s="15" t="s">
        <v>188</v>
      </c>
      <c r="BM323" s="15" t="s">
        <v>189</v>
      </c>
      <c r="BN323" s="15" t="s">
        <v>190</v>
      </c>
      <c r="BO323" s="15" t="s">
        <v>191</v>
      </c>
      <c r="BR323" s="15" t="s">
        <v>192</v>
      </c>
      <c r="BS323" s="15" t="s">
        <v>193</v>
      </c>
      <c r="BT323" s="15" t="s">
        <v>194</v>
      </c>
      <c r="BU323" s="15" t="s">
        <v>195</v>
      </c>
      <c r="BV323" s="15" t="s">
        <v>196</v>
      </c>
      <c r="BW323" s="15" t="s">
        <v>456</v>
      </c>
      <c r="CB323" s="15" t="s">
        <v>128</v>
      </c>
      <c r="CC323" s="15">
        <v>1</v>
      </c>
      <c r="CN323" s="15" t="s">
        <v>198</v>
      </c>
      <c r="CW323" s="10">
        <v>2</v>
      </c>
      <c r="CX323" s="15" t="s">
        <v>1208</v>
      </c>
    </row>
    <row r="324" spans="1:102" s="15" customFormat="1" x14ac:dyDescent="0.3">
      <c r="A324" s="11" t="s">
        <v>126</v>
      </c>
      <c r="B324" s="10" t="s">
        <v>1209</v>
      </c>
      <c r="C324" s="12" t="s">
        <v>1210</v>
      </c>
      <c r="D324" s="10">
        <v>12</v>
      </c>
      <c r="E324" s="13">
        <v>500000</v>
      </c>
      <c r="F324" s="14" t="s">
        <v>210</v>
      </c>
      <c r="G324" s="14" t="s">
        <v>210</v>
      </c>
      <c r="H324" s="15" t="s">
        <v>254</v>
      </c>
      <c r="I324" s="8"/>
      <c r="J324" s="10"/>
      <c r="AW324" s="15" t="s">
        <v>128</v>
      </c>
      <c r="AX324" s="15" t="s">
        <v>1211</v>
      </c>
      <c r="BH324" s="15" t="s">
        <v>184</v>
      </c>
      <c r="BI324" s="15" t="s">
        <v>185</v>
      </c>
      <c r="BJ324" s="15" t="s">
        <v>186</v>
      </c>
      <c r="BK324" s="15" t="s">
        <v>187</v>
      </c>
      <c r="BL324" s="15" t="s">
        <v>188</v>
      </c>
      <c r="BM324" s="15" t="s">
        <v>189</v>
      </c>
      <c r="BN324" s="15" t="s">
        <v>190</v>
      </c>
      <c r="BO324" s="15" t="s">
        <v>191</v>
      </c>
      <c r="BR324" s="15" t="s">
        <v>192</v>
      </c>
      <c r="BS324" s="15" t="s">
        <v>193</v>
      </c>
      <c r="BT324" s="15" t="s">
        <v>194</v>
      </c>
      <c r="BU324" s="15" t="s">
        <v>195</v>
      </c>
      <c r="BV324" s="15" t="s">
        <v>196</v>
      </c>
      <c r="BW324" s="15" t="s">
        <v>456</v>
      </c>
      <c r="CB324" s="15" t="s">
        <v>128</v>
      </c>
      <c r="CC324" s="15">
        <v>1</v>
      </c>
      <c r="CN324" s="15" t="s">
        <v>198</v>
      </c>
      <c r="CW324" s="10">
        <v>2</v>
      </c>
      <c r="CX324" s="15" t="s">
        <v>1212</v>
      </c>
    </row>
    <row r="325" spans="1:102" s="15" customFormat="1" x14ac:dyDescent="0.3">
      <c r="A325" s="11" t="s">
        <v>126</v>
      </c>
      <c r="B325" s="10" t="s">
        <v>1213</v>
      </c>
      <c r="C325" s="12" t="s">
        <v>1214</v>
      </c>
      <c r="D325" s="10">
        <v>12</v>
      </c>
      <c r="E325" s="13">
        <v>500000</v>
      </c>
      <c r="F325" s="14" t="s">
        <v>210</v>
      </c>
      <c r="G325" s="14" t="s">
        <v>210</v>
      </c>
      <c r="H325" s="15" t="s">
        <v>254</v>
      </c>
      <c r="I325" s="8"/>
      <c r="J325" s="10"/>
      <c r="AW325" s="15" t="s">
        <v>128</v>
      </c>
      <c r="AX325" s="15" t="s">
        <v>1215</v>
      </c>
      <c r="BH325" s="15" t="s">
        <v>184</v>
      </c>
      <c r="BI325" s="15" t="s">
        <v>185</v>
      </c>
      <c r="BJ325" s="15" t="s">
        <v>186</v>
      </c>
      <c r="BK325" s="15" t="s">
        <v>187</v>
      </c>
      <c r="BL325" s="15" t="s">
        <v>188</v>
      </c>
      <c r="BM325" s="15" t="s">
        <v>189</v>
      </c>
      <c r="BN325" s="15" t="s">
        <v>190</v>
      </c>
      <c r="BO325" s="15" t="s">
        <v>191</v>
      </c>
      <c r="BR325" s="15" t="s">
        <v>192</v>
      </c>
      <c r="BS325" s="15" t="s">
        <v>193</v>
      </c>
      <c r="BT325" s="15" t="s">
        <v>194</v>
      </c>
      <c r="BU325" s="15" t="s">
        <v>195</v>
      </c>
      <c r="BV325" s="15" t="s">
        <v>196</v>
      </c>
      <c r="BW325" s="15" t="s">
        <v>456</v>
      </c>
      <c r="CB325" s="15" t="s">
        <v>128</v>
      </c>
      <c r="CC325" s="15">
        <v>1</v>
      </c>
      <c r="CN325" s="15" t="s">
        <v>198</v>
      </c>
      <c r="CW325" s="10">
        <v>2</v>
      </c>
      <c r="CX325" s="15" t="s">
        <v>1216</v>
      </c>
    </row>
    <row r="326" spans="1:102" s="15" customFormat="1" x14ac:dyDescent="0.3">
      <c r="A326" s="11" t="s">
        <v>126</v>
      </c>
      <c r="B326" s="10" t="s">
        <v>1217</v>
      </c>
      <c r="C326" s="12" t="s">
        <v>1218</v>
      </c>
      <c r="D326" s="10">
        <v>12</v>
      </c>
      <c r="E326" s="13">
        <v>500000</v>
      </c>
      <c r="F326" s="14" t="s">
        <v>210</v>
      </c>
      <c r="G326" s="14" t="s">
        <v>210</v>
      </c>
      <c r="H326" s="15" t="s">
        <v>254</v>
      </c>
      <c r="I326" s="8"/>
      <c r="J326" s="10"/>
      <c r="AW326" s="15" t="s">
        <v>128</v>
      </c>
      <c r="AX326" s="15" t="s">
        <v>1219</v>
      </c>
      <c r="BH326" s="15" t="s">
        <v>184</v>
      </c>
      <c r="BI326" s="15" t="s">
        <v>185</v>
      </c>
      <c r="BJ326" s="15" t="s">
        <v>186</v>
      </c>
      <c r="BK326" s="15" t="s">
        <v>187</v>
      </c>
      <c r="BL326" s="15" t="s">
        <v>188</v>
      </c>
      <c r="BM326" s="15" t="s">
        <v>189</v>
      </c>
      <c r="BN326" s="15" t="s">
        <v>190</v>
      </c>
      <c r="BO326" s="15" t="s">
        <v>191</v>
      </c>
      <c r="BR326" s="15" t="s">
        <v>192</v>
      </c>
      <c r="BS326" s="15" t="s">
        <v>193</v>
      </c>
      <c r="BT326" s="15" t="s">
        <v>194</v>
      </c>
      <c r="BU326" s="15" t="s">
        <v>195</v>
      </c>
      <c r="BV326" s="15" t="s">
        <v>196</v>
      </c>
      <c r="BW326" s="15" t="s">
        <v>456</v>
      </c>
      <c r="CB326" s="15" t="s">
        <v>128</v>
      </c>
      <c r="CC326" s="15">
        <v>1</v>
      </c>
      <c r="CN326" s="15" t="s">
        <v>198</v>
      </c>
      <c r="CW326" s="10">
        <v>2</v>
      </c>
      <c r="CX326" s="15" t="s">
        <v>1220</v>
      </c>
    </row>
    <row r="327" spans="1:102" s="15" customFormat="1" x14ac:dyDescent="0.3">
      <c r="A327" s="11" t="s">
        <v>126</v>
      </c>
      <c r="B327" s="10" t="s">
        <v>1221</v>
      </c>
      <c r="C327" s="12" t="s">
        <v>1222</v>
      </c>
      <c r="D327" s="10">
        <v>12</v>
      </c>
      <c r="E327" s="13">
        <v>500000</v>
      </c>
      <c r="F327" s="14" t="s">
        <v>210</v>
      </c>
      <c r="G327" s="14" t="s">
        <v>210</v>
      </c>
      <c r="H327" s="15" t="s">
        <v>254</v>
      </c>
      <c r="I327" s="8"/>
      <c r="J327" s="10"/>
      <c r="AW327" s="15" t="s">
        <v>128</v>
      </c>
      <c r="AX327" s="15" t="s">
        <v>1223</v>
      </c>
      <c r="BH327" s="15" t="s">
        <v>184</v>
      </c>
      <c r="BI327" s="15" t="s">
        <v>185</v>
      </c>
      <c r="BJ327" s="15" t="s">
        <v>186</v>
      </c>
      <c r="BK327" s="15" t="s">
        <v>187</v>
      </c>
      <c r="BL327" s="15" t="s">
        <v>188</v>
      </c>
      <c r="BM327" s="15" t="s">
        <v>189</v>
      </c>
      <c r="BN327" s="15" t="s">
        <v>190</v>
      </c>
      <c r="BO327" s="15" t="s">
        <v>191</v>
      </c>
      <c r="BR327" s="15" t="s">
        <v>192</v>
      </c>
      <c r="BS327" s="15" t="s">
        <v>193</v>
      </c>
      <c r="BT327" s="15" t="s">
        <v>194</v>
      </c>
      <c r="BU327" s="15" t="s">
        <v>195</v>
      </c>
      <c r="BV327" s="15" t="s">
        <v>196</v>
      </c>
      <c r="BW327" s="15" t="s">
        <v>456</v>
      </c>
      <c r="CB327" s="15" t="s">
        <v>128</v>
      </c>
      <c r="CC327" s="15">
        <v>1</v>
      </c>
      <c r="CN327" s="15" t="s">
        <v>198</v>
      </c>
      <c r="CW327" s="10">
        <v>2</v>
      </c>
      <c r="CX327" s="15" t="s">
        <v>1224</v>
      </c>
    </row>
    <row r="328" spans="1:102" s="15" customFormat="1" x14ac:dyDescent="0.3">
      <c r="A328" s="11" t="s">
        <v>126</v>
      </c>
      <c r="B328" s="10" t="s">
        <v>1225</v>
      </c>
      <c r="C328" s="12" t="s">
        <v>1226</v>
      </c>
      <c r="D328" s="10">
        <v>12</v>
      </c>
      <c r="E328" s="13">
        <v>500000</v>
      </c>
      <c r="F328" s="14" t="s">
        <v>210</v>
      </c>
      <c r="G328" s="14" t="s">
        <v>210</v>
      </c>
      <c r="H328" s="15" t="s">
        <v>254</v>
      </c>
      <c r="I328" s="8"/>
      <c r="J328" s="10"/>
      <c r="AW328" s="15" t="s">
        <v>128</v>
      </c>
      <c r="AX328" s="15" t="s">
        <v>1227</v>
      </c>
      <c r="BH328" s="15" t="s">
        <v>184</v>
      </c>
      <c r="BI328" s="15" t="s">
        <v>185</v>
      </c>
      <c r="BJ328" s="15" t="s">
        <v>186</v>
      </c>
      <c r="BK328" s="15" t="s">
        <v>187</v>
      </c>
      <c r="BL328" s="15" t="s">
        <v>188</v>
      </c>
      <c r="BM328" s="15" t="s">
        <v>189</v>
      </c>
      <c r="BN328" s="15" t="s">
        <v>190</v>
      </c>
      <c r="BO328" s="15" t="s">
        <v>191</v>
      </c>
      <c r="BR328" s="15" t="s">
        <v>192</v>
      </c>
      <c r="BS328" s="15" t="s">
        <v>193</v>
      </c>
      <c r="BT328" s="15" t="s">
        <v>194</v>
      </c>
      <c r="BU328" s="15" t="s">
        <v>195</v>
      </c>
      <c r="BV328" s="15" t="s">
        <v>196</v>
      </c>
      <c r="BW328" s="15" t="s">
        <v>456</v>
      </c>
      <c r="CB328" s="15" t="s">
        <v>128</v>
      </c>
      <c r="CC328" s="15">
        <v>1</v>
      </c>
      <c r="CN328" s="15" t="s">
        <v>198</v>
      </c>
      <c r="CW328" s="10">
        <v>2</v>
      </c>
      <c r="CX328" s="15" t="s">
        <v>1228</v>
      </c>
    </row>
    <row r="329" spans="1:102" s="15" customFormat="1" x14ac:dyDescent="0.3">
      <c r="A329" s="11" t="s">
        <v>126</v>
      </c>
      <c r="B329" s="10" t="s">
        <v>1229</v>
      </c>
      <c r="C329" s="12" t="s">
        <v>3916</v>
      </c>
      <c r="D329" s="10">
        <v>12</v>
      </c>
      <c r="E329" s="13">
        <v>1000000</v>
      </c>
      <c r="F329" s="14" t="s">
        <v>209</v>
      </c>
      <c r="G329" s="14" t="s">
        <v>210</v>
      </c>
      <c r="H329" s="15" t="s">
        <v>211</v>
      </c>
      <c r="I329" s="8"/>
      <c r="J329" s="10"/>
      <c r="AV329" s="15" t="s">
        <v>212</v>
      </c>
      <c r="AW329" s="15" t="s">
        <v>213</v>
      </c>
      <c r="AX329" s="15" t="s">
        <v>1230</v>
      </c>
      <c r="BH329" s="15" t="s">
        <v>184</v>
      </c>
      <c r="BI329" s="15" t="s">
        <v>185</v>
      </c>
      <c r="BJ329" s="15" t="s">
        <v>186</v>
      </c>
      <c r="BK329" s="15" t="s">
        <v>187</v>
      </c>
      <c r="BL329" s="15" t="s">
        <v>188</v>
      </c>
      <c r="BM329" s="15" t="s">
        <v>189</v>
      </c>
      <c r="BN329" s="15" t="s">
        <v>190</v>
      </c>
      <c r="BO329" s="15" t="s">
        <v>191</v>
      </c>
      <c r="BR329" s="15" t="s">
        <v>192</v>
      </c>
      <c r="BS329" s="15" t="s">
        <v>193</v>
      </c>
      <c r="BT329" s="15" t="s">
        <v>194</v>
      </c>
      <c r="BU329" s="15" t="s">
        <v>195</v>
      </c>
      <c r="BV329" s="15" t="s">
        <v>196</v>
      </c>
      <c r="BW329" s="15" t="s">
        <v>194</v>
      </c>
      <c r="CB329" s="15" t="s">
        <v>129</v>
      </c>
      <c r="CC329" s="15">
        <v>1</v>
      </c>
      <c r="CN329" s="15" t="s">
        <v>215</v>
      </c>
      <c r="CW329" s="10">
        <v>2</v>
      </c>
      <c r="CX329" s="15" t="s">
        <v>1231</v>
      </c>
    </row>
    <row r="330" spans="1:102" s="15" customFormat="1" x14ac:dyDescent="0.3">
      <c r="A330" s="11" t="s">
        <v>126</v>
      </c>
      <c r="B330" s="10" t="s">
        <v>1232</v>
      </c>
      <c r="C330" s="12" t="s">
        <v>3917</v>
      </c>
      <c r="D330" s="10">
        <v>12</v>
      </c>
      <c r="E330" s="13">
        <v>1000000</v>
      </c>
      <c r="F330" s="14" t="s">
        <v>209</v>
      </c>
      <c r="G330" s="14" t="s">
        <v>210</v>
      </c>
      <c r="H330" s="15" t="s">
        <v>211</v>
      </c>
      <c r="I330" s="8"/>
      <c r="J330" s="10"/>
      <c r="AV330" s="15" t="s">
        <v>212</v>
      </c>
      <c r="AW330" s="15" t="s">
        <v>213</v>
      </c>
      <c r="AX330" s="15" t="s">
        <v>1233</v>
      </c>
      <c r="BH330" s="15" t="s">
        <v>184</v>
      </c>
      <c r="BI330" s="15" t="s">
        <v>185</v>
      </c>
      <c r="BJ330" s="15" t="s">
        <v>186</v>
      </c>
      <c r="BK330" s="15" t="s">
        <v>187</v>
      </c>
      <c r="BL330" s="15" t="s">
        <v>188</v>
      </c>
      <c r="BM330" s="15" t="s">
        <v>189</v>
      </c>
      <c r="BN330" s="15" t="s">
        <v>190</v>
      </c>
      <c r="BO330" s="15" t="s">
        <v>191</v>
      </c>
      <c r="BR330" s="15" t="s">
        <v>192</v>
      </c>
      <c r="BS330" s="15" t="s">
        <v>193</v>
      </c>
      <c r="BT330" s="15" t="s">
        <v>194</v>
      </c>
      <c r="BU330" s="15" t="s">
        <v>195</v>
      </c>
      <c r="BV330" s="15" t="s">
        <v>196</v>
      </c>
      <c r="BW330" s="15" t="s">
        <v>195</v>
      </c>
      <c r="CB330" s="15" t="s">
        <v>129</v>
      </c>
      <c r="CC330" s="15">
        <v>1</v>
      </c>
      <c r="CN330" s="15" t="s">
        <v>225</v>
      </c>
      <c r="CW330" s="10">
        <v>2</v>
      </c>
      <c r="CX330" s="15" t="s">
        <v>1234</v>
      </c>
    </row>
    <row r="331" spans="1:102" s="15" customFormat="1" x14ac:dyDescent="0.3">
      <c r="A331" s="11" t="s">
        <v>126</v>
      </c>
      <c r="B331" s="10" t="s">
        <v>1235</v>
      </c>
      <c r="C331" s="12" t="s">
        <v>3918</v>
      </c>
      <c r="D331" s="10">
        <v>12</v>
      </c>
      <c r="E331" s="13">
        <v>100000</v>
      </c>
      <c r="F331" s="14" t="s">
        <v>209</v>
      </c>
      <c r="G331" s="14" t="s">
        <v>210</v>
      </c>
      <c r="H331" s="15" t="s">
        <v>957</v>
      </c>
      <c r="I331" s="8"/>
      <c r="J331" s="10"/>
      <c r="AV331" s="15" t="s">
        <v>212</v>
      </c>
      <c r="AW331" s="15" t="s">
        <v>213</v>
      </c>
      <c r="AX331" s="15" t="s">
        <v>1236</v>
      </c>
      <c r="BH331" s="15" t="s">
        <v>184</v>
      </c>
      <c r="BI331" s="15" t="s">
        <v>185</v>
      </c>
      <c r="BJ331" s="15" t="s">
        <v>186</v>
      </c>
      <c r="BK331" s="15" t="s">
        <v>187</v>
      </c>
      <c r="BL331" s="15" t="s">
        <v>188</v>
      </c>
      <c r="BM331" s="15" t="s">
        <v>189</v>
      </c>
      <c r="BN331" s="15" t="s">
        <v>190</v>
      </c>
      <c r="BO331" s="15" t="s">
        <v>191</v>
      </c>
      <c r="BR331" s="15" t="s">
        <v>192</v>
      </c>
      <c r="BS331" s="15" t="s">
        <v>193</v>
      </c>
      <c r="BT331" s="15" t="s">
        <v>194</v>
      </c>
      <c r="BU331" s="15" t="s">
        <v>195</v>
      </c>
      <c r="BV331" s="15" t="s">
        <v>196</v>
      </c>
      <c r="BW331" s="15" t="s">
        <v>196</v>
      </c>
      <c r="CB331" s="15" t="s">
        <v>129</v>
      </c>
      <c r="CC331" s="15">
        <v>1</v>
      </c>
      <c r="CN331" s="15" t="s">
        <v>198</v>
      </c>
      <c r="CW331" s="10">
        <v>2</v>
      </c>
      <c r="CX331" s="15" t="s">
        <v>1237</v>
      </c>
    </row>
    <row r="332" spans="1:102" s="15" customFormat="1" x14ac:dyDescent="0.3">
      <c r="A332" s="11" t="s">
        <v>126</v>
      </c>
      <c r="B332" s="10" t="s">
        <v>1238</v>
      </c>
      <c r="C332" s="12" t="s">
        <v>3919</v>
      </c>
      <c r="D332" s="10">
        <v>12</v>
      </c>
      <c r="E332" s="13">
        <v>10000</v>
      </c>
      <c r="F332" s="14" t="s">
        <v>243</v>
      </c>
      <c r="G332" s="14" t="s">
        <v>244</v>
      </c>
      <c r="H332" s="15" t="s">
        <v>402</v>
      </c>
      <c r="I332" s="8"/>
      <c r="J332" s="10"/>
      <c r="AV332" s="15" t="s">
        <v>181</v>
      </c>
      <c r="AW332" s="15" t="s">
        <v>182</v>
      </c>
      <c r="AX332" s="15" t="s">
        <v>1239</v>
      </c>
      <c r="BH332" s="15" t="s">
        <v>184</v>
      </c>
      <c r="BI332" s="15" t="s">
        <v>185</v>
      </c>
      <c r="BJ332" s="15" t="s">
        <v>186</v>
      </c>
      <c r="BK332" s="15" t="s">
        <v>187</v>
      </c>
      <c r="BL332" s="15" t="s">
        <v>188</v>
      </c>
      <c r="BM332" s="15" t="s">
        <v>189</v>
      </c>
      <c r="BN332" s="15" t="s">
        <v>190</v>
      </c>
      <c r="BO332" s="15" t="s">
        <v>191</v>
      </c>
      <c r="BR332" s="15" t="s">
        <v>192</v>
      </c>
      <c r="BS332" s="15" t="s">
        <v>193</v>
      </c>
      <c r="BT332" s="15" t="s">
        <v>194</v>
      </c>
      <c r="BU332" s="15" t="s">
        <v>195</v>
      </c>
      <c r="BV332" s="15" t="s">
        <v>196</v>
      </c>
      <c r="BW332" s="15" t="s">
        <v>404</v>
      </c>
      <c r="CB332" s="15" t="s">
        <v>129</v>
      </c>
      <c r="CC332" s="15">
        <v>1</v>
      </c>
      <c r="CN332" s="15" t="s">
        <v>198</v>
      </c>
      <c r="CW332" s="10">
        <v>2</v>
      </c>
      <c r="CX332" s="15" t="s">
        <v>1240</v>
      </c>
    </row>
    <row r="333" spans="1:102" s="15" customFormat="1" x14ac:dyDescent="0.3">
      <c r="A333" s="11" t="s">
        <v>126</v>
      </c>
      <c r="B333" s="10" t="s">
        <v>1241</v>
      </c>
      <c r="C333" s="12" t="s">
        <v>3920</v>
      </c>
      <c r="D333" s="10">
        <v>12</v>
      </c>
      <c r="E333" s="13">
        <v>10000</v>
      </c>
      <c r="F333" s="14" t="s">
        <v>243</v>
      </c>
      <c r="G333" s="14" t="s">
        <v>244</v>
      </c>
      <c r="H333" s="15" t="s">
        <v>402</v>
      </c>
      <c r="I333" s="8"/>
      <c r="J333" s="10"/>
      <c r="AV333" s="15" t="s">
        <v>181</v>
      </c>
      <c r="AW333" s="15" t="s">
        <v>182</v>
      </c>
      <c r="AX333" s="15" t="s">
        <v>1242</v>
      </c>
      <c r="BH333" s="15" t="s">
        <v>184</v>
      </c>
      <c r="BI333" s="15" t="s">
        <v>185</v>
      </c>
      <c r="BJ333" s="15" t="s">
        <v>186</v>
      </c>
      <c r="BK333" s="15" t="s">
        <v>187</v>
      </c>
      <c r="BL333" s="15" t="s">
        <v>188</v>
      </c>
      <c r="BM333" s="15" t="s">
        <v>189</v>
      </c>
      <c r="BN333" s="15" t="s">
        <v>190</v>
      </c>
      <c r="BO333" s="15" t="s">
        <v>191</v>
      </c>
      <c r="BR333" s="15" t="s">
        <v>192</v>
      </c>
      <c r="BS333" s="15" t="s">
        <v>193</v>
      </c>
      <c r="BT333" s="15" t="s">
        <v>194</v>
      </c>
      <c r="BU333" s="15" t="s">
        <v>195</v>
      </c>
      <c r="BV333" s="15" t="s">
        <v>196</v>
      </c>
      <c r="BW333" s="15" t="s">
        <v>404</v>
      </c>
      <c r="CB333" s="15" t="s">
        <v>129</v>
      </c>
      <c r="CC333" s="15">
        <v>1</v>
      </c>
      <c r="CN333" s="15" t="s">
        <v>198</v>
      </c>
      <c r="CW333" s="10">
        <v>2</v>
      </c>
      <c r="CX333" s="15" t="s">
        <v>1243</v>
      </c>
    </row>
    <row r="334" spans="1:102" s="15" customFormat="1" x14ac:dyDescent="0.3">
      <c r="A334" s="11" t="s">
        <v>126</v>
      </c>
      <c r="B334" s="10" t="s">
        <v>1244</v>
      </c>
      <c r="C334" s="12" t="s">
        <v>3921</v>
      </c>
      <c r="D334" s="10">
        <v>12</v>
      </c>
      <c r="E334" s="13">
        <v>10000</v>
      </c>
      <c r="F334" s="14" t="s">
        <v>243</v>
      </c>
      <c r="G334" s="14" t="s">
        <v>244</v>
      </c>
      <c r="H334" s="15" t="s">
        <v>402</v>
      </c>
      <c r="I334" s="8"/>
      <c r="J334" s="10"/>
      <c r="AV334" s="15" t="s">
        <v>181</v>
      </c>
      <c r="AW334" s="15" t="s">
        <v>182</v>
      </c>
      <c r="AX334" s="15" t="s">
        <v>1245</v>
      </c>
      <c r="BH334" s="15" t="s">
        <v>184</v>
      </c>
      <c r="BI334" s="15" t="s">
        <v>185</v>
      </c>
      <c r="BJ334" s="15" t="s">
        <v>186</v>
      </c>
      <c r="BK334" s="15" t="s">
        <v>187</v>
      </c>
      <c r="BL334" s="15" t="s">
        <v>188</v>
      </c>
      <c r="BM334" s="15" t="s">
        <v>189</v>
      </c>
      <c r="BN334" s="15" t="s">
        <v>190</v>
      </c>
      <c r="BO334" s="15" t="s">
        <v>191</v>
      </c>
      <c r="BR334" s="15" t="s">
        <v>192</v>
      </c>
      <c r="BS334" s="15" t="s">
        <v>193</v>
      </c>
      <c r="BT334" s="15" t="s">
        <v>194</v>
      </c>
      <c r="BU334" s="15" t="s">
        <v>195</v>
      </c>
      <c r="BV334" s="15" t="s">
        <v>196</v>
      </c>
      <c r="BW334" s="15" t="s">
        <v>251</v>
      </c>
      <c r="CB334" s="15" t="s">
        <v>129</v>
      </c>
      <c r="CC334" s="15">
        <v>1</v>
      </c>
      <c r="CN334" s="15" t="s">
        <v>198</v>
      </c>
      <c r="CW334" s="10">
        <v>2</v>
      </c>
      <c r="CX334" s="15" t="s">
        <v>1246</v>
      </c>
    </row>
    <row r="335" spans="1:102" s="15" customFormat="1" x14ac:dyDescent="0.3">
      <c r="A335" s="11" t="s">
        <v>126</v>
      </c>
      <c r="B335" s="10" t="s">
        <v>1247</v>
      </c>
      <c r="C335" s="12" t="s">
        <v>3922</v>
      </c>
      <c r="D335" s="10">
        <v>12</v>
      </c>
      <c r="E335" s="13">
        <v>10000</v>
      </c>
      <c r="F335" s="14" t="s">
        <v>243</v>
      </c>
      <c r="G335" s="14" t="s">
        <v>244</v>
      </c>
      <c r="H335" s="15" t="s">
        <v>402</v>
      </c>
      <c r="I335" s="8"/>
      <c r="J335" s="10"/>
      <c r="AV335" s="15" t="s">
        <v>181</v>
      </c>
      <c r="AW335" s="15" t="s">
        <v>182</v>
      </c>
      <c r="AX335" s="15" t="s">
        <v>1248</v>
      </c>
      <c r="BH335" s="15" t="s">
        <v>184</v>
      </c>
      <c r="BI335" s="15" t="s">
        <v>185</v>
      </c>
      <c r="BJ335" s="15" t="s">
        <v>186</v>
      </c>
      <c r="BK335" s="15" t="s">
        <v>187</v>
      </c>
      <c r="BL335" s="15" t="s">
        <v>188</v>
      </c>
      <c r="BM335" s="15" t="s">
        <v>189</v>
      </c>
      <c r="BN335" s="15" t="s">
        <v>190</v>
      </c>
      <c r="BO335" s="15" t="s">
        <v>191</v>
      </c>
      <c r="BR335" s="15" t="s">
        <v>192</v>
      </c>
      <c r="BS335" s="15" t="s">
        <v>193</v>
      </c>
      <c r="BT335" s="15" t="s">
        <v>194</v>
      </c>
      <c r="BU335" s="15" t="s">
        <v>195</v>
      </c>
      <c r="BV335" s="15" t="s">
        <v>196</v>
      </c>
      <c r="BW335" s="15" t="s">
        <v>251</v>
      </c>
      <c r="CB335" s="15" t="s">
        <v>129</v>
      </c>
      <c r="CC335" s="15">
        <v>1</v>
      </c>
      <c r="CN335" s="15" t="s">
        <v>198</v>
      </c>
      <c r="CW335" s="10">
        <v>2</v>
      </c>
      <c r="CX335" s="15" t="s">
        <v>1249</v>
      </c>
    </row>
    <row r="336" spans="1:102" s="15" customFormat="1" x14ac:dyDescent="0.3">
      <c r="A336" s="11" t="s">
        <v>126</v>
      </c>
      <c r="B336" s="10" t="s">
        <v>1250</v>
      </c>
      <c r="C336" s="12" t="s">
        <v>3923</v>
      </c>
      <c r="D336" s="10">
        <v>12</v>
      </c>
      <c r="E336" s="13">
        <v>1000000</v>
      </c>
      <c r="F336" s="14" t="s">
        <v>269</v>
      </c>
      <c r="G336" s="14" t="s">
        <v>210</v>
      </c>
      <c r="H336" s="15" t="s">
        <v>270</v>
      </c>
      <c r="I336" s="8"/>
      <c r="J336" s="10"/>
      <c r="AV336" s="15" t="s">
        <v>212</v>
      </c>
      <c r="AW336" s="15" t="s">
        <v>213</v>
      </c>
      <c r="AX336" s="15" t="s">
        <v>1251</v>
      </c>
      <c r="BH336" s="15" t="s">
        <v>184</v>
      </c>
      <c r="BI336" s="15" t="s">
        <v>185</v>
      </c>
      <c r="BJ336" s="15" t="s">
        <v>186</v>
      </c>
      <c r="BK336" s="15" t="s">
        <v>187</v>
      </c>
      <c r="BL336" s="15" t="s">
        <v>188</v>
      </c>
      <c r="BM336" s="15" t="s">
        <v>189</v>
      </c>
      <c r="BN336" s="15" t="s">
        <v>190</v>
      </c>
      <c r="BO336" s="15" t="s">
        <v>191</v>
      </c>
      <c r="BR336" s="15" t="s">
        <v>192</v>
      </c>
      <c r="BS336" s="15" t="s">
        <v>193</v>
      </c>
      <c r="BT336" s="15" t="s">
        <v>194</v>
      </c>
      <c r="BU336" s="15" t="s">
        <v>195</v>
      </c>
      <c r="BV336" s="15" t="s">
        <v>196</v>
      </c>
      <c r="BW336" s="15" t="s">
        <v>272</v>
      </c>
      <c r="CB336" s="15" t="s">
        <v>129</v>
      </c>
      <c r="CC336" s="15">
        <v>1</v>
      </c>
      <c r="CN336" s="15" t="s">
        <v>273</v>
      </c>
      <c r="CW336" s="10">
        <v>2</v>
      </c>
      <c r="CX336" s="15" t="s">
        <v>1252</v>
      </c>
    </row>
    <row r="337" spans="1:102" s="15" customFormat="1" x14ac:dyDescent="0.3">
      <c r="A337" s="11" t="s">
        <v>126</v>
      </c>
      <c r="B337" s="10" t="s">
        <v>1253</v>
      </c>
      <c r="C337" s="12" t="s">
        <v>1602</v>
      </c>
      <c r="D337" s="10">
        <v>12</v>
      </c>
      <c r="E337" s="13">
        <v>100000</v>
      </c>
      <c r="F337" s="14" t="s">
        <v>243</v>
      </c>
      <c r="G337" s="14" t="s">
        <v>244</v>
      </c>
      <c r="H337" s="15" t="s">
        <v>1254</v>
      </c>
      <c r="I337" s="8" t="s">
        <v>1255</v>
      </c>
      <c r="J337" s="10" t="s">
        <v>1256</v>
      </c>
      <c r="AV337" s="15" t="s">
        <v>181</v>
      </c>
      <c r="AW337" s="15" t="s">
        <v>182</v>
      </c>
      <c r="AX337" s="15" t="s">
        <v>1257</v>
      </c>
      <c r="AY337" s="15" t="s">
        <v>1258</v>
      </c>
      <c r="AZ337" s="15" t="s">
        <v>1259</v>
      </c>
      <c r="BH337" s="15" t="s">
        <v>184</v>
      </c>
      <c r="BI337" s="15" t="s">
        <v>185</v>
      </c>
      <c r="BJ337" s="15" t="s">
        <v>186</v>
      </c>
      <c r="BK337" s="15" t="s">
        <v>187</v>
      </c>
      <c r="BL337" s="15" t="s">
        <v>188</v>
      </c>
      <c r="BM337" s="15" t="s">
        <v>189</v>
      </c>
      <c r="BN337" s="15" t="s">
        <v>190</v>
      </c>
      <c r="BO337" s="15" t="s">
        <v>191</v>
      </c>
      <c r="BR337" s="15" t="s">
        <v>192</v>
      </c>
      <c r="BS337" s="15" t="s">
        <v>193</v>
      </c>
      <c r="BT337" s="15" t="s">
        <v>194</v>
      </c>
      <c r="BU337" s="15" t="s">
        <v>195</v>
      </c>
      <c r="BV337" s="15" t="s">
        <v>196</v>
      </c>
      <c r="BW337" s="15" t="s">
        <v>272</v>
      </c>
      <c r="CB337" s="15" t="s">
        <v>129</v>
      </c>
      <c r="CC337" s="15">
        <v>1</v>
      </c>
      <c r="CN337" s="15" t="s">
        <v>273</v>
      </c>
      <c r="CW337" s="10">
        <v>2</v>
      </c>
      <c r="CX337" s="15" t="s">
        <v>1260</v>
      </c>
    </row>
    <row r="338" spans="1:102" s="15" customFormat="1" x14ac:dyDescent="0.3">
      <c r="A338" s="11" t="s">
        <v>126</v>
      </c>
      <c r="B338" s="10" t="s">
        <v>1261</v>
      </c>
      <c r="C338" s="12" t="s">
        <v>1608</v>
      </c>
      <c r="D338" s="10">
        <v>12</v>
      </c>
      <c r="E338" s="13">
        <v>100000</v>
      </c>
      <c r="F338" s="14" t="s">
        <v>243</v>
      </c>
      <c r="G338" s="14" t="s">
        <v>244</v>
      </c>
      <c r="H338" s="15" t="s">
        <v>1262</v>
      </c>
      <c r="I338" s="8"/>
      <c r="J338" s="10"/>
      <c r="AV338" s="15" t="s">
        <v>181</v>
      </c>
      <c r="AW338" s="15" t="s">
        <v>182</v>
      </c>
      <c r="AX338" s="15" t="s">
        <v>1263</v>
      </c>
      <c r="AY338" s="15" t="s">
        <v>1264</v>
      </c>
      <c r="AZ338" s="15" t="s">
        <v>1265</v>
      </c>
      <c r="BA338" s="15" t="s">
        <v>1266</v>
      </c>
      <c r="BB338" s="15" t="s">
        <v>1267</v>
      </c>
      <c r="BC338" s="15" t="s">
        <v>1268</v>
      </c>
      <c r="BD338" s="15" t="s">
        <v>1269</v>
      </c>
      <c r="BE338" s="15" t="s">
        <v>1270</v>
      </c>
      <c r="BF338" s="15" t="s">
        <v>1271</v>
      </c>
      <c r="BH338" s="15" t="s">
        <v>184</v>
      </c>
      <c r="BI338" s="15" t="s">
        <v>185</v>
      </c>
      <c r="BJ338" s="15" t="s">
        <v>186</v>
      </c>
      <c r="BK338" s="15" t="s">
        <v>187</v>
      </c>
      <c r="BL338" s="15" t="s">
        <v>188</v>
      </c>
      <c r="BM338" s="15" t="s">
        <v>189</v>
      </c>
      <c r="BN338" s="15" t="s">
        <v>190</v>
      </c>
      <c r="BO338" s="15" t="s">
        <v>191</v>
      </c>
      <c r="BR338" s="15" t="s">
        <v>192</v>
      </c>
      <c r="BS338" s="15" t="s">
        <v>193</v>
      </c>
      <c r="BT338" s="15" t="s">
        <v>194</v>
      </c>
      <c r="BU338" s="15" t="s">
        <v>195</v>
      </c>
      <c r="BV338" s="15" t="s">
        <v>196</v>
      </c>
      <c r="BW338" s="15" t="s">
        <v>272</v>
      </c>
      <c r="CB338" s="15" t="s">
        <v>129</v>
      </c>
      <c r="CC338" s="15">
        <v>1</v>
      </c>
      <c r="CN338" s="15" t="s">
        <v>273</v>
      </c>
      <c r="CW338" s="10">
        <v>2</v>
      </c>
      <c r="CX338" s="15" t="s">
        <v>1272</v>
      </c>
    </row>
    <row r="339" spans="1:102" s="15" customFormat="1" x14ac:dyDescent="0.3">
      <c r="A339" s="11" t="s">
        <v>126</v>
      </c>
      <c r="B339" s="10" t="s">
        <v>1273</v>
      </c>
      <c r="C339" s="12" t="s">
        <v>1282</v>
      </c>
      <c r="D339" s="10">
        <v>12</v>
      </c>
      <c r="E339" s="13">
        <v>1000000</v>
      </c>
      <c r="F339" s="14" t="s">
        <v>209</v>
      </c>
      <c r="G339" s="14" t="s">
        <v>210</v>
      </c>
      <c r="H339" s="15" t="s">
        <v>211</v>
      </c>
      <c r="I339" s="8"/>
      <c r="J339" s="10"/>
      <c r="AV339" s="15" t="s">
        <v>212</v>
      </c>
      <c r="AW339" s="15" t="s">
        <v>213</v>
      </c>
      <c r="AX339" s="15" t="s">
        <v>684</v>
      </c>
      <c r="BH339" s="15" t="s">
        <v>184</v>
      </c>
      <c r="BI339" s="15" t="s">
        <v>185</v>
      </c>
      <c r="BJ339" s="15" t="s">
        <v>186</v>
      </c>
      <c r="BK339" s="15" t="s">
        <v>187</v>
      </c>
      <c r="BL339" s="15" t="s">
        <v>188</v>
      </c>
      <c r="BM339" s="15" t="s">
        <v>189</v>
      </c>
      <c r="BN339" s="15" t="s">
        <v>190</v>
      </c>
      <c r="BO339" s="15" t="s">
        <v>191</v>
      </c>
      <c r="BR339" s="15" t="s">
        <v>192</v>
      </c>
      <c r="BS339" s="15" t="s">
        <v>193</v>
      </c>
      <c r="BT339" s="15" t="s">
        <v>194</v>
      </c>
      <c r="BU339" s="15" t="s">
        <v>195</v>
      </c>
      <c r="BV339" s="15" t="s">
        <v>196</v>
      </c>
      <c r="BW339" s="15" t="s">
        <v>196</v>
      </c>
      <c r="CB339" s="15" t="s">
        <v>129</v>
      </c>
      <c r="CC339" s="15">
        <v>1</v>
      </c>
      <c r="CN339" s="15" t="s">
        <v>198</v>
      </c>
      <c r="CW339" s="10">
        <v>2</v>
      </c>
      <c r="CX339" s="15" t="s">
        <v>1274</v>
      </c>
    </row>
    <row r="340" spans="1:102" s="15" customFormat="1" x14ac:dyDescent="0.3">
      <c r="A340" s="11" t="s">
        <v>126</v>
      </c>
      <c r="B340" s="10" t="s">
        <v>1275</v>
      </c>
      <c r="C340" s="12" t="s">
        <v>1285</v>
      </c>
      <c r="D340" s="10">
        <v>12</v>
      </c>
      <c r="E340" s="13">
        <v>100000</v>
      </c>
      <c r="F340" s="14" t="s">
        <v>209</v>
      </c>
      <c r="G340" s="14" t="s">
        <v>210</v>
      </c>
      <c r="H340" s="15" t="s">
        <v>211</v>
      </c>
      <c r="I340" s="8"/>
      <c r="J340" s="10"/>
      <c r="AV340" s="15" t="s">
        <v>212</v>
      </c>
      <c r="AW340" s="15" t="s">
        <v>213</v>
      </c>
      <c r="AX340" s="15" t="s">
        <v>1276</v>
      </c>
      <c r="BH340" s="15" t="s">
        <v>184</v>
      </c>
      <c r="BI340" s="15" t="s">
        <v>185</v>
      </c>
      <c r="BJ340" s="15" t="s">
        <v>186</v>
      </c>
      <c r="BK340" s="15" t="s">
        <v>187</v>
      </c>
      <c r="BL340" s="15" t="s">
        <v>188</v>
      </c>
      <c r="BM340" s="15" t="s">
        <v>189</v>
      </c>
      <c r="BN340" s="15" t="s">
        <v>190</v>
      </c>
      <c r="BO340" s="15" t="s">
        <v>191</v>
      </c>
      <c r="BR340" s="15" t="s">
        <v>192</v>
      </c>
      <c r="BS340" s="15" t="s">
        <v>193</v>
      </c>
      <c r="BT340" s="15" t="s">
        <v>194</v>
      </c>
      <c r="BU340" s="15" t="s">
        <v>195</v>
      </c>
      <c r="BV340" s="15" t="s">
        <v>196</v>
      </c>
      <c r="BW340" s="15" t="s">
        <v>196</v>
      </c>
      <c r="CB340" s="15" t="s">
        <v>129</v>
      </c>
      <c r="CC340" s="15">
        <v>1</v>
      </c>
      <c r="CN340" s="15" t="s">
        <v>198</v>
      </c>
      <c r="CW340" s="10">
        <v>2</v>
      </c>
      <c r="CX340" s="15" t="s">
        <v>1277</v>
      </c>
    </row>
    <row r="341" spans="1:102" s="15" customFormat="1" x14ac:dyDescent="0.3">
      <c r="A341" s="11" t="s">
        <v>126</v>
      </c>
      <c r="B341" s="10" t="s">
        <v>1278</v>
      </c>
      <c r="C341" s="12" t="s">
        <v>1288</v>
      </c>
      <c r="D341" s="10">
        <v>12</v>
      </c>
      <c r="E341" s="13">
        <v>1000000</v>
      </c>
      <c r="F341" s="14" t="s">
        <v>269</v>
      </c>
      <c r="G341" s="14" t="s">
        <v>210</v>
      </c>
      <c r="H341" s="15" t="s">
        <v>211</v>
      </c>
      <c r="I341" s="8"/>
      <c r="J341" s="10"/>
      <c r="AV341" s="15" t="s">
        <v>212</v>
      </c>
      <c r="AW341" s="15" t="s">
        <v>213</v>
      </c>
      <c r="AX341" s="15" t="s">
        <v>1279</v>
      </c>
      <c r="BH341" s="15" t="s">
        <v>184</v>
      </c>
      <c r="BI341" s="15" t="s">
        <v>185</v>
      </c>
      <c r="BJ341" s="15" t="s">
        <v>186</v>
      </c>
      <c r="BK341" s="15" t="s">
        <v>187</v>
      </c>
      <c r="BL341" s="15" t="s">
        <v>188</v>
      </c>
      <c r="BM341" s="15" t="s">
        <v>189</v>
      </c>
      <c r="BN341" s="15" t="s">
        <v>190</v>
      </c>
      <c r="BO341" s="15" t="s">
        <v>191</v>
      </c>
      <c r="BR341" s="15" t="s">
        <v>192</v>
      </c>
      <c r="BS341" s="15" t="s">
        <v>193</v>
      </c>
      <c r="BT341" s="15" t="s">
        <v>194</v>
      </c>
      <c r="BU341" s="15" t="s">
        <v>195</v>
      </c>
      <c r="BV341" s="15" t="s">
        <v>196</v>
      </c>
      <c r="BW341" s="15" t="s">
        <v>194</v>
      </c>
      <c r="CB341" s="15" t="s">
        <v>129</v>
      </c>
      <c r="CC341" s="15">
        <v>1</v>
      </c>
      <c r="CN341" s="15" t="s">
        <v>198</v>
      </c>
      <c r="CW341" s="10">
        <v>2</v>
      </c>
      <c r="CX341" s="15" t="s">
        <v>1280</v>
      </c>
    </row>
    <row r="342" spans="1:102" s="15" customFormat="1" x14ac:dyDescent="0.3">
      <c r="A342" s="11" t="s">
        <v>126</v>
      </c>
      <c r="B342" s="10" t="s">
        <v>1281</v>
      </c>
      <c r="C342" s="12" t="s">
        <v>1282</v>
      </c>
      <c r="D342" s="10">
        <v>12</v>
      </c>
      <c r="E342" s="13">
        <v>1000000</v>
      </c>
      <c r="F342" s="14" t="s">
        <v>210</v>
      </c>
      <c r="G342" s="14" t="s">
        <v>210</v>
      </c>
      <c r="H342" s="15" t="s">
        <v>211</v>
      </c>
      <c r="I342" s="8"/>
      <c r="J342" s="10"/>
      <c r="AW342" s="15" t="s">
        <v>128</v>
      </c>
      <c r="AX342" s="15" t="s">
        <v>684</v>
      </c>
      <c r="BH342" s="15" t="s">
        <v>184</v>
      </c>
      <c r="BI342" s="15" t="s">
        <v>185</v>
      </c>
      <c r="BJ342" s="15" t="s">
        <v>186</v>
      </c>
      <c r="BK342" s="15" t="s">
        <v>187</v>
      </c>
      <c r="BL342" s="15" t="s">
        <v>188</v>
      </c>
      <c r="BM342" s="15" t="s">
        <v>189</v>
      </c>
      <c r="BN342" s="15" t="s">
        <v>190</v>
      </c>
      <c r="BO342" s="15" t="s">
        <v>191</v>
      </c>
      <c r="BR342" s="15" t="s">
        <v>192</v>
      </c>
      <c r="BS342" s="15" t="s">
        <v>193</v>
      </c>
      <c r="BT342" s="15" t="s">
        <v>194</v>
      </c>
      <c r="BU342" s="15" t="s">
        <v>195</v>
      </c>
      <c r="BV342" s="15" t="s">
        <v>196</v>
      </c>
      <c r="BW342" s="15" t="s">
        <v>196</v>
      </c>
      <c r="CB342" s="15" t="s">
        <v>128</v>
      </c>
      <c r="CC342" s="15">
        <v>1</v>
      </c>
      <c r="CN342" s="15" t="s">
        <v>198</v>
      </c>
      <c r="CW342" s="10">
        <v>2</v>
      </c>
      <c r="CX342" s="15" t="s">
        <v>1283</v>
      </c>
    </row>
    <row r="343" spans="1:102" s="15" customFormat="1" x14ac:dyDescent="0.3">
      <c r="A343" s="11" t="s">
        <v>126</v>
      </c>
      <c r="B343" s="10" t="s">
        <v>1284</v>
      </c>
      <c r="C343" s="12" t="s">
        <v>1285</v>
      </c>
      <c r="D343" s="10">
        <v>12</v>
      </c>
      <c r="E343" s="13">
        <v>100000</v>
      </c>
      <c r="F343" s="14" t="s">
        <v>210</v>
      </c>
      <c r="G343" s="14" t="s">
        <v>210</v>
      </c>
      <c r="H343" s="15" t="s">
        <v>211</v>
      </c>
      <c r="I343" s="8"/>
      <c r="J343" s="10"/>
      <c r="AW343" s="15" t="s">
        <v>128</v>
      </c>
      <c r="AX343" s="15" t="s">
        <v>1276</v>
      </c>
      <c r="BH343" s="15" t="s">
        <v>184</v>
      </c>
      <c r="BI343" s="15" t="s">
        <v>185</v>
      </c>
      <c r="BJ343" s="15" t="s">
        <v>186</v>
      </c>
      <c r="BK343" s="15" t="s">
        <v>187</v>
      </c>
      <c r="BL343" s="15" t="s">
        <v>188</v>
      </c>
      <c r="BM343" s="15" t="s">
        <v>189</v>
      </c>
      <c r="BN343" s="15" t="s">
        <v>190</v>
      </c>
      <c r="BO343" s="15" t="s">
        <v>191</v>
      </c>
      <c r="BR343" s="15" t="s">
        <v>192</v>
      </c>
      <c r="BS343" s="15" t="s">
        <v>193</v>
      </c>
      <c r="BT343" s="15" t="s">
        <v>194</v>
      </c>
      <c r="BU343" s="15" t="s">
        <v>195</v>
      </c>
      <c r="BV343" s="15" t="s">
        <v>196</v>
      </c>
      <c r="BW343" s="15" t="s">
        <v>196</v>
      </c>
      <c r="CB343" s="15" t="s">
        <v>128</v>
      </c>
      <c r="CC343" s="15">
        <v>1</v>
      </c>
      <c r="CN343" s="15" t="s">
        <v>198</v>
      </c>
      <c r="CW343" s="10">
        <v>2</v>
      </c>
      <c r="CX343" s="15" t="s">
        <v>1286</v>
      </c>
    </row>
    <row r="344" spans="1:102" s="15" customFormat="1" x14ac:dyDescent="0.3">
      <c r="A344" s="11" t="s">
        <v>126</v>
      </c>
      <c r="B344" s="10" t="s">
        <v>1287</v>
      </c>
      <c r="C344" s="12" t="s">
        <v>1288</v>
      </c>
      <c r="D344" s="10">
        <v>12</v>
      </c>
      <c r="E344" s="13">
        <v>1000000</v>
      </c>
      <c r="F344" s="14" t="s">
        <v>210</v>
      </c>
      <c r="G344" s="14" t="s">
        <v>210</v>
      </c>
      <c r="H344" s="15" t="s">
        <v>211</v>
      </c>
      <c r="I344" s="8"/>
      <c r="J344" s="10"/>
      <c r="AW344" s="15" t="s">
        <v>128</v>
      </c>
      <c r="AX344" s="15" t="s">
        <v>1279</v>
      </c>
      <c r="BH344" s="15" t="s">
        <v>184</v>
      </c>
      <c r="BI344" s="15" t="s">
        <v>185</v>
      </c>
      <c r="BJ344" s="15" t="s">
        <v>186</v>
      </c>
      <c r="BK344" s="15" t="s">
        <v>187</v>
      </c>
      <c r="BL344" s="15" t="s">
        <v>188</v>
      </c>
      <c r="BM344" s="15" t="s">
        <v>189</v>
      </c>
      <c r="BN344" s="15" t="s">
        <v>190</v>
      </c>
      <c r="BO344" s="15" t="s">
        <v>191</v>
      </c>
      <c r="BR344" s="15" t="s">
        <v>192</v>
      </c>
      <c r="BS344" s="15" t="s">
        <v>193</v>
      </c>
      <c r="BT344" s="15" t="s">
        <v>194</v>
      </c>
      <c r="BU344" s="15" t="s">
        <v>195</v>
      </c>
      <c r="BV344" s="15" t="s">
        <v>196</v>
      </c>
      <c r="BW344" s="15" t="s">
        <v>194</v>
      </c>
      <c r="CB344" s="15" t="s">
        <v>128</v>
      </c>
      <c r="CC344" s="15">
        <v>1</v>
      </c>
      <c r="CN344" s="15" t="s">
        <v>198</v>
      </c>
      <c r="CW344" s="10">
        <v>2</v>
      </c>
      <c r="CX344" s="15" t="s">
        <v>1289</v>
      </c>
    </row>
    <row r="345" spans="1:102" s="15" customFormat="1" x14ac:dyDescent="0.3">
      <c r="A345" s="11" t="s">
        <v>126</v>
      </c>
      <c r="B345" s="10" t="s">
        <v>1290</v>
      </c>
      <c r="C345" s="12" t="s">
        <v>1291</v>
      </c>
      <c r="D345" s="10">
        <v>12</v>
      </c>
      <c r="E345" s="13">
        <v>1000000</v>
      </c>
      <c r="F345" s="14" t="s">
        <v>210</v>
      </c>
      <c r="G345" s="14" t="s">
        <v>210</v>
      </c>
      <c r="H345" s="15" t="s">
        <v>211</v>
      </c>
      <c r="I345" s="8"/>
      <c r="J345" s="10"/>
      <c r="AW345" s="15" t="s">
        <v>128</v>
      </c>
      <c r="AX345" s="15" t="s">
        <v>684</v>
      </c>
      <c r="BH345" s="15" t="s">
        <v>184</v>
      </c>
      <c r="BI345" s="15" t="s">
        <v>185</v>
      </c>
      <c r="BJ345" s="15" t="s">
        <v>186</v>
      </c>
      <c r="BK345" s="15" t="s">
        <v>187</v>
      </c>
      <c r="BL345" s="15" t="s">
        <v>188</v>
      </c>
      <c r="BM345" s="15" t="s">
        <v>189</v>
      </c>
      <c r="BN345" s="15" t="s">
        <v>190</v>
      </c>
      <c r="BO345" s="15" t="s">
        <v>191</v>
      </c>
      <c r="BR345" s="15" t="s">
        <v>192</v>
      </c>
      <c r="BS345" s="15" t="s">
        <v>193</v>
      </c>
      <c r="BT345" s="15" t="s">
        <v>194</v>
      </c>
      <c r="BU345" s="15" t="s">
        <v>195</v>
      </c>
      <c r="BV345" s="15" t="s">
        <v>196</v>
      </c>
      <c r="BW345" s="15" t="s">
        <v>196</v>
      </c>
      <c r="CB345" s="15" t="s">
        <v>128</v>
      </c>
      <c r="CC345" s="15">
        <v>1</v>
      </c>
      <c r="CN345" s="15" t="s">
        <v>198</v>
      </c>
      <c r="CW345" s="10">
        <v>2</v>
      </c>
      <c r="CX345" s="15" t="s">
        <v>1292</v>
      </c>
    </row>
    <row r="346" spans="1:102" s="15" customFormat="1" x14ac:dyDescent="0.3">
      <c r="A346" s="11" t="s">
        <v>126</v>
      </c>
      <c r="B346" s="10" t="s">
        <v>1293</v>
      </c>
      <c r="C346" s="12" t="s">
        <v>1294</v>
      </c>
      <c r="D346" s="10">
        <v>12</v>
      </c>
      <c r="E346" s="13">
        <v>100000</v>
      </c>
      <c r="F346" s="14" t="s">
        <v>210</v>
      </c>
      <c r="G346" s="14" t="s">
        <v>210</v>
      </c>
      <c r="H346" s="15" t="s">
        <v>211</v>
      </c>
      <c r="I346" s="8"/>
      <c r="J346" s="10"/>
      <c r="AW346" s="15" t="s">
        <v>128</v>
      </c>
      <c r="AX346" s="15" t="s">
        <v>1276</v>
      </c>
      <c r="BH346" s="15" t="s">
        <v>184</v>
      </c>
      <c r="BI346" s="15" t="s">
        <v>185</v>
      </c>
      <c r="BJ346" s="15" t="s">
        <v>186</v>
      </c>
      <c r="BK346" s="15" t="s">
        <v>187</v>
      </c>
      <c r="BL346" s="15" t="s">
        <v>188</v>
      </c>
      <c r="BM346" s="15" t="s">
        <v>189</v>
      </c>
      <c r="BN346" s="15" t="s">
        <v>190</v>
      </c>
      <c r="BO346" s="15" t="s">
        <v>191</v>
      </c>
      <c r="BR346" s="15" t="s">
        <v>192</v>
      </c>
      <c r="BS346" s="15" t="s">
        <v>193</v>
      </c>
      <c r="BT346" s="15" t="s">
        <v>194</v>
      </c>
      <c r="BU346" s="15" t="s">
        <v>195</v>
      </c>
      <c r="BV346" s="15" t="s">
        <v>196</v>
      </c>
      <c r="BW346" s="15" t="s">
        <v>196</v>
      </c>
      <c r="CB346" s="15" t="s">
        <v>128</v>
      </c>
      <c r="CC346" s="15">
        <v>1</v>
      </c>
      <c r="CN346" s="15" t="s">
        <v>198</v>
      </c>
      <c r="CW346" s="10">
        <v>2</v>
      </c>
      <c r="CX346" s="15" t="s">
        <v>1295</v>
      </c>
    </row>
    <row r="347" spans="1:102" s="15" customFormat="1" x14ac:dyDescent="0.3">
      <c r="A347" s="11" t="s">
        <v>126</v>
      </c>
      <c r="B347" s="10" t="s">
        <v>1296</v>
      </c>
      <c r="C347" s="12" t="s">
        <v>1297</v>
      </c>
      <c r="D347" s="10">
        <v>12</v>
      </c>
      <c r="E347" s="13">
        <v>1000000</v>
      </c>
      <c r="F347" s="14" t="s">
        <v>210</v>
      </c>
      <c r="G347" s="14" t="s">
        <v>210</v>
      </c>
      <c r="H347" s="15" t="s">
        <v>211</v>
      </c>
      <c r="I347" s="8"/>
      <c r="J347" s="10"/>
      <c r="AW347" s="15" t="s">
        <v>128</v>
      </c>
      <c r="AX347" s="15" t="s">
        <v>1279</v>
      </c>
      <c r="BH347" s="15" t="s">
        <v>184</v>
      </c>
      <c r="BI347" s="15" t="s">
        <v>185</v>
      </c>
      <c r="BJ347" s="15" t="s">
        <v>186</v>
      </c>
      <c r="BK347" s="15" t="s">
        <v>187</v>
      </c>
      <c r="BL347" s="15" t="s">
        <v>188</v>
      </c>
      <c r="BM347" s="15" t="s">
        <v>189</v>
      </c>
      <c r="BN347" s="15" t="s">
        <v>190</v>
      </c>
      <c r="BO347" s="15" t="s">
        <v>191</v>
      </c>
      <c r="BR347" s="15" t="s">
        <v>192</v>
      </c>
      <c r="BS347" s="15" t="s">
        <v>193</v>
      </c>
      <c r="BT347" s="15" t="s">
        <v>194</v>
      </c>
      <c r="BU347" s="15" t="s">
        <v>195</v>
      </c>
      <c r="BV347" s="15" t="s">
        <v>196</v>
      </c>
      <c r="BW347" s="15" t="s">
        <v>194</v>
      </c>
      <c r="CB347" s="15" t="s">
        <v>128</v>
      </c>
      <c r="CC347" s="15">
        <v>1</v>
      </c>
      <c r="CN347" s="15" t="s">
        <v>198</v>
      </c>
      <c r="CW347" s="10">
        <v>2</v>
      </c>
      <c r="CX347" s="15" t="s">
        <v>1298</v>
      </c>
    </row>
    <row r="348" spans="1:102" s="15" customFormat="1" x14ac:dyDescent="0.3">
      <c r="A348" s="11" t="s">
        <v>126</v>
      </c>
      <c r="B348" s="10" t="s">
        <v>1299</v>
      </c>
      <c r="C348" s="12" t="s">
        <v>1319</v>
      </c>
      <c r="D348" s="10">
        <v>12</v>
      </c>
      <c r="E348" s="13">
        <v>1000000</v>
      </c>
      <c r="F348" s="14" t="s">
        <v>209</v>
      </c>
      <c r="G348" s="14" t="s">
        <v>210</v>
      </c>
      <c r="H348" s="15" t="s">
        <v>211</v>
      </c>
      <c r="I348" s="8"/>
      <c r="J348" s="10"/>
      <c r="AV348" s="15" t="s">
        <v>212</v>
      </c>
      <c r="AW348" s="15" t="s">
        <v>213</v>
      </c>
      <c r="AX348" s="15" t="s">
        <v>1300</v>
      </c>
      <c r="BH348" s="15" t="s">
        <v>184</v>
      </c>
      <c r="BI348" s="15" t="s">
        <v>185</v>
      </c>
      <c r="BJ348" s="15" t="s">
        <v>186</v>
      </c>
      <c r="BK348" s="15" t="s">
        <v>187</v>
      </c>
      <c r="BL348" s="15" t="s">
        <v>188</v>
      </c>
      <c r="BM348" s="15" t="s">
        <v>189</v>
      </c>
      <c r="BN348" s="15" t="s">
        <v>190</v>
      </c>
      <c r="BO348" s="15" t="s">
        <v>191</v>
      </c>
      <c r="BR348" s="15" t="s">
        <v>192</v>
      </c>
      <c r="BS348" s="15" t="s">
        <v>193</v>
      </c>
      <c r="BT348" s="15" t="s">
        <v>194</v>
      </c>
      <c r="BU348" s="15" t="s">
        <v>195</v>
      </c>
      <c r="BV348" s="15" t="s">
        <v>196</v>
      </c>
      <c r="BW348" s="15" t="s">
        <v>196</v>
      </c>
      <c r="CB348" s="15" t="s">
        <v>129</v>
      </c>
      <c r="CC348" s="15">
        <v>1</v>
      </c>
      <c r="CN348" s="15" t="s">
        <v>198</v>
      </c>
      <c r="CW348" s="10">
        <v>2</v>
      </c>
      <c r="CX348" s="15" t="s">
        <v>1301</v>
      </c>
    </row>
    <row r="349" spans="1:102" s="15" customFormat="1" x14ac:dyDescent="0.3">
      <c r="A349" s="11" t="s">
        <v>126</v>
      </c>
      <c r="B349" s="10" t="s">
        <v>1302</v>
      </c>
      <c r="C349" s="12" t="s">
        <v>1322</v>
      </c>
      <c r="D349" s="10">
        <v>12</v>
      </c>
      <c r="E349" s="13">
        <v>1000000</v>
      </c>
      <c r="F349" s="14" t="s">
        <v>209</v>
      </c>
      <c r="G349" s="14" t="s">
        <v>210</v>
      </c>
      <c r="H349" s="15" t="s">
        <v>211</v>
      </c>
      <c r="I349" s="8"/>
      <c r="J349" s="10"/>
      <c r="AV349" s="15" t="s">
        <v>212</v>
      </c>
      <c r="AW349" s="15" t="s">
        <v>213</v>
      </c>
      <c r="AX349" s="15" t="s">
        <v>1303</v>
      </c>
      <c r="BH349" s="15" t="s">
        <v>184</v>
      </c>
      <c r="BI349" s="15" t="s">
        <v>185</v>
      </c>
      <c r="BJ349" s="15" t="s">
        <v>186</v>
      </c>
      <c r="BK349" s="15" t="s">
        <v>187</v>
      </c>
      <c r="BL349" s="15" t="s">
        <v>188</v>
      </c>
      <c r="BM349" s="15" t="s">
        <v>189</v>
      </c>
      <c r="BN349" s="15" t="s">
        <v>190</v>
      </c>
      <c r="BO349" s="15" t="s">
        <v>191</v>
      </c>
      <c r="BR349" s="15" t="s">
        <v>192</v>
      </c>
      <c r="BS349" s="15" t="s">
        <v>193</v>
      </c>
      <c r="BT349" s="15" t="s">
        <v>194</v>
      </c>
      <c r="BU349" s="15" t="s">
        <v>195</v>
      </c>
      <c r="BV349" s="15" t="s">
        <v>196</v>
      </c>
      <c r="BW349" s="15" t="s">
        <v>196</v>
      </c>
      <c r="CB349" s="15" t="s">
        <v>129</v>
      </c>
      <c r="CC349" s="15">
        <v>1</v>
      </c>
      <c r="CN349" s="15" t="s">
        <v>198</v>
      </c>
      <c r="CW349" s="10">
        <v>2</v>
      </c>
      <c r="CX349" s="15" t="s">
        <v>1304</v>
      </c>
    </row>
    <row r="350" spans="1:102" s="15" customFormat="1" x14ac:dyDescent="0.3">
      <c r="A350" s="11" t="s">
        <v>126</v>
      </c>
      <c r="B350" s="10" t="s">
        <v>1305</v>
      </c>
      <c r="C350" s="12" t="s">
        <v>1325</v>
      </c>
      <c r="D350" s="10">
        <v>12</v>
      </c>
      <c r="E350" s="13">
        <v>1000000</v>
      </c>
      <c r="F350" s="14" t="s">
        <v>209</v>
      </c>
      <c r="G350" s="14" t="s">
        <v>210</v>
      </c>
      <c r="H350" s="15" t="s">
        <v>211</v>
      </c>
      <c r="I350" s="8"/>
      <c r="J350" s="10"/>
      <c r="AV350" s="15" t="s">
        <v>212</v>
      </c>
      <c r="AW350" s="15" t="s">
        <v>213</v>
      </c>
      <c r="AX350" s="15" t="s">
        <v>1306</v>
      </c>
      <c r="BH350" s="15" t="s">
        <v>184</v>
      </c>
      <c r="BI350" s="15" t="s">
        <v>185</v>
      </c>
      <c r="BJ350" s="15" t="s">
        <v>186</v>
      </c>
      <c r="BK350" s="15" t="s">
        <v>187</v>
      </c>
      <c r="BL350" s="15" t="s">
        <v>188</v>
      </c>
      <c r="BM350" s="15" t="s">
        <v>189</v>
      </c>
      <c r="BN350" s="15" t="s">
        <v>190</v>
      </c>
      <c r="BO350" s="15" t="s">
        <v>191</v>
      </c>
      <c r="BR350" s="15" t="s">
        <v>192</v>
      </c>
      <c r="BS350" s="15" t="s">
        <v>193</v>
      </c>
      <c r="BT350" s="15" t="s">
        <v>194</v>
      </c>
      <c r="BU350" s="15" t="s">
        <v>195</v>
      </c>
      <c r="BV350" s="15" t="s">
        <v>196</v>
      </c>
      <c r="BW350" s="15" t="s">
        <v>196</v>
      </c>
      <c r="CB350" s="15" t="s">
        <v>129</v>
      </c>
      <c r="CC350" s="15">
        <v>1</v>
      </c>
      <c r="CN350" s="15" t="s">
        <v>198</v>
      </c>
      <c r="CW350" s="10">
        <v>2</v>
      </c>
      <c r="CX350" s="15" t="s">
        <v>1307</v>
      </c>
    </row>
    <row r="351" spans="1:102" s="15" customFormat="1" x14ac:dyDescent="0.3">
      <c r="A351" s="11" t="s">
        <v>126</v>
      </c>
      <c r="B351" s="10" t="s">
        <v>1308</v>
      </c>
      <c r="C351" s="12" t="s">
        <v>1328</v>
      </c>
      <c r="D351" s="10">
        <v>12</v>
      </c>
      <c r="E351" s="13">
        <v>1000000</v>
      </c>
      <c r="F351" s="14" t="s">
        <v>209</v>
      </c>
      <c r="G351" s="14" t="s">
        <v>210</v>
      </c>
      <c r="H351" s="15" t="s">
        <v>211</v>
      </c>
      <c r="I351" s="8"/>
      <c r="J351" s="10"/>
      <c r="AV351" s="15" t="s">
        <v>212</v>
      </c>
      <c r="AW351" s="15" t="s">
        <v>213</v>
      </c>
      <c r="AX351" s="15" t="s">
        <v>994</v>
      </c>
      <c r="BH351" s="15" t="s">
        <v>184</v>
      </c>
      <c r="BI351" s="15" t="s">
        <v>185</v>
      </c>
      <c r="BJ351" s="15" t="s">
        <v>186</v>
      </c>
      <c r="BK351" s="15" t="s">
        <v>187</v>
      </c>
      <c r="BL351" s="15" t="s">
        <v>188</v>
      </c>
      <c r="BM351" s="15" t="s">
        <v>189</v>
      </c>
      <c r="BN351" s="15" t="s">
        <v>190</v>
      </c>
      <c r="BO351" s="15" t="s">
        <v>191</v>
      </c>
      <c r="BR351" s="15" t="s">
        <v>192</v>
      </c>
      <c r="BS351" s="15" t="s">
        <v>193</v>
      </c>
      <c r="BT351" s="15" t="s">
        <v>194</v>
      </c>
      <c r="BU351" s="15" t="s">
        <v>195</v>
      </c>
      <c r="BV351" s="15" t="s">
        <v>196</v>
      </c>
      <c r="BW351" s="15" t="s">
        <v>196</v>
      </c>
      <c r="CB351" s="15" t="s">
        <v>129</v>
      </c>
      <c r="CC351" s="15">
        <v>1</v>
      </c>
      <c r="CN351" s="15" t="s">
        <v>198</v>
      </c>
      <c r="CW351" s="10">
        <v>2</v>
      </c>
      <c r="CX351" s="15" t="s">
        <v>1309</v>
      </c>
    </row>
    <row r="352" spans="1:102" s="15" customFormat="1" x14ac:dyDescent="0.3">
      <c r="A352" s="11" t="s">
        <v>126</v>
      </c>
      <c r="B352" s="10" t="s">
        <v>1310</v>
      </c>
      <c r="C352" s="12" t="s">
        <v>1331</v>
      </c>
      <c r="D352" s="10">
        <v>12</v>
      </c>
      <c r="E352" s="13">
        <v>1000000</v>
      </c>
      <c r="F352" s="14" t="s">
        <v>209</v>
      </c>
      <c r="G352" s="14" t="s">
        <v>210</v>
      </c>
      <c r="H352" s="15" t="s">
        <v>211</v>
      </c>
      <c r="I352" s="8"/>
      <c r="J352" s="10"/>
      <c r="AV352" s="15" t="s">
        <v>212</v>
      </c>
      <c r="AW352" s="15" t="s">
        <v>213</v>
      </c>
      <c r="AX352" s="15" t="s">
        <v>1311</v>
      </c>
      <c r="BH352" s="15" t="s">
        <v>184</v>
      </c>
      <c r="BI352" s="15" t="s">
        <v>185</v>
      </c>
      <c r="BJ352" s="15" t="s">
        <v>186</v>
      </c>
      <c r="BK352" s="15" t="s">
        <v>187</v>
      </c>
      <c r="BL352" s="15" t="s">
        <v>188</v>
      </c>
      <c r="BM352" s="15" t="s">
        <v>189</v>
      </c>
      <c r="BN352" s="15" t="s">
        <v>190</v>
      </c>
      <c r="BO352" s="15" t="s">
        <v>191</v>
      </c>
      <c r="BR352" s="15" t="s">
        <v>192</v>
      </c>
      <c r="BS352" s="15" t="s">
        <v>193</v>
      </c>
      <c r="BT352" s="15" t="s">
        <v>194</v>
      </c>
      <c r="BU352" s="15" t="s">
        <v>195</v>
      </c>
      <c r="BV352" s="15" t="s">
        <v>196</v>
      </c>
      <c r="BW352" s="15" t="s">
        <v>196</v>
      </c>
      <c r="CB352" s="15" t="s">
        <v>129</v>
      </c>
      <c r="CC352" s="15">
        <v>1</v>
      </c>
      <c r="CN352" s="15" t="s">
        <v>198</v>
      </c>
      <c r="CW352" s="10">
        <v>2</v>
      </c>
      <c r="CX352" s="15" t="s">
        <v>1312</v>
      </c>
    </row>
    <row r="353" spans="1:102" s="15" customFormat="1" x14ac:dyDescent="0.3">
      <c r="A353" s="11" t="s">
        <v>126</v>
      </c>
      <c r="B353" s="10" t="s">
        <v>1313</v>
      </c>
      <c r="C353" s="12" t="s">
        <v>1334</v>
      </c>
      <c r="D353" s="10">
        <v>12</v>
      </c>
      <c r="E353" s="13">
        <v>1000000</v>
      </c>
      <c r="F353" s="14" t="s">
        <v>209</v>
      </c>
      <c r="G353" s="14" t="s">
        <v>210</v>
      </c>
      <c r="H353" s="15" t="s">
        <v>211</v>
      </c>
      <c r="I353" s="8"/>
      <c r="J353" s="10"/>
      <c r="AV353" s="15" t="s">
        <v>212</v>
      </c>
      <c r="AW353" s="15" t="s">
        <v>213</v>
      </c>
      <c r="AX353" s="15" t="s">
        <v>1314</v>
      </c>
      <c r="BH353" s="15" t="s">
        <v>184</v>
      </c>
      <c r="BI353" s="15" t="s">
        <v>185</v>
      </c>
      <c r="BJ353" s="15" t="s">
        <v>186</v>
      </c>
      <c r="BK353" s="15" t="s">
        <v>187</v>
      </c>
      <c r="BL353" s="15" t="s">
        <v>188</v>
      </c>
      <c r="BM353" s="15" t="s">
        <v>189</v>
      </c>
      <c r="BN353" s="15" t="s">
        <v>190</v>
      </c>
      <c r="BO353" s="15" t="s">
        <v>191</v>
      </c>
      <c r="BR353" s="15" t="s">
        <v>192</v>
      </c>
      <c r="BS353" s="15" t="s">
        <v>193</v>
      </c>
      <c r="BT353" s="15" t="s">
        <v>194</v>
      </c>
      <c r="BU353" s="15" t="s">
        <v>195</v>
      </c>
      <c r="BV353" s="15" t="s">
        <v>196</v>
      </c>
      <c r="BW353" s="15" t="s">
        <v>195</v>
      </c>
      <c r="CB353" s="15" t="s">
        <v>129</v>
      </c>
      <c r="CC353" s="15">
        <v>1</v>
      </c>
      <c r="CN353" s="15" t="s">
        <v>198</v>
      </c>
      <c r="CW353" s="10">
        <v>2</v>
      </c>
      <c r="CX353" s="15" t="s">
        <v>1315</v>
      </c>
    </row>
    <row r="354" spans="1:102" s="15" customFormat="1" x14ac:dyDescent="0.3">
      <c r="A354" s="11" t="s">
        <v>126</v>
      </c>
      <c r="B354" s="10" t="s">
        <v>1316</v>
      </c>
      <c r="C354" s="12" t="s">
        <v>1337</v>
      </c>
      <c r="D354" s="10">
        <v>12</v>
      </c>
      <c r="E354" s="13">
        <v>1000000</v>
      </c>
      <c r="F354" s="14" t="s">
        <v>209</v>
      </c>
      <c r="G354" s="14" t="s">
        <v>210</v>
      </c>
      <c r="H354" s="15" t="s">
        <v>211</v>
      </c>
      <c r="I354" s="8"/>
      <c r="J354" s="10"/>
      <c r="AV354" s="15" t="s">
        <v>212</v>
      </c>
      <c r="AW354" s="15" t="s">
        <v>213</v>
      </c>
      <c r="AX354" s="15" t="s">
        <v>484</v>
      </c>
      <c r="BH354" s="15" t="s">
        <v>184</v>
      </c>
      <c r="BI354" s="15" t="s">
        <v>185</v>
      </c>
      <c r="BJ354" s="15" t="s">
        <v>186</v>
      </c>
      <c r="BK354" s="15" t="s">
        <v>187</v>
      </c>
      <c r="BL354" s="15" t="s">
        <v>188</v>
      </c>
      <c r="BM354" s="15" t="s">
        <v>189</v>
      </c>
      <c r="BN354" s="15" t="s">
        <v>190</v>
      </c>
      <c r="BO354" s="15" t="s">
        <v>191</v>
      </c>
      <c r="BR354" s="15" t="s">
        <v>192</v>
      </c>
      <c r="BS354" s="15" t="s">
        <v>193</v>
      </c>
      <c r="BT354" s="15" t="s">
        <v>194</v>
      </c>
      <c r="BU354" s="15" t="s">
        <v>195</v>
      </c>
      <c r="BV354" s="15" t="s">
        <v>196</v>
      </c>
      <c r="BW354" s="15" t="s">
        <v>195</v>
      </c>
      <c r="CB354" s="15" t="s">
        <v>129</v>
      </c>
      <c r="CC354" s="15">
        <v>1</v>
      </c>
      <c r="CN354" s="15" t="s">
        <v>225</v>
      </c>
      <c r="CW354" s="10">
        <v>2</v>
      </c>
      <c r="CX354" s="15" t="s">
        <v>1317</v>
      </c>
    </row>
    <row r="355" spans="1:102" s="15" customFormat="1" x14ac:dyDescent="0.3">
      <c r="A355" s="11" t="s">
        <v>126</v>
      </c>
      <c r="B355" s="10" t="s">
        <v>1318</v>
      </c>
      <c r="C355" s="12" t="s">
        <v>1319</v>
      </c>
      <c r="D355" s="10">
        <v>12</v>
      </c>
      <c r="E355" s="13">
        <v>1000000</v>
      </c>
      <c r="F355" s="14" t="s">
        <v>210</v>
      </c>
      <c r="G355" s="14" t="s">
        <v>210</v>
      </c>
      <c r="H355" s="15" t="s">
        <v>211</v>
      </c>
      <c r="I355" s="8"/>
      <c r="J355" s="10"/>
      <c r="AW355" s="15" t="s">
        <v>128</v>
      </c>
      <c r="AX355" s="15" t="s">
        <v>1300</v>
      </c>
      <c r="BH355" s="15" t="s">
        <v>184</v>
      </c>
      <c r="BI355" s="15" t="s">
        <v>185</v>
      </c>
      <c r="BJ355" s="15" t="s">
        <v>186</v>
      </c>
      <c r="BK355" s="15" t="s">
        <v>187</v>
      </c>
      <c r="BL355" s="15" t="s">
        <v>188</v>
      </c>
      <c r="BM355" s="15" t="s">
        <v>189</v>
      </c>
      <c r="BN355" s="15" t="s">
        <v>190</v>
      </c>
      <c r="BO355" s="15" t="s">
        <v>191</v>
      </c>
      <c r="BR355" s="15" t="s">
        <v>192</v>
      </c>
      <c r="BS355" s="15" t="s">
        <v>193</v>
      </c>
      <c r="BT355" s="15" t="s">
        <v>194</v>
      </c>
      <c r="BU355" s="15" t="s">
        <v>195</v>
      </c>
      <c r="BV355" s="15" t="s">
        <v>196</v>
      </c>
      <c r="BW355" s="15" t="s">
        <v>196</v>
      </c>
      <c r="CB355" s="15" t="s">
        <v>128</v>
      </c>
      <c r="CC355" s="15">
        <v>1</v>
      </c>
      <c r="CN355" s="15" t="s">
        <v>198</v>
      </c>
      <c r="CW355" s="10">
        <v>2</v>
      </c>
      <c r="CX355" s="15" t="s">
        <v>1320</v>
      </c>
    </row>
    <row r="356" spans="1:102" s="15" customFormat="1" x14ac:dyDescent="0.3">
      <c r="A356" s="11" t="s">
        <v>126</v>
      </c>
      <c r="B356" s="10" t="s">
        <v>1321</v>
      </c>
      <c r="C356" s="12" t="s">
        <v>1322</v>
      </c>
      <c r="D356" s="10">
        <v>12</v>
      </c>
      <c r="E356" s="13">
        <v>1000000</v>
      </c>
      <c r="F356" s="14" t="s">
        <v>210</v>
      </c>
      <c r="G356" s="14" t="s">
        <v>210</v>
      </c>
      <c r="H356" s="15" t="s">
        <v>211</v>
      </c>
      <c r="I356" s="8"/>
      <c r="J356" s="10"/>
      <c r="AW356" s="15" t="s">
        <v>128</v>
      </c>
      <c r="AX356" s="15" t="s">
        <v>1303</v>
      </c>
      <c r="BH356" s="15" t="s">
        <v>184</v>
      </c>
      <c r="BI356" s="15" t="s">
        <v>185</v>
      </c>
      <c r="BJ356" s="15" t="s">
        <v>186</v>
      </c>
      <c r="BK356" s="15" t="s">
        <v>187</v>
      </c>
      <c r="BL356" s="15" t="s">
        <v>188</v>
      </c>
      <c r="BM356" s="15" t="s">
        <v>189</v>
      </c>
      <c r="BN356" s="15" t="s">
        <v>190</v>
      </c>
      <c r="BO356" s="15" t="s">
        <v>191</v>
      </c>
      <c r="BR356" s="15" t="s">
        <v>192</v>
      </c>
      <c r="BS356" s="15" t="s">
        <v>193</v>
      </c>
      <c r="BT356" s="15" t="s">
        <v>194</v>
      </c>
      <c r="BU356" s="15" t="s">
        <v>195</v>
      </c>
      <c r="BV356" s="15" t="s">
        <v>196</v>
      </c>
      <c r="BW356" s="15" t="s">
        <v>196</v>
      </c>
      <c r="CB356" s="15" t="s">
        <v>128</v>
      </c>
      <c r="CC356" s="15">
        <v>1</v>
      </c>
      <c r="CN356" s="15" t="s">
        <v>198</v>
      </c>
      <c r="CW356" s="10">
        <v>2</v>
      </c>
      <c r="CX356" s="15" t="s">
        <v>1323</v>
      </c>
    </row>
    <row r="357" spans="1:102" s="15" customFormat="1" x14ac:dyDescent="0.3">
      <c r="A357" s="11" t="s">
        <v>126</v>
      </c>
      <c r="B357" s="10" t="s">
        <v>1324</v>
      </c>
      <c r="C357" s="12" t="s">
        <v>1325</v>
      </c>
      <c r="D357" s="10">
        <v>12</v>
      </c>
      <c r="E357" s="13">
        <v>1000000</v>
      </c>
      <c r="F357" s="14" t="s">
        <v>210</v>
      </c>
      <c r="G357" s="14" t="s">
        <v>210</v>
      </c>
      <c r="H357" s="15" t="s">
        <v>211</v>
      </c>
      <c r="I357" s="8"/>
      <c r="J357" s="10"/>
      <c r="AW357" s="15" t="s">
        <v>128</v>
      </c>
      <c r="AX357" s="15" t="s">
        <v>1306</v>
      </c>
      <c r="BH357" s="15" t="s">
        <v>184</v>
      </c>
      <c r="BI357" s="15" t="s">
        <v>185</v>
      </c>
      <c r="BJ357" s="15" t="s">
        <v>186</v>
      </c>
      <c r="BK357" s="15" t="s">
        <v>187</v>
      </c>
      <c r="BL357" s="15" t="s">
        <v>188</v>
      </c>
      <c r="BM357" s="15" t="s">
        <v>189</v>
      </c>
      <c r="BN357" s="15" t="s">
        <v>190</v>
      </c>
      <c r="BO357" s="15" t="s">
        <v>191</v>
      </c>
      <c r="BR357" s="15" t="s">
        <v>192</v>
      </c>
      <c r="BS357" s="15" t="s">
        <v>193</v>
      </c>
      <c r="BT357" s="15" t="s">
        <v>194</v>
      </c>
      <c r="BU357" s="15" t="s">
        <v>195</v>
      </c>
      <c r="BV357" s="15" t="s">
        <v>196</v>
      </c>
      <c r="BW357" s="15" t="s">
        <v>196</v>
      </c>
      <c r="CB357" s="15" t="s">
        <v>128</v>
      </c>
      <c r="CC357" s="15">
        <v>1</v>
      </c>
      <c r="CN357" s="15" t="s">
        <v>198</v>
      </c>
      <c r="CW357" s="10">
        <v>2</v>
      </c>
      <c r="CX357" s="15" t="s">
        <v>1326</v>
      </c>
    </row>
    <row r="358" spans="1:102" s="15" customFormat="1" x14ac:dyDescent="0.3">
      <c r="A358" s="11" t="s">
        <v>126</v>
      </c>
      <c r="B358" s="10" t="s">
        <v>1327</v>
      </c>
      <c r="C358" s="12" t="s">
        <v>1328</v>
      </c>
      <c r="D358" s="10">
        <v>12</v>
      </c>
      <c r="E358" s="13">
        <v>1000000</v>
      </c>
      <c r="F358" s="14" t="s">
        <v>210</v>
      </c>
      <c r="G358" s="14" t="s">
        <v>210</v>
      </c>
      <c r="H358" s="15" t="s">
        <v>211</v>
      </c>
      <c r="I358" s="8"/>
      <c r="J358" s="10"/>
      <c r="AW358" s="15" t="s">
        <v>128</v>
      </c>
      <c r="AX358" s="15" t="s">
        <v>994</v>
      </c>
      <c r="BH358" s="15" t="s">
        <v>184</v>
      </c>
      <c r="BI358" s="15" t="s">
        <v>185</v>
      </c>
      <c r="BJ358" s="15" t="s">
        <v>186</v>
      </c>
      <c r="BK358" s="15" t="s">
        <v>187</v>
      </c>
      <c r="BL358" s="15" t="s">
        <v>188</v>
      </c>
      <c r="BM358" s="15" t="s">
        <v>189</v>
      </c>
      <c r="BN358" s="15" t="s">
        <v>190</v>
      </c>
      <c r="BO358" s="15" t="s">
        <v>191</v>
      </c>
      <c r="BR358" s="15" t="s">
        <v>192</v>
      </c>
      <c r="BS358" s="15" t="s">
        <v>193</v>
      </c>
      <c r="BT358" s="15" t="s">
        <v>194</v>
      </c>
      <c r="BU358" s="15" t="s">
        <v>195</v>
      </c>
      <c r="BV358" s="15" t="s">
        <v>196</v>
      </c>
      <c r="BW358" s="15" t="s">
        <v>196</v>
      </c>
      <c r="CB358" s="15" t="s">
        <v>128</v>
      </c>
      <c r="CC358" s="15">
        <v>1</v>
      </c>
      <c r="CN358" s="15" t="s">
        <v>198</v>
      </c>
      <c r="CW358" s="10">
        <v>2</v>
      </c>
      <c r="CX358" s="15" t="s">
        <v>1329</v>
      </c>
    </row>
    <row r="359" spans="1:102" s="15" customFormat="1" x14ac:dyDescent="0.3">
      <c r="A359" s="11" t="s">
        <v>126</v>
      </c>
      <c r="B359" s="10" t="s">
        <v>1330</v>
      </c>
      <c r="C359" s="12" t="s">
        <v>1331</v>
      </c>
      <c r="D359" s="10">
        <v>12</v>
      </c>
      <c r="E359" s="13">
        <v>1000000</v>
      </c>
      <c r="F359" s="14" t="s">
        <v>210</v>
      </c>
      <c r="G359" s="14" t="s">
        <v>210</v>
      </c>
      <c r="H359" s="15" t="s">
        <v>211</v>
      </c>
      <c r="I359" s="8"/>
      <c r="J359" s="10"/>
      <c r="AW359" s="15" t="s">
        <v>128</v>
      </c>
      <c r="AX359" s="15" t="s">
        <v>1311</v>
      </c>
      <c r="BH359" s="15" t="s">
        <v>184</v>
      </c>
      <c r="BI359" s="15" t="s">
        <v>185</v>
      </c>
      <c r="BJ359" s="15" t="s">
        <v>186</v>
      </c>
      <c r="BK359" s="15" t="s">
        <v>187</v>
      </c>
      <c r="BL359" s="15" t="s">
        <v>188</v>
      </c>
      <c r="BM359" s="15" t="s">
        <v>189</v>
      </c>
      <c r="BN359" s="15" t="s">
        <v>190</v>
      </c>
      <c r="BO359" s="15" t="s">
        <v>191</v>
      </c>
      <c r="BR359" s="15" t="s">
        <v>192</v>
      </c>
      <c r="BS359" s="15" t="s">
        <v>193</v>
      </c>
      <c r="BT359" s="15" t="s">
        <v>194</v>
      </c>
      <c r="BU359" s="15" t="s">
        <v>195</v>
      </c>
      <c r="BV359" s="15" t="s">
        <v>196</v>
      </c>
      <c r="BW359" s="15" t="s">
        <v>196</v>
      </c>
      <c r="CB359" s="15" t="s">
        <v>128</v>
      </c>
      <c r="CC359" s="15">
        <v>1</v>
      </c>
      <c r="CN359" s="15" t="s">
        <v>198</v>
      </c>
      <c r="CW359" s="10">
        <v>2</v>
      </c>
      <c r="CX359" s="15" t="s">
        <v>1332</v>
      </c>
    </row>
    <row r="360" spans="1:102" s="15" customFormat="1" x14ac:dyDescent="0.3">
      <c r="A360" s="11" t="s">
        <v>126</v>
      </c>
      <c r="B360" s="10" t="s">
        <v>1333</v>
      </c>
      <c r="C360" s="12" t="s">
        <v>1334</v>
      </c>
      <c r="D360" s="10">
        <v>12</v>
      </c>
      <c r="E360" s="13">
        <v>1000000</v>
      </c>
      <c r="F360" s="14" t="s">
        <v>210</v>
      </c>
      <c r="G360" s="14" t="s">
        <v>210</v>
      </c>
      <c r="H360" s="15" t="s">
        <v>211</v>
      </c>
      <c r="I360" s="8"/>
      <c r="J360" s="10"/>
      <c r="AW360" s="15" t="s">
        <v>128</v>
      </c>
      <c r="AX360" s="15" t="s">
        <v>1314</v>
      </c>
      <c r="BH360" s="15" t="s">
        <v>184</v>
      </c>
      <c r="BI360" s="15" t="s">
        <v>185</v>
      </c>
      <c r="BJ360" s="15" t="s">
        <v>186</v>
      </c>
      <c r="BK360" s="15" t="s">
        <v>187</v>
      </c>
      <c r="BL360" s="15" t="s">
        <v>188</v>
      </c>
      <c r="BM360" s="15" t="s">
        <v>189</v>
      </c>
      <c r="BN360" s="15" t="s">
        <v>190</v>
      </c>
      <c r="BO360" s="15" t="s">
        <v>191</v>
      </c>
      <c r="BR360" s="15" t="s">
        <v>192</v>
      </c>
      <c r="BS360" s="15" t="s">
        <v>193</v>
      </c>
      <c r="BT360" s="15" t="s">
        <v>194</v>
      </c>
      <c r="BU360" s="15" t="s">
        <v>195</v>
      </c>
      <c r="BV360" s="15" t="s">
        <v>196</v>
      </c>
      <c r="BW360" s="15" t="s">
        <v>195</v>
      </c>
      <c r="CB360" s="15" t="s">
        <v>128</v>
      </c>
      <c r="CC360" s="15">
        <v>1</v>
      </c>
      <c r="CN360" s="15" t="s">
        <v>198</v>
      </c>
      <c r="CW360" s="10">
        <v>2</v>
      </c>
      <c r="CX360" s="15" t="s">
        <v>1335</v>
      </c>
    </row>
    <row r="361" spans="1:102" s="15" customFormat="1" x14ac:dyDescent="0.3">
      <c r="A361" s="11" t="s">
        <v>126</v>
      </c>
      <c r="B361" s="10" t="s">
        <v>1336</v>
      </c>
      <c r="C361" s="12" t="s">
        <v>1337</v>
      </c>
      <c r="D361" s="10">
        <v>12</v>
      </c>
      <c r="E361" s="13">
        <v>1000000</v>
      </c>
      <c r="F361" s="14" t="s">
        <v>210</v>
      </c>
      <c r="G361" s="14" t="s">
        <v>210</v>
      </c>
      <c r="H361" s="15" t="s">
        <v>211</v>
      </c>
      <c r="I361" s="8"/>
      <c r="J361" s="10"/>
      <c r="AW361" s="15" t="s">
        <v>128</v>
      </c>
      <c r="AX361" s="15" t="s">
        <v>484</v>
      </c>
      <c r="BH361" s="15" t="s">
        <v>184</v>
      </c>
      <c r="BI361" s="15" t="s">
        <v>185</v>
      </c>
      <c r="BJ361" s="15" t="s">
        <v>186</v>
      </c>
      <c r="BK361" s="15" t="s">
        <v>187</v>
      </c>
      <c r="BL361" s="15" t="s">
        <v>188</v>
      </c>
      <c r="BM361" s="15" t="s">
        <v>189</v>
      </c>
      <c r="BN361" s="15" t="s">
        <v>190</v>
      </c>
      <c r="BO361" s="15" t="s">
        <v>191</v>
      </c>
      <c r="BR361" s="15" t="s">
        <v>192</v>
      </c>
      <c r="BS361" s="15" t="s">
        <v>193</v>
      </c>
      <c r="BT361" s="15" t="s">
        <v>194</v>
      </c>
      <c r="BU361" s="15" t="s">
        <v>195</v>
      </c>
      <c r="BV361" s="15" t="s">
        <v>196</v>
      </c>
      <c r="BW361" s="15" t="s">
        <v>195</v>
      </c>
      <c r="CB361" s="15" t="s">
        <v>128</v>
      </c>
      <c r="CC361" s="15">
        <v>1</v>
      </c>
      <c r="CN361" s="15" t="s">
        <v>225</v>
      </c>
      <c r="CW361" s="10">
        <v>2</v>
      </c>
      <c r="CX361" s="15" t="s">
        <v>1338</v>
      </c>
    </row>
    <row r="362" spans="1:102" s="15" customFormat="1" x14ac:dyDescent="0.3">
      <c r="A362" s="11" t="s">
        <v>126</v>
      </c>
      <c r="B362" s="10" t="s">
        <v>1339</v>
      </c>
      <c r="C362" s="12" t="s">
        <v>1340</v>
      </c>
      <c r="D362" s="10">
        <v>12</v>
      </c>
      <c r="E362" s="13">
        <v>1000000</v>
      </c>
      <c r="F362" s="14" t="s">
        <v>210</v>
      </c>
      <c r="G362" s="14" t="s">
        <v>210</v>
      </c>
      <c r="H362" s="15" t="s">
        <v>211</v>
      </c>
      <c r="I362" s="8"/>
      <c r="J362" s="10"/>
      <c r="AW362" s="15" t="s">
        <v>128</v>
      </c>
      <c r="AX362" s="15" t="s">
        <v>1300</v>
      </c>
      <c r="BH362" s="15" t="s">
        <v>184</v>
      </c>
      <c r="BI362" s="15" t="s">
        <v>185</v>
      </c>
      <c r="BJ362" s="15" t="s">
        <v>186</v>
      </c>
      <c r="BK362" s="15" t="s">
        <v>187</v>
      </c>
      <c r="BL362" s="15" t="s">
        <v>188</v>
      </c>
      <c r="BM362" s="15" t="s">
        <v>189</v>
      </c>
      <c r="BN362" s="15" t="s">
        <v>190</v>
      </c>
      <c r="BO362" s="15" t="s">
        <v>191</v>
      </c>
      <c r="BR362" s="15" t="s">
        <v>192</v>
      </c>
      <c r="BS362" s="15" t="s">
        <v>193</v>
      </c>
      <c r="BT362" s="15" t="s">
        <v>194</v>
      </c>
      <c r="BU362" s="15" t="s">
        <v>195</v>
      </c>
      <c r="BV362" s="15" t="s">
        <v>196</v>
      </c>
      <c r="BW362" s="15" t="s">
        <v>196</v>
      </c>
      <c r="CB362" s="15" t="s">
        <v>128</v>
      </c>
      <c r="CC362" s="15">
        <v>1</v>
      </c>
      <c r="CN362" s="15" t="s">
        <v>198</v>
      </c>
      <c r="CW362" s="10">
        <v>2</v>
      </c>
      <c r="CX362" s="15" t="s">
        <v>1341</v>
      </c>
    </row>
    <row r="363" spans="1:102" s="15" customFormat="1" x14ac:dyDescent="0.3">
      <c r="A363" s="11" t="s">
        <v>126</v>
      </c>
      <c r="B363" s="10" t="s">
        <v>1342</v>
      </c>
      <c r="C363" s="12" t="s">
        <v>1343</v>
      </c>
      <c r="D363" s="10">
        <v>12</v>
      </c>
      <c r="E363" s="13">
        <v>1000000</v>
      </c>
      <c r="F363" s="14" t="s">
        <v>210</v>
      </c>
      <c r="G363" s="14" t="s">
        <v>210</v>
      </c>
      <c r="H363" s="15" t="s">
        <v>211</v>
      </c>
      <c r="I363" s="8"/>
      <c r="J363" s="10"/>
      <c r="AW363" s="15" t="s">
        <v>128</v>
      </c>
      <c r="AX363" s="15" t="s">
        <v>1303</v>
      </c>
      <c r="BH363" s="15" t="s">
        <v>184</v>
      </c>
      <c r="BI363" s="15" t="s">
        <v>185</v>
      </c>
      <c r="BJ363" s="15" t="s">
        <v>186</v>
      </c>
      <c r="BK363" s="15" t="s">
        <v>187</v>
      </c>
      <c r="BL363" s="15" t="s">
        <v>188</v>
      </c>
      <c r="BM363" s="15" t="s">
        <v>189</v>
      </c>
      <c r="BN363" s="15" t="s">
        <v>190</v>
      </c>
      <c r="BO363" s="15" t="s">
        <v>191</v>
      </c>
      <c r="BR363" s="15" t="s">
        <v>192</v>
      </c>
      <c r="BS363" s="15" t="s">
        <v>193</v>
      </c>
      <c r="BT363" s="15" t="s">
        <v>194</v>
      </c>
      <c r="BU363" s="15" t="s">
        <v>195</v>
      </c>
      <c r="BV363" s="15" t="s">
        <v>196</v>
      </c>
      <c r="BW363" s="15" t="s">
        <v>196</v>
      </c>
      <c r="CB363" s="15" t="s">
        <v>128</v>
      </c>
      <c r="CC363" s="15">
        <v>1</v>
      </c>
      <c r="CN363" s="15" t="s">
        <v>198</v>
      </c>
      <c r="CW363" s="10">
        <v>2</v>
      </c>
      <c r="CX363" s="15" t="s">
        <v>1344</v>
      </c>
    </row>
    <row r="364" spans="1:102" s="15" customFormat="1" x14ac:dyDescent="0.3">
      <c r="A364" s="11" t="s">
        <v>126</v>
      </c>
      <c r="B364" s="10" t="s">
        <v>1345</v>
      </c>
      <c r="C364" s="12" t="s">
        <v>1346</v>
      </c>
      <c r="D364" s="10">
        <v>12</v>
      </c>
      <c r="E364" s="13">
        <v>1000000</v>
      </c>
      <c r="F364" s="14" t="s">
        <v>210</v>
      </c>
      <c r="G364" s="14" t="s">
        <v>210</v>
      </c>
      <c r="H364" s="15" t="s">
        <v>211</v>
      </c>
      <c r="I364" s="8"/>
      <c r="J364" s="10"/>
      <c r="AW364" s="15" t="s">
        <v>128</v>
      </c>
      <c r="AX364" s="15" t="s">
        <v>1306</v>
      </c>
      <c r="BH364" s="15" t="s">
        <v>184</v>
      </c>
      <c r="BI364" s="15" t="s">
        <v>185</v>
      </c>
      <c r="BJ364" s="15" t="s">
        <v>186</v>
      </c>
      <c r="BK364" s="15" t="s">
        <v>187</v>
      </c>
      <c r="BL364" s="15" t="s">
        <v>188</v>
      </c>
      <c r="BM364" s="15" t="s">
        <v>189</v>
      </c>
      <c r="BN364" s="15" t="s">
        <v>190</v>
      </c>
      <c r="BO364" s="15" t="s">
        <v>191</v>
      </c>
      <c r="BR364" s="15" t="s">
        <v>192</v>
      </c>
      <c r="BS364" s="15" t="s">
        <v>193</v>
      </c>
      <c r="BT364" s="15" t="s">
        <v>194</v>
      </c>
      <c r="BU364" s="15" t="s">
        <v>195</v>
      </c>
      <c r="BV364" s="15" t="s">
        <v>196</v>
      </c>
      <c r="BW364" s="15" t="s">
        <v>196</v>
      </c>
      <c r="CB364" s="15" t="s">
        <v>128</v>
      </c>
      <c r="CC364" s="15">
        <v>1</v>
      </c>
      <c r="CN364" s="15" t="s">
        <v>198</v>
      </c>
      <c r="CW364" s="10">
        <v>2</v>
      </c>
      <c r="CX364" s="15" t="s">
        <v>1347</v>
      </c>
    </row>
    <row r="365" spans="1:102" s="15" customFormat="1" x14ac:dyDescent="0.3">
      <c r="A365" s="11" t="s">
        <v>126</v>
      </c>
      <c r="B365" s="10" t="s">
        <v>1348</v>
      </c>
      <c r="C365" s="12" t="s">
        <v>1349</v>
      </c>
      <c r="D365" s="10">
        <v>12</v>
      </c>
      <c r="E365" s="13">
        <v>1000000</v>
      </c>
      <c r="F365" s="14" t="s">
        <v>210</v>
      </c>
      <c r="G365" s="14" t="s">
        <v>210</v>
      </c>
      <c r="H365" s="15" t="s">
        <v>211</v>
      </c>
      <c r="I365" s="8"/>
      <c r="J365" s="10"/>
      <c r="AW365" s="15" t="s">
        <v>128</v>
      </c>
      <c r="AX365" s="15" t="s">
        <v>994</v>
      </c>
      <c r="BH365" s="15" t="s">
        <v>184</v>
      </c>
      <c r="BI365" s="15" t="s">
        <v>185</v>
      </c>
      <c r="BJ365" s="15" t="s">
        <v>186</v>
      </c>
      <c r="BK365" s="15" t="s">
        <v>187</v>
      </c>
      <c r="BL365" s="15" t="s">
        <v>188</v>
      </c>
      <c r="BM365" s="15" t="s">
        <v>189</v>
      </c>
      <c r="BN365" s="15" t="s">
        <v>190</v>
      </c>
      <c r="BO365" s="15" t="s">
        <v>191</v>
      </c>
      <c r="BR365" s="15" t="s">
        <v>192</v>
      </c>
      <c r="BS365" s="15" t="s">
        <v>193</v>
      </c>
      <c r="BT365" s="15" t="s">
        <v>194</v>
      </c>
      <c r="BU365" s="15" t="s">
        <v>195</v>
      </c>
      <c r="BV365" s="15" t="s">
        <v>196</v>
      </c>
      <c r="BW365" s="15" t="s">
        <v>196</v>
      </c>
      <c r="CB365" s="15" t="s">
        <v>128</v>
      </c>
      <c r="CC365" s="15">
        <v>1</v>
      </c>
      <c r="CN365" s="15" t="s">
        <v>198</v>
      </c>
      <c r="CW365" s="10">
        <v>2</v>
      </c>
      <c r="CX365" s="15" t="s">
        <v>1350</v>
      </c>
    </row>
    <row r="366" spans="1:102" s="15" customFormat="1" x14ac:dyDescent="0.3">
      <c r="A366" s="11" t="s">
        <v>126</v>
      </c>
      <c r="B366" s="10" t="s">
        <v>1351</v>
      </c>
      <c r="C366" s="12" t="s">
        <v>1352</v>
      </c>
      <c r="D366" s="10">
        <v>12</v>
      </c>
      <c r="E366" s="13">
        <v>1000000</v>
      </c>
      <c r="F366" s="14" t="s">
        <v>210</v>
      </c>
      <c r="G366" s="14" t="s">
        <v>210</v>
      </c>
      <c r="H366" s="15" t="s">
        <v>211</v>
      </c>
      <c r="I366" s="8"/>
      <c r="J366" s="10"/>
      <c r="AW366" s="15" t="s">
        <v>128</v>
      </c>
      <c r="AX366" s="15" t="s">
        <v>1311</v>
      </c>
      <c r="BH366" s="15" t="s">
        <v>184</v>
      </c>
      <c r="BI366" s="15" t="s">
        <v>185</v>
      </c>
      <c r="BJ366" s="15" t="s">
        <v>186</v>
      </c>
      <c r="BK366" s="15" t="s">
        <v>187</v>
      </c>
      <c r="BL366" s="15" t="s">
        <v>188</v>
      </c>
      <c r="BM366" s="15" t="s">
        <v>189</v>
      </c>
      <c r="BN366" s="15" t="s">
        <v>190</v>
      </c>
      <c r="BO366" s="15" t="s">
        <v>191</v>
      </c>
      <c r="BR366" s="15" t="s">
        <v>192</v>
      </c>
      <c r="BS366" s="15" t="s">
        <v>193</v>
      </c>
      <c r="BT366" s="15" t="s">
        <v>194</v>
      </c>
      <c r="BU366" s="15" t="s">
        <v>195</v>
      </c>
      <c r="BV366" s="15" t="s">
        <v>196</v>
      </c>
      <c r="BW366" s="15" t="s">
        <v>196</v>
      </c>
      <c r="CB366" s="15" t="s">
        <v>128</v>
      </c>
      <c r="CC366" s="15">
        <v>1</v>
      </c>
      <c r="CN366" s="15" t="s">
        <v>198</v>
      </c>
      <c r="CW366" s="10">
        <v>2</v>
      </c>
      <c r="CX366" s="15" t="s">
        <v>1353</v>
      </c>
    </row>
    <row r="367" spans="1:102" s="15" customFormat="1" x14ac:dyDescent="0.3">
      <c r="A367" s="11" t="s">
        <v>126</v>
      </c>
      <c r="B367" s="10" t="s">
        <v>1354</v>
      </c>
      <c r="C367" s="12" t="s">
        <v>1355</v>
      </c>
      <c r="D367" s="10">
        <v>12</v>
      </c>
      <c r="E367" s="13">
        <v>1000000</v>
      </c>
      <c r="F367" s="14" t="s">
        <v>210</v>
      </c>
      <c r="G367" s="14" t="s">
        <v>210</v>
      </c>
      <c r="H367" s="15" t="s">
        <v>211</v>
      </c>
      <c r="I367" s="8"/>
      <c r="J367" s="10"/>
      <c r="AW367" s="15" t="s">
        <v>128</v>
      </c>
      <c r="AX367" s="15" t="s">
        <v>1314</v>
      </c>
      <c r="BH367" s="15" t="s">
        <v>184</v>
      </c>
      <c r="BI367" s="15" t="s">
        <v>185</v>
      </c>
      <c r="BJ367" s="15" t="s">
        <v>186</v>
      </c>
      <c r="BK367" s="15" t="s">
        <v>187</v>
      </c>
      <c r="BL367" s="15" t="s">
        <v>188</v>
      </c>
      <c r="BM367" s="15" t="s">
        <v>189</v>
      </c>
      <c r="BN367" s="15" t="s">
        <v>190</v>
      </c>
      <c r="BO367" s="15" t="s">
        <v>191</v>
      </c>
      <c r="BR367" s="15" t="s">
        <v>192</v>
      </c>
      <c r="BS367" s="15" t="s">
        <v>193</v>
      </c>
      <c r="BT367" s="15" t="s">
        <v>194</v>
      </c>
      <c r="BU367" s="15" t="s">
        <v>195</v>
      </c>
      <c r="BV367" s="15" t="s">
        <v>196</v>
      </c>
      <c r="BW367" s="15" t="s">
        <v>195</v>
      </c>
      <c r="CB367" s="15" t="s">
        <v>128</v>
      </c>
      <c r="CC367" s="15">
        <v>1</v>
      </c>
      <c r="CN367" s="15" t="s">
        <v>198</v>
      </c>
      <c r="CW367" s="10">
        <v>2</v>
      </c>
      <c r="CX367" s="15" t="s">
        <v>1356</v>
      </c>
    </row>
    <row r="368" spans="1:102" s="15" customFormat="1" x14ac:dyDescent="0.3">
      <c r="A368" s="11" t="s">
        <v>126</v>
      </c>
      <c r="B368" s="10" t="s">
        <v>1357</v>
      </c>
      <c r="C368" s="12" t="s">
        <v>1358</v>
      </c>
      <c r="D368" s="10">
        <v>12</v>
      </c>
      <c r="E368" s="13">
        <v>1000000</v>
      </c>
      <c r="F368" s="14" t="s">
        <v>210</v>
      </c>
      <c r="G368" s="14" t="s">
        <v>210</v>
      </c>
      <c r="H368" s="15" t="s">
        <v>211</v>
      </c>
      <c r="I368" s="8"/>
      <c r="J368" s="10"/>
      <c r="AW368" s="15" t="s">
        <v>128</v>
      </c>
      <c r="AX368" s="15" t="s">
        <v>484</v>
      </c>
      <c r="BH368" s="15" t="s">
        <v>184</v>
      </c>
      <c r="BI368" s="15" t="s">
        <v>185</v>
      </c>
      <c r="BJ368" s="15" t="s">
        <v>186</v>
      </c>
      <c r="BK368" s="15" t="s">
        <v>187</v>
      </c>
      <c r="BL368" s="15" t="s">
        <v>188</v>
      </c>
      <c r="BM368" s="15" t="s">
        <v>189</v>
      </c>
      <c r="BN368" s="15" t="s">
        <v>190</v>
      </c>
      <c r="BO368" s="15" t="s">
        <v>191</v>
      </c>
      <c r="BR368" s="15" t="s">
        <v>192</v>
      </c>
      <c r="BS368" s="15" t="s">
        <v>193</v>
      </c>
      <c r="BT368" s="15" t="s">
        <v>194</v>
      </c>
      <c r="BU368" s="15" t="s">
        <v>195</v>
      </c>
      <c r="BV368" s="15" t="s">
        <v>196</v>
      </c>
      <c r="BW368" s="15" t="s">
        <v>195</v>
      </c>
      <c r="CB368" s="15" t="s">
        <v>128</v>
      </c>
      <c r="CC368" s="15">
        <v>1</v>
      </c>
      <c r="CN368" s="15" t="s">
        <v>225</v>
      </c>
      <c r="CW368" s="10">
        <v>2</v>
      </c>
      <c r="CX368" s="15" t="s">
        <v>1359</v>
      </c>
    </row>
    <row r="369" spans="1:102" s="15" customFormat="1" x14ac:dyDescent="0.3">
      <c r="A369" s="11" t="s">
        <v>126</v>
      </c>
      <c r="B369" s="10" t="s">
        <v>1360</v>
      </c>
      <c r="C369" s="12" t="s">
        <v>3924</v>
      </c>
      <c r="D369" s="10">
        <v>12</v>
      </c>
      <c r="E369" s="13">
        <v>500000</v>
      </c>
      <c r="F369" s="14" t="s">
        <v>243</v>
      </c>
      <c r="G369" s="14" t="s">
        <v>244</v>
      </c>
      <c r="H369" s="15" t="s">
        <v>254</v>
      </c>
      <c r="I369" s="8"/>
      <c r="J369" s="10"/>
      <c r="AV369" s="15" t="s">
        <v>181</v>
      </c>
      <c r="AW369" s="15" t="s">
        <v>182</v>
      </c>
      <c r="AX369" s="15" t="s">
        <v>1361</v>
      </c>
      <c r="BH369" s="15" t="s">
        <v>184</v>
      </c>
      <c r="BI369" s="15" t="s">
        <v>185</v>
      </c>
      <c r="BJ369" s="15" t="s">
        <v>186</v>
      </c>
      <c r="BK369" s="15" t="s">
        <v>187</v>
      </c>
      <c r="BL369" s="15" t="s">
        <v>188</v>
      </c>
      <c r="BM369" s="15" t="s">
        <v>189</v>
      </c>
      <c r="BN369" s="15" t="s">
        <v>190</v>
      </c>
      <c r="BO369" s="15" t="s">
        <v>191</v>
      </c>
      <c r="BR369" s="15" t="s">
        <v>192</v>
      </c>
      <c r="BS369" s="15" t="s">
        <v>193</v>
      </c>
      <c r="BT369" s="15" t="s">
        <v>194</v>
      </c>
      <c r="BU369" s="15" t="s">
        <v>195</v>
      </c>
      <c r="BV369" s="15" t="s">
        <v>196</v>
      </c>
      <c r="BW369" s="15" t="s">
        <v>456</v>
      </c>
      <c r="CB369" s="15" t="s">
        <v>129</v>
      </c>
      <c r="CC369" s="15">
        <v>1</v>
      </c>
      <c r="CN369" s="15" t="s">
        <v>198</v>
      </c>
      <c r="CW369" s="10">
        <v>2</v>
      </c>
      <c r="CX369" s="15" t="s">
        <v>1362</v>
      </c>
    </row>
    <row r="370" spans="1:102" s="15" customFormat="1" x14ac:dyDescent="0.3">
      <c r="A370" s="11" t="s">
        <v>126</v>
      </c>
      <c r="B370" s="10" t="s">
        <v>1363</v>
      </c>
      <c r="C370" s="12" t="s">
        <v>3925</v>
      </c>
      <c r="D370" s="10">
        <v>12</v>
      </c>
      <c r="E370" s="13">
        <v>500000</v>
      </c>
      <c r="F370" s="14" t="s">
        <v>243</v>
      </c>
      <c r="G370" s="14" t="s">
        <v>244</v>
      </c>
      <c r="H370" s="15" t="s">
        <v>254</v>
      </c>
      <c r="I370" s="8"/>
      <c r="J370" s="10"/>
      <c r="AV370" s="15" t="s">
        <v>181</v>
      </c>
      <c r="AW370" s="15" t="s">
        <v>182</v>
      </c>
      <c r="AX370" s="15" t="s">
        <v>1364</v>
      </c>
      <c r="BH370" s="15" t="s">
        <v>184</v>
      </c>
      <c r="BI370" s="15" t="s">
        <v>185</v>
      </c>
      <c r="BJ370" s="15" t="s">
        <v>186</v>
      </c>
      <c r="BK370" s="15" t="s">
        <v>187</v>
      </c>
      <c r="BL370" s="15" t="s">
        <v>188</v>
      </c>
      <c r="BM370" s="15" t="s">
        <v>189</v>
      </c>
      <c r="BN370" s="15" t="s">
        <v>190</v>
      </c>
      <c r="BO370" s="15" t="s">
        <v>191</v>
      </c>
      <c r="BR370" s="15" t="s">
        <v>192</v>
      </c>
      <c r="BS370" s="15" t="s">
        <v>193</v>
      </c>
      <c r="BT370" s="15" t="s">
        <v>194</v>
      </c>
      <c r="BU370" s="15" t="s">
        <v>195</v>
      </c>
      <c r="BV370" s="15" t="s">
        <v>196</v>
      </c>
      <c r="BW370" s="15" t="s">
        <v>456</v>
      </c>
      <c r="CB370" s="15" t="s">
        <v>129</v>
      </c>
      <c r="CC370" s="15">
        <v>1</v>
      </c>
      <c r="CN370" s="15" t="s">
        <v>198</v>
      </c>
      <c r="CW370" s="10">
        <v>2</v>
      </c>
      <c r="CX370" s="15" t="s">
        <v>1365</v>
      </c>
    </row>
    <row r="371" spans="1:102" s="15" customFormat="1" x14ac:dyDescent="0.3">
      <c r="A371" s="11" t="s">
        <v>126</v>
      </c>
      <c r="B371" s="10" t="s">
        <v>1366</v>
      </c>
      <c r="C371" s="12" t="s">
        <v>3926</v>
      </c>
      <c r="D371" s="10">
        <v>12</v>
      </c>
      <c r="E371" s="13">
        <v>500000</v>
      </c>
      <c r="F371" s="14" t="s">
        <v>243</v>
      </c>
      <c r="G371" s="14" t="s">
        <v>244</v>
      </c>
      <c r="H371" s="15" t="s">
        <v>254</v>
      </c>
      <c r="I371" s="8"/>
      <c r="J371" s="10"/>
      <c r="AV371" s="15" t="s">
        <v>181</v>
      </c>
      <c r="AW371" s="15" t="s">
        <v>182</v>
      </c>
      <c r="AX371" s="15" t="s">
        <v>1367</v>
      </c>
      <c r="BH371" s="15" t="s">
        <v>184</v>
      </c>
      <c r="BI371" s="15" t="s">
        <v>185</v>
      </c>
      <c r="BJ371" s="15" t="s">
        <v>186</v>
      </c>
      <c r="BK371" s="15" t="s">
        <v>187</v>
      </c>
      <c r="BL371" s="15" t="s">
        <v>188</v>
      </c>
      <c r="BM371" s="15" t="s">
        <v>189</v>
      </c>
      <c r="BN371" s="15" t="s">
        <v>190</v>
      </c>
      <c r="BO371" s="15" t="s">
        <v>191</v>
      </c>
      <c r="BR371" s="15" t="s">
        <v>192</v>
      </c>
      <c r="BS371" s="15" t="s">
        <v>193</v>
      </c>
      <c r="BT371" s="15" t="s">
        <v>194</v>
      </c>
      <c r="BU371" s="15" t="s">
        <v>195</v>
      </c>
      <c r="BV371" s="15" t="s">
        <v>196</v>
      </c>
      <c r="BW371" s="15" t="s">
        <v>456</v>
      </c>
      <c r="CB371" s="15" t="s">
        <v>129</v>
      </c>
      <c r="CC371" s="15">
        <v>1</v>
      </c>
      <c r="CN371" s="15" t="s">
        <v>198</v>
      </c>
      <c r="CW371" s="10">
        <v>2</v>
      </c>
      <c r="CX371" s="15" t="s">
        <v>1368</v>
      </c>
    </row>
    <row r="372" spans="1:102" s="15" customFormat="1" x14ac:dyDescent="0.3">
      <c r="A372" s="11" t="s">
        <v>126</v>
      </c>
      <c r="B372" s="10" t="s">
        <v>1369</v>
      </c>
      <c r="C372" s="12" t="s">
        <v>3927</v>
      </c>
      <c r="D372" s="10">
        <v>12</v>
      </c>
      <c r="E372" s="13">
        <v>500000</v>
      </c>
      <c r="F372" s="14" t="s">
        <v>243</v>
      </c>
      <c r="G372" s="14" t="s">
        <v>244</v>
      </c>
      <c r="H372" s="15" t="s">
        <v>254</v>
      </c>
      <c r="I372" s="8"/>
      <c r="J372" s="10"/>
      <c r="AV372" s="15" t="s">
        <v>181</v>
      </c>
      <c r="AW372" s="15" t="s">
        <v>182</v>
      </c>
      <c r="AX372" s="15" t="s">
        <v>1370</v>
      </c>
      <c r="BH372" s="15" t="s">
        <v>184</v>
      </c>
      <c r="BI372" s="15" t="s">
        <v>185</v>
      </c>
      <c r="BJ372" s="15" t="s">
        <v>186</v>
      </c>
      <c r="BK372" s="15" t="s">
        <v>187</v>
      </c>
      <c r="BL372" s="15" t="s">
        <v>188</v>
      </c>
      <c r="BM372" s="15" t="s">
        <v>189</v>
      </c>
      <c r="BN372" s="15" t="s">
        <v>190</v>
      </c>
      <c r="BO372" s="15" t="s">
        <v>191</v>
      </c>
      <c r="BR372" s="15" t="s">
        <v>192</v>
      </c>
      <c r="BS372" s="15" t="s">
        <v>193</v>
      </c>
      <c r="BT372" s="15" t="s">
        <v>194</v>
      </c>
      <c r="BU372" s="15" t="s">
        <v>195</v>
      </c>
      <c r="BV372" s="15" t="s">
        <v>196</v>
      </c>
      <c r="BW372" s="15" t="s">
        <v>456</v>
      </c>
      <c r="CB372" s="15" t="s">
        <v>129</v>
      </c>
      <c r="CC372" s="15">
        <v>1</v>
      </c>
      <c r="CN372" s="15" t="s">
        <v>198</v>
      </c>
      <c r="CW372" s="10">
        <v>2</v>
      </c>
      <c r="CX372" s="15" t="s">
        <v>1371</v>
      </c>
    </row>
    <row r="373" spans="1:102" s="15" customFormat="1" x14ac:dyDescent="0.3">
      <c r="A373" s="11" t="s">
        <v>126</v>
      </c>
      <c r="B373" s="10" t="s">
        <v>1372</v>
      </c>
      <c r="C373" s="12" t="s">
        <v>1373</v>
      </c>
      <c r="D373" s="10">
        <v>12</v>
      </c>
      <c r="E373" s="13">
        <v>500000</v>
      </c>
      <c r="F373" s="14" t="s">
        <v>244</v>
      </c>
      <c r="G373" s="14" t="s">
        <v>244</v>
      </c>
      <c r="H373" s="15" t="s">
        <v>254</v>
      </c>
      <c r="I373" s="8"/>
      <c r="J373" s="10"/>
      <c r="AW373" s="15" t="s">
        <v>128</v>
      </c>
      <c r="AX373" s="15" t="s">
        <v>1374</v>
      </c>
      <c r="BH373" s="15" t="s">
        <v>184</v>
      </c>
      <c r="BI373" s="15" t="s">
        <v>185</v>
      </c>
      <c r="BJ373" s="15" t="s">
        <v>186</v>
      </c>
      <c r="BK373" s="15" t="s">
        <v>187</v>
      </c>
      <c r="BL373" s="15" t="s">
        <v>188</v>
      </c>
      <c r="BM373" s="15" t="s">
        <v>189</v>
      </c>
      <c r="BN373" s="15" t="s">
        <v>190</v>
      </c>
      <c r="BO373" s="15" t="s">
        <v>191</v>
      </c>
      <c r="BR373" s="15" t="s">
        <v>192</v>
      </c>
      <c r="BS373" s="15" t="s">
        <v>193</v>
      </c>
      <c r="BT373" s="15" t="s">
        <v>194</v>
      </c>
      <c r="BU373" s="15" t="s">
        <v>195</v>
      </c>
      <c r="BV373" s="15" t="s">
        <v>196</v>
      </c>
      <c r="BW373" s="15" t="s">
        <v>456</v>
      </c>
      <c r="CB373" s="15" t="s">
        <v>128</v>
      </c>
      <c r="CC373" s="15">
        <v>1</v>
      </c>
      <c r="CN373" s="15" t="s">
        <v>198</v>
      </c>
      <c r="CW373" s="10">
        <v>2</v>
      </c>
      <c r="CX373" s="15" t="s">
        <v>1375</v>
      </c>
    </row>
    <row r="374" spans="1:102" s="15" customFormat="1" x14ac:dyDescent="0.3">
      <c r="A374" s="11" t="s">
        <v>126</v>
      </c>
      <c r="B374" s="10" t="s">
        <v>1376</v>
      </c>
      <c r="C374" s="12" t="s">
        <v>1377</v>
      </c>
      <c r="D374" s="10">
        <v>12</v>
      </c>
      <c r="E374" s="13">
        <v>500000</v>
      </c>
      <c r="F374" s="14" t="s">
        <v>244</v>
      </c>
      <c r="G374" s="14" t="s">
        <v>244</v>
      </c>
      <c r="H374" s="15" t="s">
        <v>254</v>
      </c>
      <c r="I374" s="8"/>
      <c r="J374" s="10"/>
      <c r="AW374" s="15" t="s">
        <v>128</v>
      </c>
      <c r="AX374" s="15" t="s">
        <v>1378</v>
      </c>
      <c r="BH374" s="15" t="s">
        <v>184</v>
      </c>
      <c r="BI374" s="15" t="s">
        <v>185</v>
      </c>
      <c r="BJ374" s="15" t="s">
        <v>186</v>
      </c>
      <c r="BK374" s="15" t="s">
        <v>187</v>
      </c>
      <c r="BL374" s="15" t="s">
        <v>188</v>
      </c>
      <c r="BM374" s="15" t="s">
        <v>189</v>
      </c>
      <c r="BN374" s="15" t="s">
        <v>190</v>
      </c>
      <c r="BO374" s="15" t="s">
        <v>191</v>
      </c>
      <c r="BR374" s="15" t="s">
        <v>192</v>
      </c>
      <c r="BS374" s="15" t="s">
        <v>193</v>
      </c>
      <c r="BT374" s="15" t="s">
        <v>194</v>
      </c>
      <c r="BU374" s="15" t="s">
        <v>195</v>
      </c>
      <c r="BV374" s="15" t="s">
        <v>196</v>
      </c>
      <c r="BW374" s="15" t="s">
        <v>456</v>
      </c>
      <c r="CB374" s="15" t="s">
        <v>128</v>
      </c>
      <c r="CC374" s="15">
        <v>1</v>
      </c>
      <c r="CN374" s="15" t="s">
        <v>198</v>
      </c>
      <c r="CW374" s="10">
        <v>2</v>
      </c>
      <c r="CX374" s="15" t="s">
        <v>1379</v>
      </c>
    </row>
    <row r="375" spans="1:102" s="15" customFormat="1" x14ac:dyDescent="0.3">
      <c r="A375" s="11" t="s">
        <v>126</v>
      </c>
      <c r="B375" s="10" t="s">
        <v>1380</v>
      </c>
      <c r="C375" s="12" t="s">
        <v>1381</v>
      </c>
      <c r="D375" s="10">
        <v>12</v>
      </c>
      <c r="E375" s="13">
        <v>500000</v>
      </c>
      <c r="F375" s="14" t="s">
        <v>244</v>
      </c>
      <c r="G375" s="14" t="s">
        <v>244</v>
      </c>
      <c r="H375" s="15" t="s">
        <v>254</v>
      </c>
      <c r="I375" s="8"/>
      <c r="J375" s="10"/>
      <c r="AW375" s="15" t="s">
        <v>128</v>
      </c>
      <c r="AX375" s="15" t="s">
        <v>1382</v>
      </c>
      <c r="BH375" s="15" t="s">
        <v>184</v>
      </c>
      <c r="BI375" s="15" t="s">
        <v>185</v>
      </c>
      <c r="BJ375" s="15" t="s">
        <v>186</v>
      </c>
      <c r="BK375" s="15" t="s">
        <v>187</v>
      </c>
      <c r="BL375" s="15" t="s">
        <v>188</v>
      </c>
      <c r="BM375" s="15" t="s">
        <v>189</v>
      </c>
      <c r="BN375" s="15" t="s">
        <v>190</v>
      </c>
      <c r="BO375" s="15" t="s">
        <v>191</v>
      </c>
      <c r="BR375" s="15" t="s">
        <v>192</v>
      </c>
      <c r="BS375" s="15" t="s">
        <v>193</v>
      </c>
      <c r="BT375" s="15" t="s">
        <v>194</v>
      </c>
      <c r="BU375" s="15" t="s">
        <v>195</v>
      </c>
      <c r="BV375" s="15" t="s">
        <v>196</v>
      </c>
      <c r="BW375" s="15" t="s">
        <v>456</v>
      </c>
      <c r="CB375" s="15" t="s">
        <v>128</v>
      </c>
      <c r="CC375" s="15">
        <v>1</v>
      </c>
      <c r="CN375" s="15" t="s">
        <v>198</v>
      </c>
      <c r="CW375" s="10">
        <v>2</v>
      </c>
      <c r="CX375" s="15" t="s">
        <v>1383</v>
      </c>
    </row>
    <row r="376" spans="1:102" s="15" customFormat="1" x14ac:dyDescent="0.3">
      <c r="A376" s="11" t="s">
        <v>126</v>
      </c>
      <c r="B376" s="10" t="s">
        <v>1384</v>
      </c>
      <c r="C376" s="12" t="s">
        <v>1385</v>
      </c>
      <c r="D376" s="10">
        <v>12</v>
      </c>
      <c r="E376" s="13">
        <v>500000</v>
      </c>
      <c r="F376" s="14" t="s">
        <v>244</v>
      </c>
      <c r="G376" s="14" t="s">
        <v>244</v>
      </c>
      <c r="H376" s="15" t="s">
        <v>254</v>
      </c>
      <c r="I376" s="8"/>
      <c r="J376" s="10"/>
      <c r="AW376" s="15" t="s">
        <v>128</v>
      </c>
      <c r="AX376" s="15" t="s">
        <v>1386</v>
      </c>
      <c r="BH376" s="15" t="s">
        <v>184</v>
      </c>
      <c r="BI376" s="15" t="s">
        <v>185</v>
      </c>
      <c r="BJ376" s="15" t="s">
        <v>186</v>
      </c>
      <c r="BK376" s="15" t="s">
        <v>187</v>
      </c>
      <c r="BL376" s="15" t="s">
        <v>188</v>
      </c>
      <c r="BM376" s="15" t="s">
        <v>189</v>
      </c>
      <c r="BN376" s="15" t="s">
        <v>190</v>
      </c>
      <c r="BO376" s="15" t="s">
        <v>191</v>
      </c>
      <c r="BR376" s="15" t="s">
        <v>192</v>
      </c>
      <c r="BS376" s="15" t="s">
        <v>193</v>
      </c>
      <c r="BT376" s="15" t="s">
        <v>194</v>
      </c>
      <c r="BU376" s="15" t="s">
        <v>195</v>
      </c>
      <c r="BV376" s="15" t="s">
        <v>196</v>
      </c>
      <c r="BW376" s="15" t="s">
        <v>456</v>
      </c>
      <c r="CB376" s="15" t="s">
        <v>128</v>
      </c>
      <c r="CC376" s="15">
        <v>1</v>
      </c>
      <c r="CN376" s="15" t="s">
        <v>198</v>
      </c>
      <c r="CW376" s="10">
        <v>2</v>
      </c>
      <c r="CX376" s="15" t="s">
        <v>1387</v>
      </c>
    </row>
    <row r="377" spans="1:102" s="15" customFormat="1" x14ac:dyDescent="0.3">
      <c r="A377" s="11" t="s">
        <v>126</v>
      </c>
      <c r="B377" s="10" t="s">
        <v>1388</v>
      </c>
      <c r="C377" s="12" t="s">
        <v>1389</v>
      </c>
      <c r="D377" s="10">
        <v>12</v>
      </c>
      <c r="E377" s="13">
        <v>500000</v>
      </c>
      <c r="F377" s="14" t="s">
        <v>244</v>
      </c>
      <c r="G377" s="14" t="s">
        <v>244</v>
      </c>
      <c r="H377" s="15" t="s">
        <v>254</v>
      </c>
      <c r="I377" s="8"/>
      <c r="J377" s="10"/>
      <c r="AW377" s="15" t="s">
        <v>128</v>
      </c>
      <c r="AX377" s="15" t="s">
        <v>1390</v>
      </c>
      <c r="BH377" s="15" t="s">
        <v>184</v>
      </c>
      <c r="BI377" s="15" t="s">
        <v>185</v>
      </c>
      <c r="BJ377" s="15" t="s">
        <v>186</v>
      </c>
      <c r="BK377" s="15" t="s">
        <v>187</v>
      </c>
      <c r="BL377" s="15" t="s">
        <v>188</v>
      </c>
      <c r="BM377" s="15" t="s">
        <v>189</v>
      </c>
      <c r="BN377" s="15" t="s">
        <v>190</v>
      </c>
      <c r="BO377" s="15" t="s">
        <v>191</v>
      </c>
      <c r="BR377" s="15" t="s">
        <v>192</v>
      </c>
      <c r="BS377" s="15" t="s">
        <v>193</v>
      </c>
      <c r="BT377" s="15" t="s">
        <v>194</v>
      </c>
      <c r="BU377" s="15" t="s">
        <v>195</v>
      </c>
      <c r="BV377" s="15" t="s">
        <v>196</v>
      </c>
      <c r="BW377" s="15" t="s">
        <v>456</v>
      </c>
      <c r="CB377" s="15" t="s">
        <v>128</v>
      </c>
      <c r="CC377" s="15">
        <v>1</v>
      </c>
      <c r="CN377" s="15" t="s">
        <v>198</v>
      </c>
      <c r="CW377" s="10">
        <v>2</v>
      </c>
      <c r="CX377" s="15" t="s">
        <v>1391</v>
      </c>
    </row>
    <row r="378" spans="1:102" s="15" customFormat="1" x14ac:dyDescent="0.3">
      <c r="A378" s="11" t="s">
        <v>126</v>
      </c>
      <c r="B378" s="10" t="s">
        <v>1392</v>
      </c>
      <c r="C378" s="12" t="s">
        <v>1423</v>
      </c>
      <c r="D378" s="10">
        <v>12</v>
      </c>
      <c r="E378" s="13">
        <v>1000000</v>
      </c>
      <c r="F378" s="14" t="s">
        <v>269</v>
      </c>
      <c r="G378" s="14" t="s">
        <v>210</v>
      </c>
      <c r="H378" s="15" t="s">
        <v>312</v>
      </c>
      <c r="I378" s="8"/>
      <c r="J378" s="10"/>
      <c r="AV378" s="15" t="s">
        <v>212</v>
      </c>
      <c r="AW378" s="15" t="s">
        <v>213</v>
      </c>
      <c r="AX378" s="15" t="s">
        <v>1393</v>
      </c>
      <c r="BH378" s="15" t="s">
        <v>184</v>
      </c>
      <c r="BI378" s="15" t="s">
        <v>185</v>
      </c>
      <c r="BJ378" s="15" t="s">
        <v>186</v>
      </c>
      <c r="BK378" s="15" t="s">
        <v>187</v>
      </c>
      <c r="BL378" s="15" t="s">
        <v>188</v>
      </c>
      <c r="BM378" s="15" t="s">
        <v>189</v>
      </c>
      <c r="BN378" s="15" t="s">
        <v>190</v>
      </c>
      <c r="BO378" s="15" t="s">
        <v>191</v>
      </c>
      <c r="BR378" s="15" t="s">
        <v>192</v>
      </c>
      <c r="BS378" s="15" t="s">
        <v>193</v>
      </c>
      <c r="BT378" s="15" t="s">
        <v>194</v>
      </c>
      <c r="BU378" s="15" t="s">
        <v>195</v>
      </c>
      <c r="BV378" s="15" t="s">
        <v>196</v>
      </c>
      <c r="BW378" s="15" t="s">
        <v>193</v>
      </c>
      <c r="CB378" s="15" t="s">
        <v>129</v>
      </c>
      <c r="CC378" s="15">
        <v>1</v>
      </c>
      <c r="CN378" s="15" t="s">
        <v>854</v>
      </c>
      <c r="CW378" s="10">
        <v>2</v>
      </c>
      <c r="CX378" s="15" t="s">
        <v>1394</v>
      </c>
    </row>
    <row r="379" spans="1:102" s="15" customFormat="1" x14ac:dyDescent="0.3">
      <c r="A379" s="11" t="s">
        <v>126</v>
      </c>
      <c r="B379" s="10" t="s">
        <v>1395</v>
      </c>
      <c r="C379" s="12" t="s">
        <v>1426</v>
      </c>
      <c r="D379" s="10">
        <v>12</v>
      </c>
      <c r="E379" s="13">
        <v>1000000</v>
      </c>
      <c r="F379" s="14" t="s">
        <v>269</v>
      </c>
      <c r="G379" s="14" t="s">
        <v>210</v>
      </c>
      <c r="H379" s="15" t="s">
        <v>312</v>
      </c>
      <c r="I379" s="8"/>
      <c r="J379" s="10"/>
      <c r="AV379" s="15" t="s">
        <v>212</v>
      </c>
      <c r="AW379" s="15" t="s">
        <v>213</v>
      </c>
      <c r="AX379" s="15" t="s">
        <v>1396</v>
      </c>
      <c r="BH379" s="15" t="s">
        <v>184</v>
      </c>
      <c r="BI379" s="15" t="s">
        <v>185</v>
      </c>
      <c r="BJ379" s="15" t="s">
        <v>186</v>
      </c>
      <c r="BK379" s="15" t="s">
        <v>187</v>
      </c>
      <c r="BL379" s="15" t="s">
        <v>188</v>
      </c>
      <c r="BM379" s="15" t="s">
        <v>189</v>
      </c>
      <c r="BN379" s="15" t="s">
        <v>190</v>
      </c>
      <c r="BO379" s="15" t="s">
        <v>191</v>
      </c>
      <c r="BR379" s="15" t="s">
        <v>192</v>
      </c>
      <c r="BS379" s="15" t="s">
        <v>193</v>
      </c>
      <c r="BT379" s="15" t="s">
        <v>194</v>
      </c>
      <c r="BU379" s="15" t="s">
        <v>195</v>
      </c>
      <c r="BV379" s="15" t="s">
        <v>196</v>
      </c>
      <c r="BW379" s="15" t="s">
        <v>193</v>
      </c>
      <c r="CB379" s="15" t="s">
        <v>129</v>
      </c>
      <c r="CC379" s="15">
        <v>1</v>
      </c>
      <c r="CN379" s="15" t="s">
        <v>854</v>
      </c>
      <c r="CW379" s="10">
        <v>2</v>
      </c>
      <c r="CX379" s="15" t="s">
        <v>1397</v>
      </c>
    </row>
    <row r="380" spans="1:102" s="15" customFormat="1" x14ac:dyDescent="0.3">
      <c r="A380" s="11" t="s">
        <v>126</v>
      </c>
      <c r="B380" s="10" t="s">
        <v>1398</v>
      </c>
      <c r="C380" s="12" t="s">
        <v>1429</v>
      </c>
      <c r="D380" s="10">
        <v>12</v>
      </c>
      <c r="E380" s="13">
        <v>1000000</v>
      </c>
      <c r="F380" s="14" t="s">
        <v>269</v>
      </c>
      <c r="G380" s="14" t="s">
        <v>210</v>
      </c>
      <c r="H380" s="15" t="s">
        <v>312</v>
      </c>
      <c r="I380" s="8"/>
      <c r="J380" s="10"/>
      <c r="AV380" s="15" t="s">
        <v>212</v>
      </c>
      <c r="AW380" s="15" t="s">
        <v>213</v>
      </c>
      <c r="AX380" s="15" t="s">
        <v>1399</v>
      </c>
      <c r="BH380" s="15" t="s">
        <v>184</v>
      </c>
      <c r="BI380" s="15" t="s">
        <v>185</v>
      </c>
      <c r="BJ380" s="15" t="s">
        <v>186</v>
      </c>
      <c r="BK380" s="15" t="s">
        <v>187</v>
      </c>
      <c r="BL380" s="15" t="s">
        <v>188</v>
      </c>
      <c r="BM380" s="15" t="s">
        <v>189</v>
      </c>
      <c r="BN380" s="15" t="s">
        <v>190</v>
      </c>
      <c r="BO380" s="15" t="s">
        <v>191</v>
      </c>
      <c r="BR380" s="15" t="s">
        <v>192</v>
      </c>
      <c r="BS380" s="15" t="s">
        <v>193</v>
      </c>
      <c r="BT380" s="15" t="s">
        <v>194</v>
      </c>
      <c r="BU380" s="15" t="s">
        <v>195</v>
      </c>
      <c r="BV380" s="15" t="s">
        <v>196</v>
      </c>
      <c r="BW380" s="15" t="s">
        <v>193</v>
      </c>
      <c r="CB380" s="15" t="s">
        <v>129</v>
      </c>
      <c r="CC380" s="15">
        <v>1</v>
      </c>
      <c r="CN380" s="15" t="s">
        <v>854</v>
      </c>
      <c r="CW380" s="10">
        <v>2</v>
      </c>
      <c r="CX380" s="15" t="s">
        <v>1400</v>
      </c>
    </row>
    <row r="381" spans="1:102" s="15" customFormat="1" x14ac:dyDescent="0.3">
      <c r="A381" s="11" t="s">
        <v>126</v>
      </c>
      <c r="B381" s="10" t="s">
        <v>1401</v>
      </c>
      <c r="C381" s="12" t="s">
        <v>1432</v>
      </c>
      <c r="D381" s="10">
        <v>12</v>
      </c>
      <c r="E381" s="13">
        <v>1000000</v>
      </c>
      <c r="F381" s="14" t="s">
        <v>269</v>
      </c>
      <c r="G381" s="14" t="s">
        <v>210</v>
      </c>
      <c r="H381" s="15" t="s">
        <v>312</v>
      </c>
      <c r="I381" s="8"/>
      <c r="J381" s="10"/>
      <c r="AV381" s="15" t="s">
        <v>212</v>
      </c>
      <c r="AW381" s="15" t="s">
        <v>213</v>
      </c>
      <c r="AX381" s="15" t="s">
        <v>1402</v>
      </c>
      <c r="BH381" s="15" t="s">
        <v>184</v>
      </c>
      <c r="BI381" s="15" t="s">
        <v>185</v>
      </c>
      <c r="BJ381" s="15" t="s">
        <v>186</v>
      </c>
      <c r="BK381" s="15" t="s">
        <v>187</v>
      </c>
      <c r="BL381" s="15" t="s">
        <v>188</v>
      </c>
      <c r="BM381" s="15" t="s">
        <v>189</v>
      </c>
      <c r="BN381" s="15" t="s">
        <v>190</v>
      </c>
      <c r="BO381" s="15" t="s">
        <v>191</v>
      </c>
      <c r="BR381" s="15" t="s">
        <v>192</v>
      </c>
      <c r="BS381" s="15" t="s">
        <v>193</v>
      </c>
      <c r="BT381" s="15" t="s">
        <v>194</v>
      </c>
      <c r="BU381" s="15" t="s">
        <v>195</v>
      </c>
      <c r="BV381" s="15" t="s">
        <v>196</v>
      </c>
      <c r="BW381" s="15" t="s">
        <v>193</v>
      </c>
      <c r="CB381" s="15" t="s">
        <v>129</v>
      </c>
      <c r="CC381" s="15">
        <v>1</v>
      </c>
      <c r="CN381" s="15" t="s">
        <v>854</v>
      </c>
      <c r="CW381" s="10">
        <v>2</v>
      </c>
      <c r="CX381" s="15" t="s">
        <v>1403</v>
      </c>
    </row>
    <row r="382" spans="1:102" s="15" customFormat="1" x14ac:dyDescent="0.3">
      <c r="A382" s="11" t="s">
        <v>126</v>
      </c>
      <c r="B382" s="10" t="s">
        <v>1404</v>
      </c>
      <c r="C382" s="12" t="s">
        <v>1435</v>
      </c>
      <c r="D382" s="10">
        <v>12</v>
      </c>
      <c r="E382" s="13">
        <v>1000000</v>
      </c>
      <c r="F382" s="14" t="s">
        <v>269</v>
      </c>
      <c r="G382" s="14" t="s">
        <v>210</v>
      </c>
      <c r="H382" s="15" t="s">
        <v>312</v>
      </c>
      <c r="I382" s="8"/>
      <c r="J382" s="10"/>
      <c r="AV382" s="15" t="s">
        <v>212</v>
      </c>
      <c r="AW382" s="15" t="s">
        <v>213</v>
      </c>
      <c r="AX382" s="15" t="s">
        <v>1405</v>
      </c>
      <c r="BH382" s="15" t="s">
        <v>184</v>
      </c>
      <c r="BI382" s="15" t="s">
        <v>185</v>
      </c>
      <c r="BJ382" s="15" t="s">
        <v>186</v>
      </c>
      <c r="BK382" s="15" t="s">
        <v>187</v>
      </c>
      <c r="BL382" s="15" t="s">
        <v>188</v>
      </c>
      <c r="BM382" s="15" t="s">
        <v>189</v>
      </c>
      <c r="BN382" s="15" t="s">
        <v>190</v>
      </c>
      <c r="BO382" s="15" t="s">
        <v>191</v>
      </c>
      <c r="BR382" s="15" t="s">
        <v>192</v>
      </c>
      <c r="BS382" s="15" t="s">
        <v>193</v>
      </c>
      <c r="BT382" s="15" t="s">
        <v>194</v>
      </c>
      <c r="BU382" s="15" t="s">
        <v>195</v>
      </c>
      <c r="BV382" s="15" t="s">
        <v>196</v>
      </c>
      <c r="BW382" s="15" t="s">
        <v>193</v>
      </c>
      <c r="CB382" s="15" t="s">
        <v>129</v>
      </c>
      <c r="CC382" s="15">
        <v>1</v>
      </c>
      <c r="CN382" s="15" t="s">
        <v>854</v>
      </c>
      <c r="CW382" s="10">
        <v>2</v>
      </c>
      <c r="CX382" s="15" t="s">
        <v>1406</v>
      </c>
    </row>
    <row r="383" spans="1:102" s="15" customFormat="1" x14ac:dyDescent="0.3">
      <c r="A383" s="11" t="s">
        <v>126</v>
      </c>
      <c r="B383" s="10" t="s">
        <v>1407</v>
      </c>
      <c r="C383" s="12" t="s">
        <v>1438</v>
      </c>
      <c r="D383" s="10">
        <v>12</v>
      </c>
      <c r="E383" s="13">
        <v>1000000</v>
      </c>
      <c r="F383" s="14" t="s">
        <v>269</v>
      </c>
      <c r="G383" s="14" t="s">
        <v>210</v>
      </c>
      <c r="H383" s="15" t="s">
        <v>312</v>
      </c>
      <c r="I383" s="8"/>
      <c r="J383" s="10"/>
      <c r="AV383" s="15" t="s">
        <v>212</v>
      </c>
      <c r="AW383" s="15" t="s">
        <v>213</v>
      </c>
      <c r="AX383" s="15" t="s">
        <v>1408</v>
      </c>
      <c r="BH383" s="15" t="s">
        <v>184</v>
      </c>
      <c r="BI383" s="15" t="s">
        <v>185</v>
      </c>
      <c r="BJ383" s="15" t="s">
        <v>186</v>
      </c>
      <c r="BK383" s="15" t="s">
        <v>187</v>
      </c>
      <c r="BL383" s="15" t="s">
        <v>188</v>
      </c>
      <c r="BM383" s="15" t="s">
        <v>189</v>
      </c>
      <c r="BN383" s="15" t="s">
        <v>190</v>
      </c>
      <c r="BO383" s="15" t="s">
        <v>191</v>
      </c>
      <c r="BR383" s="15" t="s">
        <v>192</v>
      </c>
      <c r="BS383" s="15" t="s">
        <v>193</v>
      </c>
      <c r="BT383" s="15" t="s">
        <v>194</v>
      </c>
      <c r="BU383" s="15" t="s">
        <v>195</v>
      </c>
      <c r="BV383" s="15" t="s">
        <v>196</v>
      </c>
      <c r="BW383" s="15" t="s">
        <v>193</v>
      </c>
      <c r="CB383" s="15" t="s">
        <v>129</v>
      </c>
      <c r="CC383" s="15">
        <v>1</v>
      </c>
      <c r="CN383" s="15" t="s">
        <v>854</v>
      </c>
      <c r="CW383" s="10">
        <v>2</v>
      </c>
      <c r="CX383" s="15" t="s">
        <v>1409</v>
      </c>
    </row>
    <row r="384" spans="1:102" s="15" customFormat="1" x14ac:dyDescent="0.3">
      <c r="A384" s="11" t="s">
        <v>126</v>
      </c>
      <c r="B384" s="10" t="s">
        <v>1410</v>
      </c>
      <c r="C384" s="12" t="s">
        <v>1441</v>
      </c>
      <c r="D384" s="10">
        <v>12</v>
      </c>
      <c r="E384" s="13">
        <v>1000000</v>
      </c>
      <c r="F384" s="14" t="s">
        <v>269</v>
      </c>
      <c r="G384" s="14" t="s">
        <v>210</v>
      </c>
      <c r="H384" s="15" t="s">
        <v>312</v>
      </c>
      <c r="I384" s="8"/>
      <c r="J384" s="10"/>
      <c r="AV384" s="15" t="s">
        <v>212</v>
      </c>
      <c r="AW384" s="15" t="s">
        <v>213</v>
      </c>
      <c r="AX384" s="15" t="s">
        <v>1411</v>
      </c>
      <c r="BH384" s="15" t="s">
        <v>184</v>
      </c>
      <c r="BI384" s="15" t="s">
        <v>185</v>
      </c>
      <c r="BJ384" s="15" t="s">
        <v>186</v>
      </c>
      <c r="BK384" s="15" t="s">
        <v>187</v>
      </c>
      <c r="BL384" s="15" t="s">
        <v>188</v>
      </c>
      <c r="BM384" s="15" t="s">
        <v>189</v>
      </c>
      <c r="BN384" s="15" t="s">
        <v>190</v>
      </c>
      <c r="BO384" s="15" t="s">
        <v>191</v>
      </c>
      <c r="BR384" s="15" t="s">
        <v>192</v>
      </c>
      <c r="BS384" s="15" t="s">
        <v>193</v>
      </c>
      <c r="BT384" s="15" t="s">
        <v>194</v>
      </c>
      <c r="BU384" s="15" t="s">
        <v>195</v>
      </c>
      <c r="BV384" s="15" t="s">
        <v>196</v>
      </c>
      <c r="BW384" s="15" t="s">
        <v>193</v>
      </c>
      <c r="CB384" s="15" t="s">
        <v>129</v>
      </c>
      <c r="CC384" s="15">
        <v>1</v>
      </c>
      <c r="CN384" s="15" t="s">
        <v>854</v>
      </c>
      <c r="CW384" s="10">
        <v>2</v>
      </c>
      <c r="CX384" s="15" t="s">
        <v>1412</v>
      </c>
    </row>
    <row r="385" spans="1:102" s="15" customFormat="1" x14ac:dyDescent="0.3">
      <c r="A385" s="11" t="s">
        <v>126</v>
      </c>
      <c r="B385" s="10" t="s">
        <v>1413</v>
      </c>
      <c r="C385" s="12" t="s">
        <v>1444</v>
      </c>
      <c r="D385" s="10">
        <v>12</v>
      </c>
      <c r="E385" s="13">
        <v>1000000</v>
      </c>
      <c r="F385" s="14" t="s">
        <v>269</v>
      </c>
      <c r="G385" s="14" t="s">
        <v>210</v>
      </c>
      <c r="H385" s="15" t="s">
        <v>312</v>
      </c>
      <c r="I385" s="8"/>
      <c r="J385" s="10"/>
      <c r="AV385" s="15" t="s">
        <v>212</v>
      </c>
      <c r="AW385" s="15" t="s">
        <v>213</v>
      </c>
      <c r="AX385" s="15" t="s">
        <v>1414</v>
      </c>
      <c r="BH385" s="15" t="s">
        <v>184</v>
      </c>
      <c r="BI385" s="15" t="s">
        <v>185</v>
      </c>
      <c r="BJ385" s="15" t="s">
        <v>186</v>
      </c>
      <c r="BK385" s="15" t="s">
        <v>187</v>
      </c>
      <c r="BL385" s="15" t="s">
        <v>188</v>
      </c>
      <c r="BM385" s="15" t="s">
        <v>189</v>
      </c>
      <c r="BN385" s="15" t="s">
        <v>190</v>
      </c>
      <c r="BO385" s="15" t="s">
        <v>191</v>
      </c>
      <c r="BR385" s="15" t="s">
        <v>192</v>
      </c>
      <c r="BS385" s="15" t="s">
        <v>193</v>
      </c>
      <c r="BT385" s="15" t="s">
        <v>194</v>
      </c>
      <c r="BU385" s="15" t="s">
        <v>195</v>
      </c>
      <c r="BV385" s="15" t="s">
        <v>196</v>
      </c>
      <c r="BW385" s="15" t="s">
        <v>193</v>
      </c>
      <c r="CB385" s="15" t="s">
        <v>129</v>
      </c>
      <c r="CC385" s="15">
        <v>1</v>
      </c>
      <c r="CN385" s="15" t="s">
        <v>854</v>
      </c>
      <c r="CW385" s="10">
        <v>2</v>
      </c>
      <c r="CX385" s="15" t="s">
        <v>1415</v>
      </c>
    </row>
    <row r="386" spans="1:102" s="15" customFormat="1" x14ac:dyDescent="0.3">
      <c r="A386" s="11" t="s">
        <v>126</v>
      </c>
      <c r="B386" s="10" t="s">
        <v>1416</v>
      </c>
      <c r="C386" s="12" t="s">
        <v>3928</v>
      </c>
      <c r="D386" s="10">
        <v>12</v>
      </c>
      <c r="E386" s="13">
        <v>1000000</v>
      </c>
      <c r="F386" s="14" t="s">
        <v>269</v>
      </c>
      <c r="G386" s="14" t="s">
        <v>210</v>
      </c>
      <c r="H386" s="15" t="s">
        <v>312</v>
      </c>
      <c r="I386" s="8"/>
      <c r="J386" s="10"/>
      <c r="AV386" s="15" t="s">
        <v>212</v>
      </c>
      <c r="AW386" s="15" t="s">
        <v>213</v>
      </c>
      <c r="AX386" s="15" t="s">
        <v>1417</v>
      </c>
      <c r="BH386" s="15" t="s">
        <v>184</v>
      </c>
      <c r="BI386" s="15" t="s">
        <v>185</v>
      </c>
      <c r="BJ386" s="15" t="s">
        <v>186</v>
      </c>
      <c r="BK386" s="15" t="s">
        <v>187</v>
      </c>
      <c r="BL386" s="15" t="s">
        <v>188</v>
      </c>
      <c r="BM386" s="15" t="s">
        <v>189</v>
      </c>
      <c r="BN386" s="15" t="s">
        <v>190</v>
      </c>
      <c r="BO386" s="15" t="s">
        <v>191</v>
      </c>
      <c r="BR386" s="15" t="s">
        <v>192</v>
      </c>
      <c r="BS386" s="15" t="s">
        <v>193</v>
      </c>
      <c r="BT386" s="15" t="s">
        <v>194</v>
      </c>
      <c r="BU386" s="15" t="s">
        <v>195</v>
      </c>
      <c r="BV386" s="15" t="s">
        <v>196</v>
      </c>
      <c r="BW386" s="15" t="s">
        <v>193</v>
      </c>
      <c r="CB386" s="15" t="s">
        <v>129</v>
      </c>
      <c r="CC386" s="15">
        <v>1</v>
      </c>
      <c r="CN386" s="15" t="s">
        <v>854</v>
      </c>
      <c r="CW386" s="10">
        <v>2</v>
      </c>
      <c r="CX386" s="15" t="s">
        <v>1418</v>
      </c>
    </row>
    <row r="387" spans="1:102" s="15" customFormat="1" x14ac:dyDescent="0.3">
      <c r="A387" s="11" t="s">
        <v>126</v>
      </c>
      <c r="B387" s="10" t="s">
        <v>1419</v>
      </c>
      <c r="C387" s="12" t="s">
        <v>1450</v>
      </c>
      <c r="D387" s="10">
        <v>12</v>
      </c>
      <c r="E387" s="13">
        <v>1000000</v>
      </c>
      <c r="F387" s="14" t="s">
        <v>269</v>
      </c>
      <c r="G387" s="14" t="s">
        <v>210</v>
      </c>
      <c r="H387" s="15" t="s">
        <v>312</v>
      </c>
      <c r="I387" s="8"/>
      <c r="J387" s="10"/>
      <c r="AV387" s="15" t="s">
        <v>212</v>
      </c>
      <c r="AW387" s="15" t="s">
        <v>213</v>
      </c>
      <c r="AX387" s="15" t="s">
        <v>1420</v>
      </c>
      <c r="BH387" s="15" t="s">
        <v>184</v>
      </c>
      <c r="BI387" s="15" t="s">
        <v>185</v>
      </c>
      <c r="BJ387" s="15" t="s">
        <v>186</v>
      </c>
      <c r="BK387" s="15" t="s">
        <v>187</v>
      </c>
      <c r="BL387" s="15" t="s">
        <v>188</v>
      </c>
      <c r="BM387" s="15" t="s">
        <v>189</v>
      </c>
      <c r="BN387" s="15" t="s">
        <v>190</v>
      </c>
      <c r="BO387" s="15" t="s">
        <v>191</v>
      </c>
      <c r="BR387" s="15" t="s">
        <v>192</v>
      </c>
      <c r="BS387" s="15" t="s">
        <v>193</v>
      </c>
      <c r="BT387" s="15" t="s">
        <v>194</v>
      </c>
      <c r="BU387" s="15" t="s">
        <v>195</v>
      </c>
      <c r="BV387" s="15" t="s">
        <v>196</v>
      </c>
      <c r="BW387" s="15" t="s">
        <v>193</v>
      </c>
      <c r="CB387" s="15" t="s">
        <v>129</v>
      </c>
      <c r="CC387" s="15">
        <v>1</v>
      </c>
      <c r="CN387" s="15" t="s">
        <v>854</v>
      </c>
      <c r="CW387" s="10">
        <v>2</v>
      </c>
      <c r="CX387" s="15" t="s">
        <v>1421</v>
      </c>
    </row>
    <row r="388" spans="1:102" s="15" customFormat="1" x14ac:dyDescent="0.3">
      <c r="A388" s="11" t="s">
        <v>126</v>
      </c>
      <c r="B388" s="10" t="s">
        <v>1422</v>
      </c>
      <c r="C388" s="12" t="s">
        <v>1423</v>
      </c>
      <c r="D388" s="10">
        <v>12</v>
      </c>
      <c r="E388" s="13">
        <v>1000000</v>
      </c>
      <c r="F388" s="14" t="s">
        <v>210</v>
      </c>
      <c r="G388" s="14" t="s">
        <v>210</v>
      </c>
      <c r="H388" s="15" t="s">
        <v>312</v>
      </c>
      <c r="I388" s="8"/>
      <c r="J388" s="10"/>
      <c r="AW388" s="15" t="s">
        <v>128</v>
      </c>
      <c r="AX388" s="15" t="s">
        <v>1393</v>
      </c>
      <c r="BH388" s="15" t="s">
        <v>184</v>
      </c>
      <c r="BI388" s="15" t="s">
        <v>185</v>
      </c>
      <c r="BJ388" s="15" t="s">
        <v>186</v>
      </c>
      <c r="BK388" s="15" t="s">
        <v>187</v>
      </c>
      <c r="BL388" s="15" t="s">
        <v>188</v>
      </c>
      <c r="BM388" s="15" t="s">
        <v>189</v>
      </c>
      <c r="BN388" s="15" t="s">
        <v>190</v>
      </c>
      <c r="BO388" s="15" t="s">
        <v>191</v>
      </c>
      <c r="BR388" s="15" t="s">
        <v>192</v>
      </c>
      <c r="BS388" s="15" t="s">
        <v>193</v>
      </c>
      <c r="BT388" s="15" t="s">
        <v>194</v>
      </c>
      <c r="BU388" s="15" t="s">
        <v>195</v>
      </c>
      <c r="BV388" s="15" t="s">
        <v>196</v>
      </c>
      <c r="BW388" s="15" t="s">
        <v>193</v>
      </c>
      <c r="CB388" s="15" t="s">
        <v>128</v>
      </c>
      <c r="CC388" s="15">
        <v>1</v>
      </c>
      <c r="CN388" s="15" t="s">
        <v>503</v>
      </c>
      <c r="CW388" s="10">
        <v>2</v>
      </c>
      <c r="CX388" s="15" t="s">
        <v>1424</v>
      </c>
    </row>
    <row r="389" spans="1:102" s="15" customFormat="1" x14ac:dyDescent="0.3">
      <c r="A389" s="11" t="s">
        <v>126</v>
      </c>
      <c r="B389" s="10" t="s">
        <v>1425</v>
      </c>
      <c r="C389" s="12" t="s">
        <v>1426</v>
      </c>
      <c r="D389" s="10">
        <v>12</v>
      </c>
      <c r="E389" s="13">
        <v>1000000</v>
      </c>
      <c r="F389" s="14" t="s">
        <v>210</v>
      </c>
      <c r="G389" s="14" t="s">
        <v>210</v>
      </c>
      <c r="H389" s="15" t="s">
        <v>312</v>
      </c>
      <c r="I389" s="8"/>
      <c r="J389" s="10"/>
      <c r="AW389" s="15" t="s">
        <v>128</v>
      </c>
      <c r="AX389" s="15" t="s">
        <v>1396</v>
      </c>
      <c r="BH389" s="15" t="s">
        <v>184</v>
      </c>
      <c r="BI389" s="15" t="s">
        <v>185</v>
      </c>
      <c r="BJ389" s="15" t="s">
        <v>186</v>
      </c>
      <c r="BK389" s="15" t="s">
        <v>187</v>
      </c>
      <c r="BL389" s="15" t="s">
        <v>188</v>
      </c>
      <c r="BM389" s="15" t="s">
        <v>189</v>
      </c>
      <c r="BN389" s="15" t="s">
        <v>190</v>
      </c>
      <c r="BO389" s="15" t="s">
        <v>191</v>
      </c>
      <c r="BR389" s="15" t="s">
        <v>192</v>
      </c>
      <c r="BS389" s="15" t="s">
        <v>193</v>
      </c>
      <c r="BT389" s="15" t="s">
        <v>194</v>
      </c>
      <c r="BU389" s="15" t="s">
        <v>195</v>
      </c>
      <c r="BV389" s="15" t="s">
        <v>196</v>
      </c>
      <c r="BW389" s="15" t="s">
        <v>193</v>
      </c>
      <c r="CB389" s="15" t="s">
        <v>128</v>
      </c>
      <c r="CC389" s="15">
        <v>1</v>
      </c>
      <c r="CN389" s="15" t="s">
        <v>503</v>
      </c>
      <c r="CW389" s="10">
        <v>2</v>
      </c>
      <c r="CX389" s="15" t="s">
        <v>1427</v>
      </c>
    </row>
    <row r="390" spans="1:102" s="15" customFormat="1" x14ac:dyDescent="0.3">
      <c r="A390" s="11" t="s">
        <v>126</v>
      </c>
      <c r="B390" s="10" t="s">
        <v>1428</v>
      </c>
      <c r="C390" s="12" t="s">
        <v>1429</v>
      </c>
      <c r="D390" s="10">
        <v>12</v>
      </c>
      <c r="E390" s="13">
        <v>1000000</v>
      </c>
      <c r="F390" s="14" t="s">
        <v>210</v>
      </c>
      <c r="G390" s="14" t="s">
        <v>210</v>
      </c>
      <c r="H390" s="15" t="s">
        <v>312</v>
      </c>
      <c r="I390" s="8"/>
      <c r="J390" s="10"/>
      <c r="AW390" s="15" t="s">
        <v>128</v>
      </c>
      <c r="AX390" s="15" t="s">
        <v>1399</v>
      </c>
      <c r="BH390" s="15" t="s">
        <v>184</v>
      </c>
      <c r="BI390" s="15" t="s">
        <v>185</v>
      </c>
      <c r="BJ390" s="15" t="s">
        <v>186</v>
      </c>
      <c r="BK390" s="15" t="s">
        <v>187</v>
      </c>
      <c r="BL390" s="15" t="s">
        <v>188</v>
      </c>
      <c r="BM390" s="15" t="s">
        <v>189</v>
      </c>
      <c r="BN390" s="15" t="s">
        <v>190</v>
      </c>
      <c r="BO390" s="15" t="s">
        <v>191</v>
      </c>
      <c r="BR390" s="15" t="s">
        <v>192</v>
      </c>
      <c r="BS390" s="15" t="s">
        <v>193</v>
      </c>
      <c r="BT390" s="15" t="s">
        <v>194</v>
      </c>
      <c r="BU390" s="15" t="s">
        <v>195</v>
      </c>
      <c r="BV390" s="15" t="s">
        <v>196</v>
      </c>
      <c r="BW390" s="15" t="s">
        <v>193</v>
      </c>
      <c r="CB390" s="15" t="s">
        <v>128</v>
      </c>
      <c r="CC390" s="15">
        <v>1</v>
      </c>
      <c r="CN390" s="15" t="s">
        <v>503</v>
      </c>
      <c r="CW390" s="10">
        <v>2</v>
      </c>
      <c r="CX390" s="15" t="s">
        <v>1430</v>
      </c>
    </row>
    <row r="391" spans="1:102" s="15" customFormat="1" x14ac:dyDescent="0.3">
      <c r="A391" s="11" t="s">
        <v>126</v>
      </c>
      <c r="B391" s="10" t="s">
        <v>1431</v>
      </c>
      <c r="C391" s="12" t="s">
        <v>1432</v>
      </c>
      <c r="D391" s="10">
        <v>12</v>
      </c>
      <c r="E391" s="13">
        <v>1000000</v>
      </c>
      <c r="F391" s="14" t="s">
        <v>210</v>
      </c>
      <c r="G391" s="14" t="s">
        <v>210</v>
      </c>
      <c r="H391" s="15" t="s">
        <v>312</v>
      </c>
      <c r="I391" s="8"/>
      <c r="J391" s="10"/>
      <c r="AW391" s="15" t="s">
        <v>128</v>
      </c>
      <c r="AX391" s="15" t="s">
        <v>1402</v>
      </c>
      <c r="BH391" s="15" t="s">
        <v>184</v>
      </c>
      <c r="BI391" s="15" t="s">
        <v>185</v>
      </c>
      <c r="BJ391" s="15" t="s">
        <v>186</v>
      </c>
      <c r="BK391" s="15" t="s">
        <v>187</v>
      </c>
      <c r="BL391" s="15" t="s">
        <v>188</v>
      </c>
      <c r="BM391" s="15" t="s">
        <v>189</v>
      </c>
      <c r="BN391" s="15" t="s">
        <v>190</v>
      </c>
      <c r="BO391" s="15" t="s">
        <v>191</v>
      </c>
      <c r="BR391" s="15" t="s">
        <v>192</v>
      </c>
      <c r="BS391" s="15" t="s">
        <v>193</v>
      </c>
      <c r="BT391" s="15" t="s">
        <v>194</v>
      </c>
      <c r="BU391" s="15" t="s">
        <v>195</v>
      </c>
      <c r="BV391" s="15" t="s">
        <v>196</v>
      </c>
      <c r="BW391" s="15" t="s">
        <v>193</v>
      </c>
      <c r="CB391" s="15" t="s">
        <v>128</v>
      </c>
      <c r="CC391" s="15">
        <v>1</v>
      </c>
      <c r="CN391" s="15" t="s">
        <v>503</v>
      </c>
      <c r="CW391" s="10">
        <v>2</v>
      </c>
      <c r="CX391" s="15" t="s">
        <v>1433</v>
      </c>
    </row>
    <row r="392" spans="1:102" s="15" customFormat="1" x14ac:dyDescent="0.3">
      <c r="A392" s="11" t="s">
        <v>126</v>
      </c>
      <c r="B392" s="10" t="s">
        <v>1434</v>
      </c>
      <c r="C392" s="12" t="s">
        <v>1435</v>
      </c>
      <c r="D392" s="10">
        <v>12</v>
      </c>
      <c r="E392" s="13">
        <v>1000000</v>
      </c>
      <c r="F392" s="14" t="s">
        <v>210</v>
      </c>
      <c r="G392" s="14" t="s">
        <v>210</v>
      </c>
      <c r="H392" s="15" t="s">
        <v>312</v>
      </c>
      <c r="I392" s="8"/>
      <c r="J392" s="10"/>
      <c r="AW392" s="15" t="s">
        <v>128</v>
      </c>
      <c r="AX392" s="15" t="s">
        <v>1405</v>
      </c>
      <c r="BH392" s="15" t="s">
        <v>184</v>
      </c>
      <c r="BI392" s="15" t="s">
        <v>185</v>
      </c>
      <c r="BJ392" s="15" t="s">
        <v>186</v>
      </c>
      <c r="BK392" s="15" t="s">
        <v>187</v>
      </c>
      <c r="BL392" s="15" t="s">
        <v>188</v>
      </c>
      <c r="BM392" s="15" t="s">
        <v>189</v>
      </c>
      <c r="BN392" s="15" t="s">
        <v>190</v>
      </c>
      <c r="BO392" s="15" t="s">
        <v>191</v>
      </c>
      <c r="BR392" s="15" t="s">
        <v>192</v>
      </c>
      <c r="BS392" s="15" t="s">
        <v>193</v>
      </c>
      <c r="BT392" s="15" t="s">
        <v>194</v>
      </c>
      <c r="BU392" s="15" t="s">
        <v>195</v>
      </c>
      <c r="BV392" s="15" t="s">
        <v>196</v>
      </c>
      <c r="BW392" s="15" t="s">
        <v>193</v>
      </c>
      <c r="CB392" s="15" t="s">
        <v>128</v>
      </c>
      <c r="CC392" s="15">
        <v>1</v>
      </c>
      <c r="CN392" s="15" t="s">
        <v>503</v>
      </c>
      <c r="CW392" s="10">
        <v>2</v>
      </c>
      <c r="CX392" s="15" t="s">
        <v>1436</v>
      </c>
    </row>
    <row r="393" spans="1:102" s="15" customFormat="1" x14ac:dyDescent="0.3">
      <c r="A393" s="11" t="s">
        <v>126</v>
      </c>
      <c r="B393" s="10" t="s">
        <v>1437</v>
      </c>
      <c r="C393" s="12" t="s">
        <v>1438</v>
      </c>
      <c r="D393" s="10">
        <v>12</v>
      </c>
      <c r="E393" s="13">
        <v>1000000</v>
      </c>
      <c r="F393" s="14" t="s">
        <v>210</v>
      </c>
      <c r="G393" s="14" t="s">
        <v>210</v>
      </c>
      <c r="H393" s="15" t="s">
        <v>312</v>
      </c>
      <c r="I393" s="8"/>
      <c r="J393" s="10"/>
      <c r="AW393" s="15" t="s">
        <v>128</v>
      </c>
      <c r="AX393" s="15" t="s">
        <v>1408</v>
      </c>
      <c r="BH393" s="15" t="s">
        <v>184</v>
      </c>
      <c r="BI393" s="15" t="s">
        <v>185</v>
      </c>
      <c r="BJ393" s="15" t="s">
        <v>186</v>
      </c>
      <c r="BK393" s="15" t="s">
        <v>187</v>
      </c>
      <c r="BL393" s="15" t="s">
        <v>188</v>
      </c>
      <c r="BM393" s="15" t="s">
        <v>189</v>
      </c>
      <c r="BN393" s="15" t="s">
        <v>190</v>
      </c>
      <c r="BO393" s="15" t="s">
        <v>191</v>
      </c>
      <c r="BR393" s="15" t="s">
        <v>192</v>
      </c>
      <c r="BS393" s="15" t="s">
        <v>193</v>
      </c>
      <c r="BT393" s="15" t="s">
        <v>194</v>
      </c>
      <c r="BU393" s="15" t="s">
        <v>195</v>
      </c>
      <c r="BV393" s="15" t="s">
        <v>196</v>
      </c>
      <c r="BW393" s="15" t="s">
        <v>193</v>
      </c>
      <c r="CB393" s="15" t="s">
        <v>128</v>
      </c>
      <c r="CC393" s="15">
        <v>1</v>
      </c>
      <c r="CN393" s="15" t="s">
        <v>503</v>
      </c>
      <c r="CW393" s="10">
        <v>2</v>
      </c>
      <c r="CX393" s="15" t="s">
        <v>1439</v>
      </c>
    </row>
    <row r="394" spans="1:102" s="15" customFormat="1" x14ac:dyDescent="0.3">
      <c r="A394" s="11" t="s">
        <v>126</v>
      </c>
      <c r="B394" s="10" t="s">
        <v>1440</v>
      </c>
      <c r="C394" s="12" t="s">
        <v>1441</v>
      </c>
      <c r="D394" s="10">
        <v>12</v>
      </c>
      <c r="E394" s="13">
        <v>1000000</v>
      </c>
      <c r="F394" s="14" t="s">
        <v>210</v>
      </c>
      <c r="G394" s="14" t="s">
        <v>210</v>
      </c>
      <c r="H394" s="15" t="s">
        <v>312</v>
      </c>
      <c r="I394" s="8"/>
      <c r="J394" s="10"/>
      <c r="AW394" s="15" t="s">
        <v>128</v>
      </c>
      <c r="AX394" s="15" t="s">
        <v>1411</v>
      </c>
      <c r="BH394" s="15" t="s">
        <v>184</v>
      </c>
      <c r="BI394" s="15" t="s">
        <v>185</v>
      </c>
      <c r="BJ394" s="15" t="s">
        <v>186</v>
      </c>
      <c r="BK394" s="15" t="s">
        <v>187</v>
      </c>
      <c r="BL394" s="15" t="s">
        <v>188</v>
      </c>
      <c r="BM394" s="15" t="s">
        <v>189</v>
      </c>
      <c r="BN394" s="15" t="s">
        <v>190</v>
      </c>
      <c r="BO394" s="15" t="s">
        <v>191</v>
      </c>
      <c r="BR394" s="15" t="s">
        <v>192</v>
      </c>
      <c r="BS394" s="15" t="s">
        <v>193</v>
      </c>
      <c r="BT394" s="15" t="s">
        <v>194</v>
      </c>
      <c r="BU394" s="15" t="s">
        <v>195</v>
      </c>
      <c r="BV394" s="15" t="s">
        <v>196</v>
      </c>
      <c r="BW394" s="15" t="s">
        <v>193</v>
      </c>
      <c r="CB394" s="15" t="s">
        <v>128</v>
      </c>
      <c r="CC394" s="15">
        <v>1</v>
      </c>
      <c r="CN394" s="15" t="s">
        <v>503</v>
      </c>
      <c r="CW394" s="10">
        <v>2</v>
      </c>
      <c r="CX394" s="15" t="s">
        <v>1442</v>
      </c>
    </row>
    <row r="395" spans="1:102" s="15" customFormat="1" x14ac:dyDescent="0.3">
      <c r="A395" s="11" t="s">
        <v>126</v>
      </c>
      <c r="B395" s="10" t="s">
        <v>1443</v>
      </c>
      <c r="C395" s="12" t="s">
        <v>1444</v>
      </c>
      <c r="D395" s="10">
        <v>12</v>
      </c>
      <c r="E395" s="13">
        <v>1000000</v>
      </c>
      <c r="F395" s="14" t="s">
        <v>210</v>
      </c>
      <c r="G395" s="14" t="s">
        <v>210</v>
      </c>
      <c r="H395" s="15" t="s">
        <v>312</v>
      </c>
      <c r="I395" s="8"/>
      <c r="J395" s="10"/>
      <c r="AW395" s="15" t="s">
        <v>128</v>
      </c>
      <c r="AX395" s="15" t="s">
        <v>1414</v>
      </c>
      <c r="BH395" s="15" t="s">
        <v>184</v>
      </c>
      <c r="BI395" s="15" t="s">
        <v>185</v>
      </c>
      <c r="BJ395" s="15" t="s">
        <v>186</v>
      </c>
      <c r="BK395" s="15" t="s">
        <v>187</v>
      </c>
      <c r="BL395" s="15" t="s">
        <v>188</v>
      </c>
      <c r="BM395" s="15" t="s">
        <v>189</v>
      </c>
      <c r="BN395" s="15" t="s">
        <v>190</v>
      </c>
      <c r="BO395" s="15" t="s">
        <v>191</v>
      </c>
      <c r="BR395" s="15" t="s">
        <v>192</v>
      </c>
      <c r="BS395" s="15" t="s">
        <v>193</v>
      </c>
      <c r="BT395" s="15" t="s">
        <v>194</v>
      </c>
      <c r="BU395" s="15" t="s">
        <v>195</v>
      </c>
      <c r="BV395" s="15" t="s">
        <v>196</v>
      </c>
      <c r="BW395" s="15" t="s">
        <v>193</v>
      </c>
      <c r="CB395" s="15" t="s">
        <v>128</v>
      </c>
      <c r="CC395" s="15">
        <v>1</v>
      </c>
      <c r="CN395" s="15" t="s">
        <v>503</v>
      </c>
      <c r="CW395" s="10">
        <v>2</v>
      </c>
      <c r="CX395" s="15" t="s">
        <v>1445</v>
      </c>
    </row>
    <row r="396" spans="1:102" s="15" customFormat="1" x14ac:dyDescent="0.3">
      <c r="A396" s="11" t="s">
        <v>126</v>
      </c>
      <c r="B396" s="10" t="s">
        <v>1446</v>
      </c>
      <c r="C396" s="12" t="s">
        <v>1447</v>
      </c>
      <c r="D396" s="10">
        <v>12</v>
      </c>
      <c r="E396" s="13">
        <v>1000000</v>
      </c>
      <c r="F396" s="14" t="s">
        <v>210</v>
      </c>
      <c r="G396" s="14" t="s">
        <v>210</v>
      </c>
      <c r="H396" s="15" t="s">
        <v>312</v>
      </c>
      <c r="I396" s="8"/>
      <c r="J396" s="10"/>
      <c r="AW396" s="15" t="s">
        <v>128</v>
      </c>
      <c r="AX396" s="15" t="s">
        <v>1417</v>
      </c>
      <c r="BH396" s="15" t="s">
        <v>184</v>
      </c>
      <c r="BI396" s="15" t="s">
        <v>185</v>
      </c>
      <c r="BJ396" s="15" t="s">
        <v>186</v>
      </c>
      <c r="BK396" s="15" t="s">
        <v>187</v>
      </c>
      <c r="BL396" s="15" t="s">
        <v>188</v>
      </c>
      <c r="BM396" s="15" t="s">
        <v>189</v>
      </c>
      <c r="BN396" s="15" t="s">
        <v>190</v>
      </c>
      <c r="BO396" s="15" t="s">
        <v>191</v>
      </c>
      <c r="BR396" s="15" t="s">
        <v>192</v>
      </c>
      <c r="BS396" s="15" t="s">
        <v>193</v>
      </c>
      <c r="BT396" s="15" t="s">
        <v>194</v>
      </c>
      <c r="BU396" s="15" t="s">
        <v>195</v>
      </c>
      <c r="BV396" s="15" t="s">
        <v>196</v>
      </c>
      <c r="BW396" s="15" t="s">
        <v>193</v>
      </c>
      <c r="CB396" s="15" t="s">
        <v>128</v>
      </c>
      <c r="CC396" s="15">
        <v>1</v>
      </c>
      <c r="CN396" s="15" t="s">
        <v>503</v>
      </c>
      <c r="CW396" s="10">
        <v>2</v>
      </c>
      <c r="CX396" s="15" t="s">
        <v>1448</v>
      </c>
    </row>
    <row r="397" spans="1:102" s="15" customFormat="1" x14ac:dyDescent="0.3">
      <c r="A397" s="11" t="s">
        <v>126</v>
      </c>
      <c r="B397" s="10" t="s">
        <v>1449</v>
      </c>
      <c r="C397" s="12" t="s">
        <v>1450</v>
      </c>
      <c r="D397" s="10">
        <v>12</v>
      </c>
      <c r="E397" s="13">
        <v>1000000</v>
      </c>
      <c r="F397" s="14" t="s">
        <v>210</v>
      </c>
      <c r="G397" s="14" t="s">
        <v>210</v>
      </c>
      <c r="H397" s="15" t="s">
        <v>312</v>
      </c>
      <c r="I397" s="8"/>
      <c r="J397" s="10"/>
      <c r="AW397" s="15" t="s">
        <v>128</v>
      </c>
      <c r="AX397" s="15" t="s">
        <v>1420</v>
      </c>
      <c r="BH397" s="15" t="s">
        <v>184</v>
      </c>
      <c r="BI397" s="15" t="s">
        <v>185</v>
      </c>
      <c r="BJ397" s="15" t="s">
        <v>186</v>
      </c>
      <c r="BK397" s="15" t="s">
        <v>187</v>
      </c>
      <c r="BL397" s="15" t="s">
        <v>188</v>
      </c>
      <c r="BM397" s="15" t="s">
        <v>189</v>
      </c>
      <c r="BN397" s="15" t="s">
        <v>190</v>
      </c>
      <c r="BO397" s="15" t="s">
        <v>191</v>
      </c>
      <c r="BR397" s="15" t="s">
        <v>192</v>
      </c>
      <c r="BS397" s="15" t="s">
        <v>193</v>
      </c>
      <c r="BT397" s="15" t="s">
        <v>194</v>
      </c>
      <c r="BU397" s="15" t="s">
        <v>195</v>
      </c>
      <c r="BV397" s="15" t="s">
        <v>196</v>
      </c>
      <c r="BW397" s="15" t="s">
        <v>193</v>
      </c>
      <c r="CB397" s="15" t="s">
        <v>128</v>
      </c>
      <c r="CC397" s="15">
        <v>1</v>
      </c>
      <c r="CN397" s="15" t="s">
        <v>503</v>
      </c>
      <c r="CW397" s="10">
        <v>2</v>
      </c>
      <c r="CX397" s="15" t="s">
        <v>1451</v>
      </c>
    </row>
    <row r="398" spans="1:102" s="15" customFormat="1" x14ac:dyDescent="0.3">
      <c r="A398" s="11" t="s">
        <v>126</v>
      </c>
      <c r="B398" s="10" t="s">
        <v>1452</v>
      </c>
      <c r="C398" s="12" t="s">
        <v>1453</v>
      </c>
      <c r="D398" s="10">
        <v>12</v>
      </c>
      <c r="E398" s="13">
        <v>1000000</v>
      </c>
      <c r="F398" s="14" t="s">
        <v>210</v>
      </c>
      <c r="G398" s="14" t="s">
        <v>210</v>
      </c>
      <c r="H398" s="15" t="s">
        <v>312</v>
      </c>
      <c r="I398" s="8"/>
      <c r="J398" s="10"/>
      <c r="AW398" s="15" t="s">
        <v>128</v>
      </c>
      <c r="AX398" s="15" t="s">
        <v>1393</v>
      </c>
      <c r="BH398" s="15" t="s">
        <v>184</v>
      </c>
      <c r="BI398" s="15" t="s">
        <v>185</v>
      </c>
      <c r="BJ398" s="15" t="s">
        <v>186</v>
      </c>
      <c r="BK398" s="15" t="s">
        <v>187</v>
      </c>
      <c r="BL398" s="15" t="s">
        <v>188</v>
      </c>
      <c r="BM398" s="15" t="s">
        <v>189</v>
      </c>
      <c r="BN398" s="15" t="s">
        <v>190</v>
      </c>
      <c r="BO398" s="15" t="s">
        <v>191</v>
      </c>
      <c r="BR398" s="15" t="s">
        <v>192</v>
      </c>
      <c r="BS398" s="15" t="s">
        <v>193</v>
      </c>
      <c r="BT398" s="15" t="s">
        <v>194</v>
      </c>
      <c r="BU398" s="15" t="s">
        <v>195</v>
      </c>
      <c r="BV398" s="15" t="s">
        <v>196</v>
      </c>
      <c r="BW398" s="15" t="s">
        <v>193</v>
      </c>
      <c r="CB398" s="15" t="s">
        <v>128</v>
      </c>
      <c r="CC398" s="15">
        <v>1</v>
      </c>
      <c r="CN398" s="15" t="s">
        <v>503</v>
      </c>
      <c r="CW398" s="10">
        <v>2</v>
      </c>
      <c r="CX398" s="15" t="s">
        <v>1454</v>
      </c>
    </row>
    <row r="399" spans="1:102" s="15" customFormat="1" x14ac:dyDescent="0.3">
      <c r="A399" s="11" t="s">
        <v>126</v>
      </c>
      <c r="B399" s="10" t="s">
        <v>1455</v>
      </c>
      <c r="C399" s="12" t="s">
        <v>1456</v>
      </c>
      <c r="D399" s="10">
        <v>12</v>
      </c>
      <c r="E399" s="13">
        <v>1000000</v>
      </c>
      <c r="F399" s="14" t="s">
        <v>210</v>
      </c>
      <c r="G399" s="14" t="s">
        <v>210</v>
      </c>
      <c r="H399" s="15" t="s">
        <v>312</v>
      </c>
      <c r="I399" s="8"/>
      <c r="J399" s="10"/>
      <c r="AW399" s="15" t="s">
        <v>128</v>
      </c>
      <c r="AX399" s="15" t="s">
        <v>1396</v>
      </c>
      <c r="BH399" s="15" t="s">
        <v>184</v>
      </c>
      <c r="BI399" s="15" t="s">
        <v>185</v>
      </c>
      <c r="BJ399" s="15" t="s">
        <v>186</v>
      </c>
      <c r="BK399" s="15" t="s">
        <v>187</v>
      </c>
      <c r="BL399" s="15" t="s">
        <v>188</v>
      </c>
      <c r="BM399" s="15" t="s">
        <v>189</v>
      </c>
      <c r="BN399" s="15" t="s">
        <v>190</v>
      </c>
      <c r="BO399" s="15" t="s">
        <v>191</v>
      </c>
      <c r="BR399" s="15" t="s">
        <v>192</v>
      </c>
      <c r="BS399" s="15" t="s">
        <v>193</v>
      </c>
      <c r="BT399" s="15" t="s">
        <v>194</v>
      </c>
      <c r="BU399" s="15" t="s">
        <v>195</v>
      </c>
      <c r="BV399" s="15" t="s">
        <v>196</v>
      </c>
      <c r="BW399" s="15" t="s">
        <v>193</v>
      </c>
      <c r="CB399" s="15" t="s">
        <v>128</v>
      </c>
      <c r="CC399" s="15">
        <v>1</v>
      </c>
      <c r="CN399" s="15" t="s">
        <v>503</v>
      </c>
      <c r="CW399" s="10">
        <v>2</v>
      </c>
      <c r="CX399" s="15" t="s">
        <v>1457</v>
      </c>
    </row>
    <row r="400" spans="1:102" s="15" customFormat="1" x14ac:dyDescent="0.3">
      <c r="A400" s="11" t="s">
        <v>126</v>
      </c>
      <c r="B400" s="10" t="s">
        <v>1458</v>
      </c>
      <c r="C400" s="12" t="s">
        <v>1459</v>
      </c>
      <c r="D400" s="10">
        <v>12</v>
      </c>
      <c r="E400" s="13">
        <v>1000000</v>
      </c>
      <c r="F400" s="14" t="s">
        <v>210</v>
      </c>
      <c r="G400" s="14" t="s">
        <v>210</v>
      </c>
      <c r="H400" s="15" t="s">
        <v>312</v>
      </c>
      <c r="I400" s="8"/>
      <c r="J400" s="10"/>
      <c r="AW400" s="15" t="s">
        <v>128</v>
      </c>
      <c r="AX400" s="15" t="s">
        <v>1399</v>
      </c>
      <c r="BH400" s="15" t="s">
        <v>184</v>
      </c>
      <c r="BI400" s="15" t="s">
        <v>185</v>
      </c>
      <c r="BJ400" s="15" t="s">
        <v>186</v>
      </c>
      <c r="BK400" s="15" t="s">
        <v>187</v>
      </c>
      <c r="BL400" s="15" t="s">
        <v>188</v>
      </c>
      <c r="BM400" s="15" t="s">
        <v>189</v>
      </c>
      <c r="BN400" s="15" t="s">
        <v>190</v>
      </c>
      <c r="BO400" s="15" t="s">
        <v>191</v>
      </c>
      <c r="BR400" s="15" t="s">
        <v>192</v>
      </c>
      <c r="BS400" s="15" t="s">
        <v>193</v>
      </c>
      <c r="BT400" s="15" t="s">
        <v>194</v>
      </c>
      <c r="BU400" s="15" t="s">
        <v>195</v>
      </c>
      <c r="BV400" s="15" t="s">
        <v>196</v>
      </c>
      <c r="BW400" s="15" t="s">
        <v>193</v>
      </c>
      <c r="CB400" s="15" t="s">
        <v>128</v>
      </c>
      <c r="CC400" s="15">
        <v>1</v>
      </c>
      <c r="CN400" s="15" t="s">
        <v>503</v>
      </c>
      <c r="CW400" s="10">
        <v>2</v>
      </c>
      <c r="CX400" s="15" t="s">
        <v>1460</v>
      </c>
    </row>
    <row r="401" spans="1:102" s="15" customFormat="1" x14ac:dyDescent="0.3">
      <c r="A401" s="11" t="s">
        <v>126</v>
      </c>
      <c r="B401" s="10" t="s">
        <v>1461</v>
      </c>
      <c r="C401" s="12" t="s">
        <v>1462</v>
      </c>
      <c r="D401" s="10">
        <v>12</v>
      </c>
      <c r="E401" s="13">
        <v>1000000</v>
      </c>
      <c r="F401" s="14" t="s">
        <v>210</v>
      </c>
      <c r="G401" s="14" t="s">
        <v>210</v>
      </c>
      <c r="H401" s="15" t="s">
        <v>312</v>
      </c>
      <c r="I401" s="8"/>
      <c r="J401" s="10"/>
      <c r="AW401" s="15" t="s">
        <v>128</v>
      </c>
      <c r="AX401" s="15" t="s">
        <v>1402</v>
      </c>
      <c r="BH401" s="15" t="s">
        <v>184</v>
      </c>
      <c r="BI401" s="15" t="s">
        <v>185</v>
      </c>
      <c r="BJ401" s="15" t="s">
        <v>186</v>
      </c>
      <c r="BK401" s="15" t="s">
        <v>187</v>
      </c>
      <c r="BL401" s="15" t="s">
        <v>188</v>
      </c>
      <c r="BM401" s="15" t="s">
        <v>189</v>
      </c>
      <c r="BN401" s="15" t="s">
        <v>190</v>
      </c>
      <c r="BO401" s="15" t="s">
        <v>191</v>
      </c>
      <c r="BR401" s="15" t="s">
        <v>192</v>
      </c>
      <c r="BS401" s="15" t="s">
        <v>193</v>
      </c>
      <c r="BT401" s="15" t="s">
        <v>194</v>
      </c>
      <c r="BU401" s="15" t="s">
        <v>195</v>
      </c>
      <c r="BV401" s="15" t="s">
        <v>196</v>
      </c>
      <c r="BW401" s="15" t="s">
        <v>193</v>
      </c>
      <c r="CB401" s="15" t="s">
        <v>128</v>
      </c>
      <c r="CC401" s="15">
        <v>1</v>
      </c>
      <c r="CN401" s="15" t="s">
        <v>503</v>
      </c>
      <c r="CW401" s="10">
        <v>2</v>
      </c>
      <c r="CX401" s="15" t="s">
        <v>1463</v>
      </c>
    </row>
    <row r="402" spans="1:102" s="15" customFormat="1" x14ac:dyDescent="0.3">
      <c r="A402" s="11" t="s">
        <v>126</v>
      </c>
      <c r="B402" s="10" t="s">
        <v>1464</v>
      </c>
      <c r="C402" s="12" t="s">
        <v>1465</v>
      </c>
      <c r="D402" s="10">
        <v>12</v>
      </c>
      <c r="E402" s="13">
        <v>1000000</v>
      </c>
      <c r="F402" s="14" t="s">
        <v>210</v>
      </c>
      <c r="G402" s="14" t="s">
        <v>210</v>
      </c>
      <c r="H402" s="15" t="s">
        <v>312</v>
      </c>
      <c r="I402" s="8"/>
      <c r="J402" s="10"/>
      <c r="AW402" s="15" t="s">
        <v>128</v>
      </c>
      <c r="AX402" s="15" t="s">
        <v>1405</v>
      </c>
      <c r="BH402" s="15" t="s">
        <v>184</v>
      </c>
      <c r="BI402" s="15" t="s">
        <v>185</v>
      </c>
      <c r="BJ402" s="15" t="s">
        <v>186</v>
      </c>
      <c r="BK402" s="15" t="s">
        <v>187</v>
      </c>
      <c r="BL402" s="15" t="s">
        <v>188</v>
      </c>
      <c r="BM402" s="15" t="s">
        <v>189</v>
      </c>
      <c r="BN402" s="15" t="s">
        <v>190</v>
      </c>
      <c r="BO402" s="15" t="s">
        <v>191</v>
      </c>
      <c r="BR402" s="15" t="s">
        <v>192</v>
      </c>
      <c r="BS402" s="15" t="s">
        <v>193</v>
      </c>
      <c r="BT402" s="15" t="s">
        <v>194</v>
      </c>
      <c r="BU402" s="15" t="s">
        <v>195</v>
      </c>
      <c r="BV402" s="15" t="s">
        <v>196</v>
      </c>
      <c r="BW402" s="15" t="s">
        <v>193</v>
      </c>
      <c r="CB402" s="15" t="s">
        <v>128</v>
      </c>
      <c r="CC402" s="15">
        <v>1</v>
      </c>
      <c r="CN402" s="15" t="s">
        <v>503</v>
      </c>
      <c r="CW402" s="10">
        <v>2</v>
      </c>
      <c r="CX402" s="15" t="s">
        <v>1466</v>
      </c>
    </row>
    <row r="403" spans="1:102" s="15" customFormat="1" x14ac:dyDescent="0.3">
      <c r="A403" s="11" t="s">
        <v>126</v>
      </c>
      <c r="B403" s="10" t="s">
        <v>1467</v>
      </c>
      <c r="C403" s="12" t="s">
        <v>1468</v>
      </c>
      <c r="D403" s="10">
        <v>12</v>
      </c>
      <c r="E403" s="13">
        <v>1000000</v>
      </c>
      <c r="F403" s="14" t="s">
        <v>210</v>
      </c>
      <c r="G403" s="14" t="s">
        <v>210</v>
      </c>
      <c r="H403" s="15" t="s">
        <v>312</v>
      </c>
      <c r="I403" s="8"/>
      <c r="J403" s="10"/>
      <c r="AW403" s="15" t="s">
        <v>128</v>
      </c>
      <c r="AX403" s="15" t="s">
        <v>1408</v>
      </c>
      <c r="BH403" s="15" t="s">
        <v>184</v>
      </c>
      <c r="BI403" s="15" t="s">
        <v>185</v>
      </c>
      <c r="BJ403" s="15" t="s">
        <v>186</v>
      </c>
      <c r="BK403" s="15" t="s">
        <v>187</v>
      </c>
      <c r="BL403" s="15" t="s">
        <v>188</v>
      </c>
      <c r="BM403" s="15" t="s">
        <v>189</v>
      </c>
      <c r="BN403" s="15" t="s">
        <v>190</v>
      </c>
      <c r="BO403" s="15" t="s">
        <v>191</v>
      </c>
      <c r="BR403" s="15" t="s">
        <v>192</v>
      </c>
      <c r="BS403" s="15" t="s">
        <v>193</v>
      </c>
      <c r="BT403" s="15" t="s">
        <v>194</v>
      </c>
      <c r="BU403" s="15" t="s">
        <v>195</v>
      </c>
      <c r="BV403" s="15" t="s">
        <v>196</v>
      </c>
      <c r="BW403" s="15" t="s">
        <v>193</v>
      </c>
      <c r="CB403" s="15" t="s">
        <v>128</v>
      </c>
      <c r="CC403" s="15">
        <v>1</v>
      </c>
      <c r="CN403" s="15" t="s">
        <v>503</v>
      </c>
      <c r="CW403" s="10">
        <v>2</v>
      </c>
      <c r="CX403" s="15" t="s">
        <v>1469</v>
      </c>
    </row>
    <row r="404" spans="1:102" s="15" customFormat="1" x14ac:dyDescent="0.3">
      <c r="A404" s="11" t="s">
        <v>126</v>
      </c>
      <c r="B404" s="10" t="s">
        <v>1470</v>
      </c>
      <c r="C404" s="12" t="s">
        <v>1471</v>
      </c>
      <c r="D404" s="10">
        <v>12</v>
      </c>
      <c r="E404" s="13">
        <v>1000000</v>
      </c>
      <c r="F404" s="14" t="s">
        <v>210</v>
      </c>
      <c r="G404" s="14" t="s">
        <v>210</v>
      </c>
      <c r="H404" s="15" t="s">
        <v>312</v>
      </c>
      <c r="I404" s="8"/>
      <c r="J404" s="10"/>
      <c r="AW404" s="15" t="s">
        <v>128</v>
      </c>
      <c r="AX404" s="15" t="s">
        <v>1411</v>
      </c>
      <c r="BH404" s="15" t="s">
        <v>184</v>
      </c>
      <c r="BI404" s="15" t="s">
        <v>185</v>
      </c>
      <c r="BJ404" s="15" t="s">
        <v>186</v>
      </c>
      <c r="BK404" s="15" t="s">
        <v>187</v>
      </c>
      <c r="BL404" s="15" t="s">
        <v>188</v>
      </c>
      <c r="BM404" s="15" t="s">
        <v>189</v>
      </c>
      <c r="BN404" s="15" t="s">
        <v>190</v>
      </c>
      <c r="BO404" s="15" t="s">
        <v>191</v>
      </c>
      <c r="BR404" s="15" t="s">
        <v>192</v>
      </c>
      <c r="BS404" s="15" t="s">
        <v>193</v>
      </c>
      <c r="BT404" s="15" t="s">
        <v>194</v>
      </c>
      <c r="BU404" s="15" t="s">
        <v>195</v>
      </c>
      <c r="BV404" s="15" t="s">
        <v>196</v>
      </c>
      <c r="BW404" s="15" t="s">
        <v>193</v>
      </c>
      <c r="CB404" s="15" t="s">
        <v>128</v>
      </c>
      <c r="CC404" s="15">
        <v>1</v>
      </c>
      <c r="CN404" s="15" t="s">
        <v>503</v>
      </c>
      <c r="CW404" s="10">
        <v>2</v>
      </c>
      <c r="CX404" s="15" t="s">
        <v>1472</v>
      </c>
    </row>
    <row r="405" spans="1:102" s="15" customFormat="1" x14ac:dyDescent="0.3">
      <c r="A405" s="11" t="s">
        <v>126</v>
      </c>
      <c r="B405" s="10" t="s">
        <v>1473</v>
      </c>
      <c r="C405" s="12" t="s">
        <v>1474</v>
      </c>
      <c r="D405" s="10">
        <v>12</v>
      </c>
      <c r="E405" s="13">
        <v>1000000</v>
      </c>
      <c r="F405" s="14" t="s">
        <v>210</v>
      </c>
      <c r="G405" s="14" t="s">
        <v>210</v>
      </c>
      <c r="H405" s="15" t="s">
        <v>312</v>
      </c>
      <c r="I405" s="8"/>
      <c r="J405" s="10"/>
      <c r="AW405" s="15" t="s">
        <v>128</v>
      </c>
      <c r="AX405" s="15" t="s">
        <v>1414</v>
      </c>
      <c r="BH405" s="15" t="s">
        <v>184</v>
      </c>
      <c r="BI405" s="15" t="s">
        <v>185</v>
      </c>
      <c r="BJ405" s="15" t="s">
        <v>186</v>
      </c>
      <c r="BK405" s="15" t="s">
        <v>187</v>
      </c>
      <c r="BL405" s="15" t="s">
        <v>188</v>
      </c>
      <c r="BM405" s="15" t="s">
        <v>189</v>
      </c>
      <c r="BN405" s="15" t="s">
        <v>190</v>
      </c>
      <c r="BO405" s="15" t="s">
        <v>191</v>
      </c>
      <c r="BR405" s="15" t="s">
        <v>192</v>
      </c>
      <c r="BS405" s="15" t="s">
        <v>193</v>
      </c>
      <c r="BT405" s="15" t="s">
        <v>194</v>
      </c>
      <c r="BU405" s="15" t="s">
        <v>195</v>
      </c>
      <c r="BV405" s="15" t="s">
        <v>196</v>
      </c>
      <c r="BW405" s="15" t="s">
        <v>193</v>
      </c>
      <c r="CB405" s="15" t="s">
        <v>128</v>
      </c>
      <c r="CC405" s="15">
        <v>1</v>
      </c>
      <c r="CN405" s="15" t="s">
        <v>503</v>
      </c>
      <c r="CW405" s="10">
        <v>2</v>
      </c>
      <c r="CX405" s="15" t="s">
        <v>1475</v>
      </c>
    </row>
    <row r="406" spans="1:102" s="15" customFormat="1" x14ac:dyDescent="0.3">
      <c r="A406" s="11" t="s">
        <v>126</v>
      </c>
      <c r="B406" s="10" t="s">
        <v>1476</v>
      </c>
      <c r="C406" s="12" t="s">
        <v>1477</v>
      </c>
      <c r="D406" s="10">
        <v>12</v>
      </c>
      <c r="E406" s="13">
        <v>1000000</v>
      </c>
      <c r="F406" s="14" t="s">
        <v>210</v>
      </c>
      <c r="G406" s="14" t="s">
        <v>210</v>
      </c>
      <c r="H406" s="15" t="s">
        <v>312</v>
      </c>
      <c r="I406" s="8"/>
      <c r="J406" s="10"/>
      <c r="AW406" s="15" t="s">
        <v>128</v>
      </c>
      <c r="AX406" s="15" t="s">
        <v>1417</v>
      </c>
      <c r="BH406" s="15" t="s">
        <v>184</v>
      </c>
      <c r="BI406" s="15" t="s">
        <v>185</v>
      </c>
      <c r="BJ406" s="15" t="s">
        <v>186</v>
      </c>
      <c r="BK406" s="15" t="s">
        <v>187</v>
      </c>
      <c r="BL406" s="15" t="s">
        <v>188</v>
      </c>
      <c r="BM406" s="15" t="s">
        <v>189</v>
      </c>
      <c r="BN406" s="15" t="s">
        <v>190</v>
      </c>
      <c r="BO406" s="15" t="s">
        <v>191</v>
      </c>
      <c r="BR406" s="15" t="s">
        <v>192</v>
      </c>
      <c r="BS406" s="15" t="s">
        <v>193</v>
      </c>
      <c r="BT406" s="15" t="s">
        <v>194</v>
      </c>
      <c r="BU406" s="15" t="s">
        <v>195</v>
      </c>
      <c r="BV406" s="15" t="s">
        <v>196</v>
      </c>
      <c r="BW406" s="15" t="s">
        <v>193</v>
      </c>
      <c r="CB406" s="15" t="s">
        <v>128</v>
      </c>
      <c r="CC406" s="15">
        <v>1</v>
      </c>
      <c r="CN406" s="15" t="s">
        <v>503</v>
      </c>
      <c r="CW406" s="10">
        <v>2</v>
      </c>
      <c r="CX406" s="15" t="s">
        <v>1478</v>
      </c>
    </row>
    <row r="407" spans="1:102" s="15" customFormat="1" x14ac:dyDescent="0.3">
      <c r="A407" s="11" t="s">
        <v>126</v>
      </c>
      <c r="B407" s="10" t="s">
        <v>1479</v>
      </c>
      <c r="C407" s="12" t="s">
        <v>1480</v>
      </c>
      <c r="D407" s="10">
        <v>12</v>
      </c>
      <c r="E407" s="13">
        <v>1000000</v>
      </c>
      <c r="F407" s="14" t="s">
        <v>210</v>
      </c>
      <c r="G407" s="14" t="s">
        <v>210</v>
      </c>
      <c r="H407" s="15" t="s">
        <v>312</v>
      </c>
      <c r="I407" s="8"/>
      <c r="J407" s="10"/>
      <c r="AW407" s="15" t="s">
        <v>128</v>
      </c>
      <c r="AX407" s="15" t="s">
        <v>1420</v>
      </c>
      <c r="BH407" s="15" t="s">
        <v>184</v>
      </c>
      <c r="BI407" s="15" t="s">
        <v>185</v>
      </c>
      <c r="BJ407" s="15" t="s">
        <v>186</v>
      </c>
      <c r="BK407" s="15" t="s">
        <v>187</v>
      </c>
      <c r="BL407" s="15" t="s">
        <v>188</v>
      </c>
      <c r="BM407" s="15" t="s">
        <v>189</v>
      </c>
      <c r="BN407" s="15" t="s">
        <v>190</v>
      </c>
      <c r="BO407" s="15" t="s">
        <v>191</v>
      </c>
      <c r="BR407" s="15" t="s">
        <v>192</v>
      </c>
      <c r="BS407" s="15" t="s">
        <v>193</v>
      </c>
      <c r="BT407" s="15" t="s">
        <v>194</v>
      </c>
      <c r="BU407" s="15" t="s">
        <v>195</v>
      </c>
      <c r="BV407" s="15" t="s">
        <v>196</v>
      </c>
      <c r="BW407" s="15" t="s">
        <v>193</v>
      </c>
      <c r="CB407" s="15" t="s">
        <v>128</v>
      </c>
      <c r="CC407" s="15">
        <v>1</v>
      </c>
      <c r="CN407" s="15" t="s">
        <v>503</v>
      </c>
      <c r="CW407" s="10">
        <v>2</v>
      </c>
      <c r="CX407" s="15" t="s">
        <v>1481</v>
      </c>
    </row>
    <row r="408" spans="1:102" s="15" customFormat="1" x14ac:dyDescent="0.3">
      <c r="A408" s="11" t="s">
        <v>126</v>
      </c>
      <c r="B408" s="10" t="s">
        <v>1482</v>
      </c>
      <c r="C408" s="12" t="s">
        <v>1494</v>
      </c>
      <c r="D408" s="10">
        <v>12</v>
      </c>
      <c r="E408" s="13">
        <v>5000000</v>
      </c>
      <c r="F408" s="14" t="s">
        <v>1483</v>
      </c>
      <c r="G408" s="14" t="s">
        <v>1484</v>
      </c>
      <c r="H408" s="15" t="s">
        <v>1485</v>
      </c>
      <c r="I408" s="8"/>
      <c r="J408" s="10"/>
      <c r="AV408" s="15" t="s">
        <v>1486</v>
      </c>
      <c r="AW408" s="15" t="s">
        <v>1487</v>
      </c>
      <c r="AX408" s="15" t="s">
        <v>1488</v>
      </c>
      <c r="AY408" s="15" t="s">
        <v>1489</v>
      </c>
      <c r="BH408" s="15" t="s">
        <v>184</v>
      </c>
      <c r="BI408" s="15" t="s">
        <v>185</v>
      </c>
      <c r="BJ408" s="15" t="s">
        <v>186</v>
      </c>
      <c r="BK408" s="15" t="s">
        <v>187</v>
      </c>
      <c r="BL408" s="15" t="s">
        <v>188</v>
      </c>
      <c r="BM408" s="15" t="s">
        <v>189</v>
      </c>
      <c r="BN408" s="15" t="s">
        <v>190</v>
      </c>
      <c r="BO408" s="15" t="s">
        <v>191</v>
      </c>
      <c r="BR408" s="15" t="s">
        <v>192</v>
      </c>
      <c r="BS408" s="15" t="s">
        <v>193</v>
      </c>
      <c r="BT408" s="15" t="s">
        <v>194</v>
      </c>
      <c r="BU408" s="15" t="s">
        <v>195</v>
      </c>
      <c r="BV408" s="15" t="s">
        <v>196</v>
      </c>
      <c r="BW408" s="15" t="s">
        <v>193</v>
      </c>
      <c r="CB408" s="15" t="s">
        <v>129</v>
      </c>
      <c r="CC408" s="15">
        <v>1</v>
      </c>
      <c r="CM408" s="15" t="s">
        <v>1490</v>
      </c>
      <c r="CN408" s="15" t="s">
        <v>1491</v>
      </c>
      <c r="CW408" s="10">
        <v>2</v>
      </c>
      <c r="CX408" s="15" t="s">
        <v>1492</v>
      </c>
    </row>
    <row r="409" spans="1:102" s="15" customFormat="1" x14ac:dyDescent="0.3">
      <c r="A409" s="11" t="s">
        <v>126</v>
      </c>
      <c r="B409" s="10" t="s">
        <v>1493</v>
      </c>
      <c r="C409" s="12" t="s">
        <v>1494</v>
      </c>
      <c r="D409" s="10">
        <v>12</v>
      </c>
      <c r="E409" s="13">
        <v>5000000</v>
      </c>
      <c r="F409" s="14" t="s">
        <v>1484</v>
      </c>
      <c r="G409" s="14" t="s">
        <v>1484</v>
      </c>
      <c r="H409" s="15" t="s">
        <v>1485</v>
      </c>
      <c r="I409" s="8"/>
      <c r="J409" s="10"/>
      <c r="AW409" s="15" t="s">
        <v>128</v>
      </c>
      <c r="AX409" s="15" t="s">
        <v>1488</v>
      </c>
      <c r="AY409" s="15" t="s">
        <v>1489</v>
      </c>
      <c r="BH409" s="15" t="s">
        <v>184</v>
      </c>
      <c r="BI409" s="15" t="s">
        <v>185</v>
      </c>
      <c r="BJ409" s="15" t="s">
        <v>186</v>
      </c>
      <c r="BK409" s="15" t="s">
        <v>187</v>
      </c>
      <c r="BL409" s="15" t="s">
        <v>188</v>
      </c>
      <c r="BM409" s="15" t="s">
        <v>189</v>
      </c>
      <c r="BN409" s="15" t="s">
        <v>190</v>
      </c>
      <c r="BO409" s="15" t="s">
        <v>191</v>
      </c>
      <c r="BR409" s="15" t="s">
        <v>192</v>
      </c>
      <c r="BS409" s="15" t="s">
        <v>193</v>
      </c>
      <c r="BT409" s="15" t="s">
        <v>194</v>
      </c>
      <c r="BU409" s="15" t="s">
        <v>195</v>
      </c>
      <c r="BV409" s="15" t="s">
        <v>196</v>
      </c>
      <c r="BW409" s="15" t="s">
        <v>193</v>
      </c>
      <c r="CB409" s="15" t="s">
        <v>128</v>
      </c>
      <c r="CC409" s="15">
        <v>1</v>
      </c>
      <c r="CM409" s="15" t="s">
        <v>1490</v>
      </c>
      <c r="CN409" s="15" t="s">
        <v>1491</v>
      </c>
      <c r="CW409" s="10">
        <v>2</v>
      </c>
      <c r="CX409" s="15" t="s">
        <v>1495</v>
      </c>
    </row>
    <row r="410" spans="1:102" s="15" customFormat="1" x14ac:dyDescent="0.3">
      <c r="A410" s="11" t="s">
        <v>126</v>
      </c>
      <c r="B410" s="10" t="s">
        <v>1496</v>
      </c>
      <c r="C410" s="12" t="s">
        <v>1497</v>
      </c>
      <c r="D410" s="10">
        <v>12</v>
      </c>
      <c r="E410" s="13">
        <v>5000000</v>
      </c>
      <c r="F410" s="14" t="s">
        <v>1484</v>
      </c>
      <c r="G410" s="14" t="s">
        <v>1484</v>
      </c>
      <c r="H410" s="15" t="s">
        <v>1485</v>
      </c>
      <c r="I410" s="8"/>
      <c r="J410" s="10"/>
      <c r="AW410" s="15" t="s">
        <v>128</v>
      </c>
      <c r="AX410" s="15" t="s">
        <v>1488</v>
      </c>
      <c r="AY410" s="15" t="s">
        <v>1489</v>
      </c>
      <c r="BH410" s="15" t="s">
        <v>184</v>
      </c>
      <c r="BI410" s="15" t="s">
        <v>185</v>
      </c>
      <c r="BJ410" s="15" t="s">
        <v>186</v>
      </c>
      <c r="BK410" s="15" t="s">
        <v>187</v>
      </c>
      <c r="BL410" s="15" t="s">
        <v>188</v>
      </c>
      <c r="BM410" s="15" t="s">
        <v>189</v>
      </c>
      <c r="BN410" s="15" t="s">
        <v>190</v>
      </c>
      <c r="BO410" s="15" t="s">
        <v>191</v>
      </c>
      <c r="BR410" s="15" t="s">
        <v>192</v>
      </c>
      <c r="BS410" s="15" t="s">
        <v>193</v>
      </c>
      <c r="BT410" s="15" t="s">
        <v>194</v>
      </c>
      <c r="BU410" s="15" t="s">
        <v>195</v>
      </c>
      <c r="BV410" s="15" t="s">
        <v>196</v>
      </c>
      <c r="BW410" s="15" t="s">
        <v>193</v>
      </c>
      <c r="CB410" s="15" t="s">
        <v>128</v>
      </c>
      <c r="CC410" s="15">
        <v>1</v>
      </c>
      <c r="CM410" s="15" t="s">
        <v>1490</v>
      </c>
      <c r="CN410" s="15" t="s">
        <v>1491</v>
      </c>
      <c r="CW410" s="10">
        <v>2</v>
      </c>
      <c r="CX410" s="15" t="s">
        <v>1498</v>
      </c>
    </row>
    <row r="411" spans="1:102" s="15" customFormat="1" x14ac:dyDescent="0.3">
      <c r="A411" s="11" t="s">
        <v>126</v>
      </c>
      <c r="B411" s="10" t="s">
        <v>1499</v>
      </c>
      <c r="C411" s="12" t="s">
        <v>1509</v>
      </c>
      <c r="D411" s="10">
        <v>12</v>
      </c>
      <c r="E411" s="13">
        <v>1000000</v>
      </c>
      <c r="F411" s="14" t="s">
        <v>269</v>
      </c>
      <c r="G411" s="14" t="s">
        <v>210</v>
      </c>
      <c r="H411" s="15" t="s">
        <v>211</v>
      </c>
      <c r="I411" s="8"/>
      <c r="J411" s="10"/>
      <c r="AV411" s="15" t="s">
        <v>212</v>
      </c>
      <c r="AW411" s="15" t="s">
        <v>213</v>
      </c>
      <c r="AX411" s="15" t="s">
        <v>1500</v>
      </c>
      <c r="BH411" s="15" t="s">
        <v>184</v>
      </c>
      <c r="BI411" s="15" t="s">
        <v>185</v>
      </c>
      <c r="BJ411" s="15" t="s">
        <v>186</v>
      </c>
      <c r="BK411" s="15" t="s">
        <v>187</v>
      </c>
      <c r="BL411" s="15" t="s">
        <v>188</v>
      </c>
      <c r="BM411" s="15" t="s">
        <v>189</v>
      </c>
      <c r="BN411" s="15" t="s">
        <v>190</v>
      </c>
      <c r="BO411" s="15" t="s">
        <v>191</v>
      </c>
      <c r="BR411" s="15" t="s">
        <v>192</v>
      </c>
      <c r="BS411" s="15" t="s">
        <v>193</v>
      </c>
      <c r="BT411" s="15" t="s">
        <v>194</v>
      </c>
      <c r="BU411" s="15" t="s">
        <v>195</v>
      </c>
      <c r="BV411" s="15" t="s">
        <v>196</v>
      </c>
      <c r="BW411" s="15" t="s">
        <v>194</v>
      </c>
      <c r="CB411" s="15" t="s">
        <v>129</v>
      </c>
      <c r="CC411" s="15">
        <v>1</v>
      </c>
      <c r="CN411" s="15" t="s">
        <v>198</v>
      </c>
      <c r="CW411" s="10">
        <v>2</v>
      </c>
      <c r="CX411" s="15" t="s">
        <v>1501</v>
      </c>
    </row>
    <row r="412" spans="1:102" s="15" customFormat="1" x14ac:dyDescent="0.3">
      <c r="A412" s="11" t="s">
        <v>126</v>
      </c>
      <c r="B412" s="10" t="s">
        <v>1502</v>
      </c>
      <c r="C412" s="12" t="s">
        <v>1512</v>
      </c>
      <c r="D412" s="10">
        <v>12</v>
      </c>
      <c r="E412" s="13">
        <v>1000000</v>
      </c>
      <c r="F412" s="14" t="s">
        <v>209</v>
      </c>
      <c r="G412" s="14" t="s">
        <v>210</v>
      </c>
      <c r="H412" s="15" t="s">
        <v>211</v>
      </c>
      <c r="I412" s="8"/>
      <c r="J412" s="10"/>
      <c r="AV412" s="15" t="s">
        <v>212</v>
      </c>
      <c r="AW412" s="15" t="s">
        <v>213</v>
      </c>
      <c r="AX412" s="15" t="s">
        <v>1503</v>
      </c>
      <c r="BH412" s="15" t="s">
        <v>184</v>
      </c>
      <c r="BI412" s="15" t="s">
        <v>185</v>
      </c>
      <c r="BJ412" s="15" t="s">
        <v>186</v>
      </c>
      <c r="BK412" s="15" t="s">
        <v>187</v>
      </c>
      <c r="BL412" s="15" t="s">
        <v>188</v>
      </c>
      <c r="BM412" s="15" t="s">
        <v>189</v>
      </c>
      <c r="BN412" s="15" t="s">
        <v>190</v>
      </c>
      <c r="BO412" s="15" t="s">
        <v>191</v>
      </c>
      <c r="BR412" s="15" t="s">
        <v>192</v>
      </c>
      <c r="BS412" s="15" t="s">
        <v>193</v>
      </c>
      <c r="BT412" s="15" t="s">
        <v>194</v>
      </c>
      <c r="BU412" s="15" t="s">
        <v>195</v>
      </c>
      <c r="BV412" s="15" t="s">
        <v>196</v>
      </c>
      <c r="BW412" s="15" t="s">
        <v>194</v>
      </c>
      <c r="CB412" s="15" t="s">
        <v>129</v>
      </c>
      <c r="CC412" s="15">
        <v>1</v>
      </c>
      <c r="CN412" s="15" t="s">
        <v>198</v>
      </c>
      <c r="CW412" s="10">
        <v>2</v>
      </c>
      <c r="CX412" s="15" t="s">
        <v>1504</v>
      </c>
    </row>
    <row r="413" spans="1:102" s="15" customFormat="1" x14ac:dyDescent="0.3">
      <c r="A413" s="11" t="s">
        <v>126</v>
      </c>
      <c r="B413" s="10" t="s">
        <v>1505</v>
      </c>
      <c r="C413" s="12" t="s">
        <v>1515</v>
      </c>
      <c r="D413" s="10">
        <v>12</v>
      </c>
      <c r="E413" s="13">
        <v>1000000</v>
      </c>
      <c r="F413" s="14" t="s">
        <v>209</v>
      </c>
      <c r="G413" s="14" t="s">
        <v>210</v>
      </c>
      <c r="H413" s="15" t="s">
        <v>254</v>
      </c>
      <c r="I413" s="8"/>
      <c r="J413" s="10"/>
      <c r="AV413" s="15" t="s">
        <v>212</v>
      </c>
      <c r="AW413" s="15" t="s">
        <v>213</v>
      </c>
      <c r="AX413" s="15" t="s">
        <v>1506</v>
      </c>
      <c r="BH413" s="15" t="s">
        <v>184</v>
      </c>
      <c r="BI413" s="15" t="s">
        <v>185</v>
      </c>
      <c r="BJ413" s="15" t="s">
        <v>186</v>
      </c>
      <c r="BK413" s="15" t="s">
        <v>187</v>
      </c>
      <c r="BL413" s="15" t="s">
        <v>188</v>
      </c>
      <c r="BM413" s="15" t="s">
        <v>189</v>
      </c>
      <c r="BN413" s="15" t="s">
        <v>190</v>
      </c>
      <c r="BO413" s="15" t="s">
        <v>191</v>
      </c>
      <c r="BR413" s="15" t="s">
        <v>192</v>
      </c>
      <c r="BS413" s="15" t="s">
        <v>193</v>
      </c>
      <c r="BT413" s="15" t="s">
        <v>194</v>
      </c>
      <c r="BU413" s="15" t="s">
        <v>195</v>
      </c>
      <c r="BV413" s="15" t="s">
        <v>196</v>
      </c>
      <c r="BW413" s="15" t="s">
        <v>460</v>
      </c>
      <c r="CB413" s="15" t="s">
        <v>129</v>
      </c>
      <c r="CC413" s="15">
        <v>1</v>
      </c>
      <c r="CN413" s="15" t="s">
        <v>198</v>
      </c>
      <c r="CW413" s="10">
        <v>2</v>
      </c>
      <c r="CX413" s="15" t="s">
        <v>1507</v>
      </c>
    </row>
    <row r="414" spans="1:102" s="15" customFormat="1" x14ac:dyDescent="0.3">
      <c r="A414" s="11" t="s">
        <v>126</v>
      </c>
      <c r="B414" s="10" t="s">
        <v>1508</v>
      </c>
      <c r="C414" s="12" t="s">
        <v>1509</v>
      </c>
      <c r="D414" s="10">
        <v>12</v>
      </c>
      <c r="E414" s="13">
        <v>1000000</v>
      </c>
      <c r="F414" s="14" t="s">
        <v>210</v>
      </c>
      <c r="G414" s="14" t="s">
        <v>210</v>
      </c>
      <c r="H414" s="15" t="s">
        <v>211</v>
      </c>
      <c r="I414" s="8"/>
      <c r="J414" s="10"/>
      <c r="AW414" s="15" t="s">
        <v>128</v>
      </c>
      <c r="AX414" s="15" t="s">
        <v>1500</v>
      </c>
      <c r="BH414" s="15" t="s">
        <v>184</v>
      </c>
      <c r="BI414" s="15" t="s">
        <v>185</v>
      </c>
      <c r="BJ414" s="15" t="s">
        <v>186</v>
      </c>
      <c r="BK414" s="15" t="s">
        <v>187</v>
      </c>
      <c r="BL414" s="15" t="s">
        <v>188</v>
      </c>
      <c r="BM414" s="15" t="s">
        <v>189</v>
      </c>
      <c r="BN414" s="15" t="s">
        <v>190</v>
      </c>
      <c r="BO414" s="15" t="s">
        <v>191</v>
      </c>
      <c r="BR414" s="15" t="s">
        <v>192</v>
      </c>
      <c r="BS414" s="15" t="s">
        <v>193</v>
      </c>
      <c r="BT414" s="15" t="s">
        <v>194</v>
      </c>
      <c r="BU414" s="15" t="s">
        <v>195</v>
      </c>
      <c r="BV414" s="15" t="s">
        <v>196</v>
      </c>
      <c r="BW414" s="15" t="s">
        <v>194</v>
      </c>
      <c r="CB414" s="15" t="s">
        <v>128</v>
      </c>
      <c r="CC414" s="15">
        <v>1</v>
      </c>
      <c r="CN414" s="15" t="s">
        <v>198</v>
      </c>
      <c r="CW414" s="10">
        <v>2</v>
      </c>
      <c r="CX414" s="15" t="s">
        <v>1510</v>
      </c>
    </row>
    <row r="415" spans="1:102" s="15" customFormat="1" x14ac:dyDescent="0.3">
      <c r="A415" s="11" t="s">
        <v>126</v>
      </c>
      <c r="B415" s="10" t="s">
        <v>1511</v>
      </c>
      <c r="C415" s="12" t="s">
        <v>1512</v>
      </c>
      <c r="D415" s="10">
        <v>12</v>
      </c>
      <c r="E415" s="13">
        <v>1000000</v>
      </c>
      <c r="F415" s="14" t="s">
        <v>210</v>
      </c>
      <c r="G415" s="14" t="s">
        <v>210</v>
      </c>
      <c r="H415" s="15" t="s">
        <v>211</v>
      </c>
      <c r="I415" s="8"/>
      <c r="J415" s="10"/>
      <c r="AW415" s="15" t="s">
        <v>128</v>
      </c>
      <c r="AX415" s="15" t="s">
        <v>1503</v>
      </c>
      <c r="BH415" s="15" t="s">
        <v>184</v>
      </c>
      <c r="BI415" s="15" t="s">
        <v>185</v>
      </c>
      <c r="BJ415" s="15" t="s">
        <v>186</v>
      </c>
      <c r="BK415" s="15" t="s">
        <v>187</v>
      </c>
      <c r="BL415" s="15" t="s">
        <v>188</v>
      </c>
      <c r="BM415" s="15" t="s">
        <v>189</v>
      </c>
      <c r="BN415" s="15" t="s">
        <v>190</v>
      </c>
      <c r="BO415" s="15" t="s">
        <v>191</v>
      </c>
      <c r="BR415" s="15" t="s">
        <v>192</v>
      </c>
      <c r="BS415" s="15" t="s">
        <v>193</v>
      </c>
      <c r="BT415" s="15" t="s">
        <v>194</v>
      </c>
      <c r="BU415" s="15" t="s">
        <v>195</v>
      </c>
      <c r="BV415" s="15" t="s">
        <v>196</v>
      </c>
      <c r="BW415" s="15" t="s">
        <v>194</v>
      </c>
      <c r="CB415" s="15" t="s">
        <v>128</v>
      </c>
      <c r="CC415" s="15">
        <v>1</v>
      </c>
      <c r="CN415" s="15" t="s">
        <v>198</v>
      </c>
      <c r="CW415" s="10">
        <v>2</v>
      </c>
      <c r="CX415" s="15" t="s">
        <v>1513</v>
      </c>
    </row>
    <row r="416" spans="1:102" s="15" customFormat="1" x14ac:dyDescent="0.3">
      <c r="A416" s="11" t="s">
        <v>126</v>
      </c>
      <c r="B416" s="10" t="s">
        <v>1514</v>
      </c>
      <c r="C416" s="12" t="s">
        <v>1515</v>
      </c>
      <c r="D416" s="10">
        <v>12</v>
      </c>
      <c r="E416" s="13">
        <v>1000000</v>
      </c>
      <c r="F416" s="14" t="s">
        <v>210</v>
      </c>
      <c r="G416" s="14" t="s">
        <v>210</v>
      </c>
      <c r="H416" s="15" t="s">
        <v>254</v>
      </c>
      <c r="I416" s="8"/>
      <c r="J416" s="10"/>
      <c r="AW416" s="15" t="s">
        <v>128</v>
      </c>
      <c r="AX416" s="15" t="s">
        <v>1506</v>
      </c>
      <c r="BH416" s="15" t="s">
        <v>184</v>
      </c>
      <c r="BI416" s="15" t="s">
        <v>185</v>
      </c>
      <c r="BJ416" s="15" t="s">
        <v>186</v>
      </c>
      <c r="BK416" s="15" t="s">
        <v>187</v>
      </c>
      <c r="BL416" s="15" t="s">
        <v>188</v>
      </c>
      <c r="BM416" s="15" t="s">
        <v>189</v>
      </c>
      <c r="BN416" s="15" t="s">
        <v>190</v>
      </c>
      <c r="BO416" s="15" t="s">
        <v>191</v>
      </c>
      <c r="BR416" s="15" t="s">
        <v>192</v>
      </c>
      <c r="BS416" s="15" t="s">
        <v>193</v>
      </c>
      <c r="BT416" s="15" t="s">
        <v>194</v>
      </c>
      <c r="BU416" s="15" t="s">
        <v>195</v>
      </c>
      <c r="BV416" s="15" t="s">
        <v>196</v>
      </c>
      <c r="BW416" s="15" t="s">
        <v>460</v>
      </c>
      <c r="CB416" s="15" t="s">
        <v>128</v>
      </c>
      <c r="CC416" s="15">
        <v>1</v>
      </c>
      <c r="CN416" s="15" t="s">
        <v>198</v>
      </c>
      <c r="CW416" s="10">
        <v>2</v>
      </c>
      <c r="CX416" s="15" t="s">
        <v>1516</v>
      </c>
    </row>
    <row r="417" spans="1:102" s="15" customFormat="1" x14ac:dyDescent="0.3">
      <c r="A417" s="11" t="s">
        <v>126</v>
      </c>
      <c r="B417" s="10" t="s">
        <v>1517</v>
      </c>
      <c r="C417" s="12" t="s">
        <v>1518</v>
      </c>
      <c r="D417" s="10">
        <v>12</v>
      </c>
      <c r="E417" s="13">
        <v>1000000</v>
      </c>
      <c r="F417" s="14" t="s">
        <v>210</v>
      </c>
      <c r="G417" s="14" t="s">
        <v>210</v>
      </c>
      <c r="H417" s="15" t="s">
        <v>211</v>
      </c>
      <c r="I417" s="8"/>
      <c r="J417" s="10"/>
      <c r="AW417" s="15" t="s">
        <v>128</v>
      </c>
      <c r="AX417" s="15" t="s">
        <v>1500</v>
      </c>
      <c r="BH417" s="15" t="s">
        <v>184</v>
      </c>
      <c r="BI417" s="15" t="s">
        <v>185</v>
      </c>
      <c r="BJ417" s="15" t="s">
        <v>186</v>
      </c>
      <c r="BK417" s="15" t="s">
        <v>187</v>
      </c>
      <c r="BL417" s="15" t="s">
        <v>188</v>
      </c>
      <c r="BM417" s="15" t="s">
        <v>189</v>
      </c>
      <c r="BN417" s="15" t="s">
        <v>190</v>
      </c>
      <c r="BO417" s="15" t="s">
        <v>191</v>
      </c>
      <c r="BR417" s="15" t="s">
        <v>192</v>
      </c>
      <c r="BS417" s="15" t="s">
        <v>193</v>
      </c>
      <c r="BT417" s="15" t="s">
        <v>194</v>
      </c>
      <c r="BU417" s="15" t="s">
        <v>195</v>
      </c>
      <c r="BV417" s="15" t="s">
        <v>196</v>
      </c>
      <c r="BW417" s="15" t="s">
        <v>194</v>
      </c>
      <c r="CB417" s="15" t="s">
        <v>128</v>
      </c>
      <c r="CC417" s="15">
        <v>1</v>
      </c>
      <c r="CN417" s="15" t="s">
        <v>198</v>
      </c>
      <c r="CW417" s="10">
        <v>2</v>
      </c>
      <c r="CX417" s="15" t="s">
        <v>1519</v>
      </c>
    </row>
    <row r="418" spans="1:102" s="15" customFormat="1" x14ac:dyDescent="0.3">
      <c r="A418" s="11" t="s">
        <v>126</v>
      </c>
      <c r="B418" s="10" t="s">
        <v>1520</v>
      </c>
      <c r="C418" s="12" t="s">
        <v>1521</v>
      </c>
      <c r="D418" s="10">
        <v>12</v>
      </c>
      <c r="E418" s="13">
        <v>1000000</v>
      </c>
      <c r="F418" s="14" t="s">
        <v>210</v>
      </c>
      <c r="G418" s="14" t="s">
        <v>210</v>
      </c>
      <c r="H418" s="15" t="s">
        <v>211</v>
      </c>
      <c r="I418" s="8"/>
      <c r="J418" s="10"/>
      <c r="AW418" s="15" t="s">
        <v>128</v>
      </c>
      <c r="AX418" s="15" t="s">
        <v>1503</v>
      </c>
      <c r="BH418" s="15" t="s">
        <v>184</v>
      </c>
      <c r="BI418" s="15" t="s">
        <v>185</v>
      </c>
      <c r="BJ418" s="15" t="s">
        <v>186</v>
      </c>
      <c r="BK418" s="15" t="s">
        <v>187</v>
      </c>
      <c r="BL418" s="15" t="s">
        <v>188</v>
      </c>
      <c r="BM418" s="15" t="s">
        <v>189</v>
      </c>
      <c r="BN418" s="15" t="s">
        <v>190</v>
      </c>
      <c r="BO418" s="15" t="s">
        <v>191</v>
      </c>
      <c r="BR418" s="15" t="s">
        <v>192</v>
      </c>
      <c r="BS418" s="15" t="s">
        <v>193</v>
      </c>
      <c r="BT418" s="15" t="s">
        <v>194</v>
      </c>
      <c r="BU418" s="15" t="s">
        <v>195</v>
      </c>
      <c r="BV418" s="15" t="s">
        <v>196</v>
      </c>
      <c r="BW418" s="15" t="s">
        <v>194</v>
      </c>
      <c r="CB418" s="15" t="s">
        <v>128</v>
      </c>
      <c r="CC418" s="15">
        <v>1</v>
      </c>
      <c r="CN418" s="15" t="s">
        <v>198</v>
      </c>
      <c r="CW418" s="10">
        <v>2</v>
      </c>
      <c r="CX418" s="15" t="s">
        <v>1522</v>
      </c>
    </row>
    <row r="419" spans="1:102" s="15" customFormat="1" x14ac:dyDescent="0.3">
      <c r="A419" s="11" t="s">
        <v>126</v>
      </c>
      <c r="B419" s="10" t="s">
        <v>1523</v>
      </c>
      <c r="C419" s="12" t="s">
        <v>1524</v>
      </c>
      <c r="D419" s="10">
        <v>12</v>
      </c>
      <c r="E419" s="13">
        <v>1000000</v>
      </c>
      <c r="F419" s="14" t="s">
        <v>210</v>
      </c>
      <c r="G419" s="14" t="s">
        <v>210</v>
      </c>
      <c r="H419" s="15" t="s">
        <v>254</v>
      </c>
      <c r="I419" s="8"/>
      <c r="J419" s="10"/>
      <c r="AW419" s="15" t="s">
        <v>128</v>
      </c>
      <c r="AX419" s="15" t="s">
        <v>1506</v>
      </c>
      <c r="BH419" s="15" t="s">
        <v>184</v>
      </c>
      <c r="BI419" s="15" t="s">
        <v>185</v>
      </c>
      <c r="BJ419" s="15" t="s">
        <v>186</v>
      </c>
      <c r="BK419" s="15" t="s">
        <v>187</v>
      </c>
      <c r="BL419" s="15" t="s">
        <v>188</v>
      </c>
      <c r="BM419" s="15" t="s">
        <v>189</v>
      </c>
      <c r="BN419" s="15" t="s">
        <v>190</v>
      </c>
      <c r="BO419" s="15" t="s">
        <v>191</v>
      </c>
      <c r="BR419" s="15" t="s">
        <v>192</v>
      </c>
      <c r="BS419" s="15" t="s">
        <v>193</v>
      </c>
      <c r="BT419" s="15" t="s">
        <v>194</v>
      </c>
      <c r="BU419" s="15" t="s">
        <v>195</v>
      </c>
      <c r="BV419" s="15" t="s">
        <v>196</v>
      </c>
      <c r="BW419" s="15" t="s">
        <v>460</v>
      </c>
      <c r="CB419" s="15" t="s">
        <v>128</v>
      </c>
      <c r="CC419" s="15">
        <v>1</v>
      </c>
      <c r="CN419" s="15" t="s">
        <v>198</v>
      </c>
      <c r="CW419" s="10">
        <v>2</v>
      </c>
      <c r="CX419" s="15" t="s">
        <v>1525</v>
      </c>
    </row>
    <row r="420" spans="1:102" s="15" customFormat="1" x14ac:dyDescent="0.3">
      <c r="A420" s="11" t="s">
        <v>126</v>
      </c>
      <c r="B420" s="10" t="s">
        <v>1526</v>
      </c>
      <c r="C420" s="12" t="s">
        <v>1530</v>
      </c>
      <c r="D420" s="10">
        <v>12</v>
      </c>
      <c r="E420" s="13">
        <v>1000000</v>
      </c>
      <c r="F420" s="14" t="s">
        <v>209</v>
      </c>
      <c r="G420" s="14" t="s">
        <v>210</v>
      </c>
      <c r="H420" s="15" t="s">
        <v>211</v>
      </c>
      <c r="I420" s="8"/>
      <c r="J420" s="10"/>
      <c r="AV420" s="15" t="s">
        <v>212</v>
      </c>
      <c r="AW420" s="15" t="s">
        <v>213</v>
      </c>
      <c r="AX420" s="15" t="s">
        <v>1527</v>
      </c>
      <c r="BH420" s="15" t="s">
        <v>184</v>
      </c>
      <c r="BI420" s="15" t="s">
        <v>185</v>
      </c>
      <c r="BJ420" s="15" t="s">
        <v>186</v>
      </c>
      <c r="BK420" s="15" t="s">
        <v>187</v>
      </c>
      <c r="BL420" s="15" t="s">
        <v>188</v>
      </c>
      <c r="BM420" s="15" t="s">
        <v>189</v>
      </c>
      <c r="BN420" s="15" t="s">
        <v>190</v>
      </c>
      <c r="BO420" s="15" t="s">
        <v>191</v>
      </c>
      <c r="BR420" s="15" t="s">
        <v>192</v>
      </c>
      <c r="BS420" s="15" t="s">
        <v>193</v>
      </c>
      <c r="BT420" s="15" t="s">
        <v>194</v>
      </c>
      <c r="BU420" s="15" t="s">
        <v>195</v>
      </c>
      <c r="BV420" s="15" t="s">
        <v>196</v>
      </c>
      <c r="BW420" s="15" t="s">
        <v>195</v>
      </c>
      <c r="CB420" s="15" t="s">
        <v>129</v>
      </c>
      <c r="CC420" s="15">
        <v>1</v>
      </c>
      <c r="CN420" s="15" t="s">
        <v>198</v>
      </c>
      <c r="CW420" s="10">
        <v>2</v>
      </c>
      <c r="CX420" s="15" t="s">
        <v>1528</v>
      </c>
    </row>
    <row r="421" spans="1:102" s="15" customFormat="1" x14ac:dyDescent="0.3">
      <c r="A421" s="11" t="s">
        <v>126</v>
      </c>
      <c r="B421" s="10" t="s">
        <v>1529</v>
      </c>
      <c r="C421" s="12" t="s">
        <v>1530</v>
      </c>
      <c r="D421" s="10">
        <v>12</v>
      </c>
      <c r="E421" s="13">
        <v>1000000</v>
      </c>
      <c r="F421" s="14" t="s">
        <v>210</v>
      </c>
      <c r="G421" s="14" t="s">
        <v>210</v>
      </c>
      <c r="H421" s="15" t="s">
        <v>211</v>
      </c>
      <c r="I421" s="8"/>
      <c r="J421" s="10"/>
      <c r="AW421" s="15" t="s">
        <v>128</v>
      </c>
      <c r="AX421" s="15" t="s">
        <v>1527</v>
      </c>
      <c r="BH421" s="15" t="s">
        <v>184</v>
      </c>
      <c r="BI421" s="15" t="s">
        <v>185</v>
      </c>
      <c r="BJ421" s="15" t="s">
        <v>186</v>
      </c>
      <c r="BK421" s="15" t="s">
        <v>187</v>
      </c>
      <c r="BL421" s="15" t="s">
        <v>188</v>
      </c>
      <c r="BM421" s="15" t="s">
        <v>189</v>
      </c>
      <c r="BN421" s="15" t="s">
        <v>190</v>
      </c>
      <c r="BO421" s="15" t="s">
        <v>191</v>
      </c>
      <c r="BR421" s="15" t="s">
        <v>192</v>
      </c>
      <c r="BS421" s="15" t="s">
        <v>193</v>
      </c>
      <c r="BT421" s="15" t="s">
        <v>194</v>
      </c>
      <c r="BU421" s="15" t="s">
        <v>195</v>
      </c>
      <c r="BV421" s="15" t="s">
        <v>196</v>
      </c>
      <c r="BW421" s="15" t="s">
        <v>195</v>
      </c>
      <c r="CB421" s="15" t="s">
        <v>128</v>
      </c>
      <c r="CC421" s="15">
        <v>1</v>
      </c>
      <c r="CN421" s="15" t="s">
        <v>198</v>
      </c>
      <c r="CW421" s="10">
        <v>2</v>
      </c>
      <c r="CX421" s="15" t="s">
        <v>1531</v>
      </c>
    </row>
    <row r="422" spans="1:102" s="15" customFormat="1" x14ac:dyDescent="0.3">
      <c r="A422" s="11" t="s">
        <v>126</v>
      </c>
      <c r="B422" s="10" t="s">
        <v>1532</v>
      </c>
      <c r="C422" s="12" t="s">
        <v>1533</v>
      </c>
      <c r="D422" s="10">
        <v>12</v>
      </c>
      <c r="E422" s="13">
        <v>1000000</v>
      </c>
      <c r="F422" s="14" t="s">
        <v>210</v>
      </c>
      <c r="G422" s="14" t="s">
        <v>210</v>
      </c>
      <c r="H422" s="15" t="s">
        <v>211</v>
      </c>
      <c r="I422" s="8"/>
      <c r="J422" s="10"/>
      <c r="AW422" s="15" t="s">
        <v>128</v>
      </c>
      <c r="AX422" s="15" t="s">
        <v>1527</v>
      </c>
      <c r="BH422" s="15" t="s">
        <v>184</v>
      </c>
      <c r="BI422" s="15" t="s">
        <v>185</v>
      </c>
      <c r="BJ422" s="15" t="s">
        <v>186</v>
      </c>
      <c r="BK422" s="15" t="s">
        <v>187</v>
      </c>
      <c r="BL422" s="15" t="s">
        <v>188</v>
      </c>
      <c r="BM422" s="15" t="s">
        <v>189</v>
      </c>
      <c r="BN422" s="15" t="s">
        <v>190</v>
      </c>
      <c r="BO422" s="15" t="s">
        <v>191</v>
      </c>
      <c r="BR422" s="15" t="s">
        <v>192</v>
      </c>
      <c r="BS422" s="15" t="s">
        <v>193</v>
      </c>
      <c r="BT422" s="15" t="s">
        <v>194</v>
      </c>
      <c r="BU422" s="15" t="s">
        <v>195</v>
      </c>
      <c r="BV422" s="15" t="s">
        <v>196</v>
      </c>
      <c r="BW422" s="15" t="s">
        <v>195</v>
      </c>
      <c r="CB422" s="15" t="s">
        <v>128</v>
      </c>
      <c r="CC422" s="15">
        <v>1</v>
      </c>
      <c r="CN422" s="15" t="s">
        <v>198</v>
      </c>
      <c r="CW422" s="10">
        <v>2</v>
      </c>
      <c r="CX422" s="15" t="s">
        <v>1534</v>
      </c>
    </row>
    <row r="423" spans="1:102" s="15" customFormat="1" x14ac:dyDescent="0.3">
      <c r="A423" s="11" t="s">
        <v>126</v>
      </c>
      <c r="B423" s="10" t="s">
        <v>1535</v>
      </c>
      <c r="C423" s="12" t="s">
        <v>3929</v>
      </c>
      <c r="D423" s="10">
        <v>12</v>
      </c>
      <c r="E423" s="13">
        <v>100000</v>
      </c>
      <c r="F423" s="14" t="s">
        <v>640</v>
      </c>
      <c r="G423" s="14" t="s">
        <v>641</v>
      </c>
      <c r="H423" s="15" t="s">
        <v>1536</v>
      </c>
      <c r="I423" s="8"/>
      <c r="J423" s="10"/>
      <c r="AV423" s="15" t="s">
        <v>643</v>
      </c>
      <c r="AW423" s="15" t="s">
        <v>644</v>
      </c>
      <c r="AX423" s="15" t="s">
        <v>475</v>
      </c>
      <c r="AY423" s="15" t="s">
        <v>645</v>
      </c>
      <c r="BH423" s="15" t="s">
        <v>184</v>
      </c>
      <c r="BI423" s="15" t="s">
        <v>185</v>
      </c>
      <c r="BJ423" s="15" t="s">
        <v>186</v>
      </c>
      <c r="BK423" s="15" t="s">
        <v>187</v>
      </c>
      <c r="BL423" s="15" t="s">
        <v>188</v>
      </c>
      <c r="BM423" s="15" t="s">
        <v>189</v>
      </c>
      <c r="BN423" s="15" t="s">
        <v>190</v>
      </c>
      <c r="BO423" s="15" t="s">
        <v>191</v>
      </c>
      <c r="BR423" s="15" t="s">
        <v>192</v>
      </c>
      <c r="BS423" s="15" t="s">
        <v>193</v>
      </c>
      <c r="BT423" s="15" t="s">
        <v>194</v>
      </c>
      <c r="BU423" s="15" t="s">
        <v>195</v>
      </c>
      <c r="BV423" s="15" t="s">
        <v>196</v>
      </c>
      <c r="BW423" s="15" t="s">
        <v>272</v>
      </c>
      <c r="CB423" s="15" t="s">
        <v>129</v>
      </c>
      <c r="CC423" s="15">
        <v>1</v>
      </c>
      <c r="CF423" s="15" t="s">
        <v>1537</v>
      </c>
      <c r="CN423" s="15" t="s">
        <v>1538</v>
      </c>
      <c r="CW423" s="10">
        <v>2</v>
      </c>
      <c r="CX423" s="15" t="s">
        <v>1539</v>
      </c>
    </row>
    <row r="424" spans="1:102" s="15" customFormat="1" x14ac:dyDescent="0.3">
      <c r="A424" s="11" t="s">
        <v>126</v>
      </c>
      <c r="B424" s="10" t="s">
        <v>1540</v>
      </c>
      <c r="C424" s="12" t="s">
        <v>3930</v>
      </c>
      <c r="D424" s="10">
        <v>12</v>
      </c>
      <c r="E424" s="13">
        <v>1000000</v>
      </c>
      <c r="F424" s="14" t="s">
        <v>269</v>
      </c>
      <c r="G424" s="14" t="s">
        <v>210</v>
      </c>
      <c r="H424" s="15" t="s">
        <v>254</v>
      </c>
      <c r="I424" s="8"/>
      <c r="J424" s="10"/>
      <c r="AV424" s="15" t="s">
        <v>212</v>
      </c>
      <c r="AW424" s="15" t="s">
        <v>213</v>
      </c>
      <c r="AX424" s="15" t="s">
        <v>1251</v>
      </c>
      <c r="BH424" s="15" t="s">
        <v>184</v>
      </c>
      <c r="BI424" s="15" t="s">
        <v>185</v>
      </c>
      <c r="BJ424" s="15" t="s">
        <v>186</v>
      </c>
      <c r="BK424" s="15" t="s">
        <v>187</v>
      </c>
      <c r="BL424" s="15" t="s">
        <v>188</v>
      </c>
      <c r="BM424" s="15" t="s">
        <v>189</v>
      </c>
      <c r="BN424" s="15" t="s">
        <v>190</v>
      </c>
      <c r="BO424" s="15" t="s">
        <v>191</v>
      </c>
      <c r="BR424" s="15" t="s">
        <v>192</v>
      </c>
      <c r="BS424" s="15" t="s">
        <v>193</v>
      </c>
      <c r="BT424" s="15" t="s">
        <v>194</v>
      </c>
      <c r="BU424" s="15" t="s">
        <v>195</v>
      </c>
      <c r="BV424" s="15" t="s">
        <v>196</v>
      </c>
      <c r="BW424" s="15" t="s">
        <v>272</v>
      </c>
      <c r="CB424" s="15" t="s">
        <v>129</v>
      </c>
      <c r="CC424" s="15">
        <v>1</v>
      </c>
      <c r="CN424" s="15" t="s">
        <v>1176</v>
      </c>
      <c r="CW424" s="10">
        <v>2</v>
      </c>
      <c r="CX424" s="15" t="s">
        <v>1541</v>
      </c>
    </row>
    <row r="425" spans="1:102" s="15" customFormat="1" x14ac:dyDescent="0.3">
      <c r="A425" s="11" t="s">
        <v>126</v>
      </c>
      <c r="B425" s="10" t="s">
        <v>1542</v>
      </c>
      <c r="C425" s="12" t="s">
        <v>1543</v>
      </c>
      <c r="D425" s="10">
        <v>12</v>
      </c>
      <c r="E425" s="13">
        <v>1000000</v>
      </c>
      <c r="F425" s="14" t="s">
        <v>210</v>
      </c>
      <c r="G425" s="14" t="s">
        <v>210</v>
      </c>
      <c r="H425" s="15" t="s">
        <v>254</v>
      </c>
      <c r="I425" s="8"/>
      <c r="J425" s="10"/>
      <c r="AW425" s="15" t="s">
        <v>128</v>
      </c>
      <c r="AX425" s="15" t="s">
        <v>1544</v>
      </c>
      <c r="BH425" s="15" t="s">
        <v>184</v>
      </c>
      <c r="BI425" s="15" t="s">
        <v>185</v>
      </c>
      <c r="BJ425" s="15" t="s">
        <v>186</v>
      </c>
      <c r="BK425" s="15" t="s">
        <v>187</v>
      </c>
      <c r="BL425" s="15" t="s">
        <v>188</v>
      </c>
      <c r="BM425" s="15" t="s">
        <v>189</v>
      </c>
      <c r="BN425" s="15" t="s">
        <v>190</v>
      </c>
      <c r="BO425" s="15" t="s">
        <v>191</v>
      </c>
      <c r="BR425" s="15" t="s">
        <v>192</v>
      </c>
      <c r="BS425" s="15" t="s">
        <v>193</v>
      </c>
      <c r="BT425" s="15" t="s">
        <v>194</v>
      </c>
      <c r="BU425" s="15" t="s">
        <v>195</v>
      </c>
      <c r="BV425" s="15" t="s">
        <v>196</v>
      </c>
      <c r="BW425" s="15" t="s">
        <v>272</v>
      </c>
      <c r="CB425" s="15" t="s">
        <v>128</v>
      </c>
      <c r="CC425" s="15">
        <v>1</v>
      </c>
      <c r="CN425" s="15" t="s">
        <v>273</v>
      </c>
      <c r="CW425" s="10">
        <v>2</v>
      </c>
      <c r="CX425" s="15" t="s">
        <v>1545</v>
      </c>
    </row>
    <row r="426" spans="1:102" s="15" customFormat="1" x14ac:dyDescent="0.3">
      <c r="A426" s="11" t="s">
        <v>126</v>
      </c>
      <c r="B426" s="10" t="s">
        <v>1546</v>
      </c>
      <c r="C426" s="12" t="s">
        <v>3931</v>
      </c>
      <c r="D426" s="10">
        <v>12</v>
      </c>
      <c r="E426" s="13">
        <v>100000</v>
      </c>
      <c r="F426" s="14" t="s">
        <v>243</v>
      </c>
      <c r="G426" s="14" t="s">
        <v>244</v>
      </c>
      <c r="H426" s="15" t="s">
        <v>254</v>
      </c>
      <c r="I426" s="8"/>
      <c r="J426" s="10"/>
      <c r="AV426" s="15" t="s">
        <v>181</v>
      </c>
      <c r="AW426" s="15" t="s">
        <v>182</v>
      </c>
      <c r="AX426" s="15" t="s">
        <v>839</v>
      </c>
      <c r="BH426" s="15" t="s">
        <v>184</v>
      </c>
      <c r="BI426" s="15" t="s">
        <v>185</v>
      </c>
      <c r="BJ426" s="15" t="s">
        <v>186</v>
      </c>
      <c r="BK426" s="15" t="s">
        <v>187</v>
      </c>
      <c r="BL426" s="15" t="s">
        <v>188</v>
      </c>
      <c r="BM426" s="15" t="s">
        <v>189</v>
      </c>
      <c r="BN426" s="15" t="s">
        <v>190</v>
      </c>
      <c r="BO426" s="15" t="s">
        <v>191</v>
      </c>
      <c r="BR426" s="15" t="s">
        <v>192</v>
      </c>
      <c r="BS426" s="15" t="s">
        <v>193</v>
      </c>
      <c r="BT426" s="15" t="s">
        <v>194</v>
      </c>
      <c r="BU426" s="15" t="s">
        <v>195</v>
      </c>
      <c r="BV426" s="15" t="s">
        <v>196</v>
      </c>
      <c r="BW426" s="15" t="s">
        <v>272</v>
      </c>
      <c r="CB426" s="15" t="s">
        <v>129</v>
      </c>
      <c r="CC426" s="15">
        <v>1</v>
      </c>
      <c r="CN426" s="15" t="s">
        <v>198</v>
      </c>
      <c r="CW426" s="10">
        <v>2</v>
      </c>
      <c r="CX426" s="15" t="s">
        <v>1547</v>
      </c>
    </row>
    <row r="427" spans="1:102" s="15" customFormat="1" x14ac:dyDescent="0.3">
      <c r="A427" s="11" t="s">
        <v>126</v>
      </c>
      <c r="B427" s="10" t="s">
        <v>1548</v>
      </c>
      <c r="C427" s="12" t="s">
        <v>3932</v>
      </c>
      <c r="D427" s="10">
        <v>12</v>
      </c>
      <c r="E427" s="13">
        <v>100000</v>
      </c>
      <c r="F427" s="14" t="s">
        <v>243</v>
      </c>
      <c r="G427" s="14" t="s">
        <v>244</v>
      </c>
      <c r="H427" s="15" t="s">
        <v>254</v>
      </c>
      <c r="I427" s="8"/>
      <c r="J427" s="10"/>
      <c r="AV427" s="15" t="s">
        <v>181</v>
      </c>
      <c r="AW427" s="15" t="s">
        <v>182</v>
      </c>
      <c r="AX427" s="15" t="s">
        <v>842</v>
      </c>
      <c r="BH427" s="15" t="s">
        <v>184</v>
      </c>
      <c r="BI427" s="15" t="s">
        <v>185</v>
      </c>
      <c r="BJ427" s="15" t="s">
        <v>186</v>
      </c>
      <c r="BK427" s="15" t="s">
        <v>187</v>
      </c>
      <c r="BL427" s="15" t="s">
        <v>188</v>
      </c>
      <c r="BM427" s="15" t="s">
        <v>189</v>
      </c>
      <c r="BN427" s="15" t="s">
        <v>190</v>
      </c>
      <c r="BO427" s="15" t="s">
        <v>191</v>
      </c>
      <c r="BR427" s="15" t="s">
        <v>192</v>
      </c>
      <c r="BS427" s="15" t="s">
        <v>193</v>
      </c>
      <c r="BT427" s="15" t="s">
        <v>194</v>
      </c>
      <c r="BU427" s="15" t="s">
        <v>195</v>
      </c>
      <c r="BV427" s="15" t="s">
        <v>196</v>
      </c>
      <c r="BW427" s="15" t="s">
        <v>272</v>
      </c>
      <c r="CB427" s="15" t="s">
        <v>129</v>
      </c>
      <c r="CC427" s="15">
        <v>1</v>
      </c>
      <c r="CN427" s="15" t="s">
        <v>198</v>
      </c>
      <c r="CW427" s="10">
        <v>2</v>
      </c>
      <c r="CX427" s="15" t="s">
        <v>1549</v>
      </c>
    </row>
    <row r="428" spans="1:102" s="15" customFormat="1" x14ac:dyDescent="0.3">
      <c r="A428" s="11" t="s">
        <v>126</v>
      </c>
      <c r="B428" s="10" t="s">
        <v>1550</v>
      </c>
      <c r="C428" s="12" t="s">
        <v>3933</v>
      </c>
      <c r="D428" s="10">
        <v>12</v>
      </c>
      <c r="E428" s="13">
        <v>10000</v>
      </c>
      <c r="F428" s="14" t="s">
        <v>243</v>
      </c>
      <c r="G428" s="14" t="s">
        <v>244</v>
      </c>
      <c r="H428" s="15" t="s">
        <v>245</v>
      </c>
      <c r="I428" s="8"/>
      <c r="J428" s="10"/>
      <c r="AV428" s="15" t="s">
        <v>181</v>
      </c>
      <c r="AW428" s="15" t="s">
        <v>182</v>
      </c>
      <c r="AX428" s="15" t="s">
        <v>713</v>
      </c>
      <c r="AY428" s="15" t="s">
        <v>714</v>
      </c>
      <c r="AZ428" s="15" t="s">
        <v>715</v>
      </c>
      <c r="BA428" s="15" t="s">
        <v>716</v>
      </c>
      <c r="BB428" s="15" t="s">
        <v>717</v>
      </c>
      <c r="BH428" s="15" t="s">
        <v>184</v>
      </c>
      <c r="BI428" s="15" t="s">
        <v>185</v>
      </c>
      <c r="BJ428" s="15" t="s">
        <v>186</v>
      </c>
      <c r="BK428" s="15" t="s">
        <v>187</v>
      </c>
      <c r="BL428" s="15" t="s">
        <v>188</v>
      </c>
      <c r="BM428" s="15" t="s">
        <v>189</v>
      </c>
      <c r="BN428" s="15" t="s">
        <v>190</v>
      </c>
      <c r="BO428" s="15" t="s">
        <v>191</v>
      </c>
      <c r="BR428" s="15" t="s">
        <v>192</v>
      </c>
      <c r="BS428" s="15" t="s">
        <v>193</v>
      </c>
      <c r="BT428" s="15" t="s">
        <v>194</v>
      </c>
      <c r="BU428" s="15" t="s">
        <v>195</v>
      </c>
      <c r="BV428" s="15" t="s">
        <v>196</v>
      </c>
      <c r="BW428" s="15" t="s">
        <v>272</v>
      </c>
      <c r="CB428" s="15" t="s">
        <v>129</v>
      </c>
      <c r="CC428" s="15">
        <v>1</v>
      </c>
      <c r="CN428" s="15" t="s">
        <v>198</v>
      </c>
      <c r="CW428" s="10">
        <v>2</v>
      </c>
      <c r="CX428" s="15" t="s">
        <v>1551</v>
      </c>
    </row>
    <row r="429" spans="1:102" s="15" customFormat="1" x14ac:dyDescent="0.3">
      <c r="A429" s="11" t="s">
        <v>126</v>
      </c>
      <c r="B429" s="10" t="s">
        <v>1552</v>
      </c>
      <c r="C429" s="12" t="s">
        <v>3934</v>
      </c>
      <c r="D429" s="10">
        <v>12</v>
      </c>
      <c r="E429" s="13">
        <v>10000</v>
      </c>
      <c r="F429" s="14" t="s">
        <v>243</v>
      </c>
      <c r="G429" s="14" t="s">
        <v>244</v>
      </c>
      <c r="H429" s="15" t="s">
        <v>245</v>
      </c>
      <c r="I429" s="8"/>
      <c r="J429" s="10"/>
      <c r="AV429" s="15" t="s">
        <v>181</v>
      </c>
      <c r="AW429" s="15" t="s">
        <v>182</v>
      </c>
      <c r="AX429" s="15" t="s">
        <v>688</v>
      </c>
      <c r="AY429" s="15" t="s">
        <v>689</v>
      </c>
      <c r="AZ429" s="15" t="s">
        <v>690</v>
      </c>
      <c r="BA429" s="15" t="s">
        <v>691</v>
      </c>
      <c r="BB429" s="15" t="s">
        <v>692</v>
      </c>
      <c r="BH429" s="15" t="s">
        <v>184</v>
      </c>
      <c r="BI429" s="15" t="s">
        <v>185</v>
      </c>
      <c r="BJ429" s="15" t="s">
        <v>186</v>
      </c>
      <c r="BK429" s="15" t="s">
        <v>187</v>
      </c>
      <c r="BL429" s="15" t="s">
        <v>188</v>
      </c>
      <c r="BM429" s="15" t="s">
        <v>189</v>
      </c>
      <c r="BN429" s="15" t="s">
        <v>190</v>
      </c>
      <c r="BO429" s="15" t="s">
        <v>191</v>
      </c>
      <c r="BR429" s="15" t="s">
        <v>192</v>
      </c>
      <c r="BS429" s="15" t="s">
        <v>193</v>
      </c>
      <c r="BT429" s="15" t="s">
        <v>194</v>
      </c>
      <c r="BU429" s="15" t="s">
        <v>195</v>
      </c>
      <c r="BV429" s="15" t="s">
        <v>196</v>
      </c>
      <c r="BW429" s="15" t="s">
        <v>272</v>
      </c>
      <c r="CB429" s="15" t="s">
        <v>129</v>
      </c>
      <c r="CC429" s="15">
        <v>1</v>
      </c>
      <c r="CN429" s="15" t="s">
        <v>198</v>
      </c>
      <c r="CW429" s="10">
        <v>2</v>
      </c>
      <c r="CX429" s="15" t="s">
        <v>1553</v>
      </c>
    </row>
    <row r="430" spans="1:102" s="15" customFormat="1" x14ac:dyDescent="0.3">
      <c r="A430" s="11" t="s">
        <v>126</v>
      </c>
      <c r="B430" s="10" t="s">
        <v>1554</v>
      </c>
      <c r="C430" s="12" t="s">
        <v>1558</v>
      </c>
      <c r="D430" s="10">
        <v>12</v>
      </c>
      <c r="E430" s="13">
        <v>100000</v>
      </c>
      <c r="F430" s="14" t="s">
        <v>243</v>
      </c>
      <c r="G430" s="14" t="s">
        <v>244</v>
      </c>
      <c r="H430" s="15" t="s">
        <v>254</v>
      </c>
      <c r="I430" s="8"/>
      <c r="J430" s="10"/>
      <c r="AV430" s="15" t="s">
        <v>181</v>
      </c>
      <c r="AW430" s="15" t="s">
        <v>182</v>
      </c>
      <c r="AX430" s="15" t="s">
        <v>1062</v>
      </c>
      <c r="BH430" s="15" t="s">
        <v>184</v>
      </c>
      <c r="BI430" s="15" t="s">
        <v>185</v>
      </c>
      <c r="BJ430" s="15" t="s">
        <v>186</v>
      </c>
      <c r="BK430" s="15" t="s">
        <v>187</v>
      </c>
      <c r="BL430" s="15" t="s">
        <v>188</v>
      </c>
      <c r="BM430" s="15" t="s">
        <v>189</v>
      </c>
      <c r="BN430" s="15" t="s">
        <v>190</v>
      </c>
      <c r="BO430" s="15" t="s">
        <v>191</v>
      </c>
      <c r="BR430" s="15" t="s">
        <v>192</v>
      </c>
      <c r="BS430" s="15" t="s">
        <v>193</v>
      </c>
      <c r="BT430" s="15" t="s">
        <v>194</v>
      </c>
      <c r="BU430" s="15" t="s">
        <v>195</v>
      </c>
      <c r="BV430" s="15" t="s">
        <v>196</v>
      </c>
      <c r="BW430" s="15" t="s">
        <v>272</v>
      </c>
      <c r="CB430" s="15" t="s">
        <v>129</v>
      </c>
      <c r="CC430" s="15">
        <v>1</v>
      </c>
      <c r="CN430" s="15" t="s">
        <v>1555</v>
      </c>
      <c r="CW430" s="10">
        <v>2</v>
      </c>
      <c r="CX430" s="15" t="s">
        <v>1556</v>
      </c>
    </row>
    <row r="431" spans="1:102" s="15" customFormat="1" x14ac:dyDescent="0.3">
      <c r="A431" s="11" t="s">
        <v>126</v>
      </c>
      <c r="B431" s="10" t="s">
        <v>1557</v>
      </c>
      <c r="C431" s="12" t="s">
        <v>1558</v>
      </c>
      <c r="D431" s="10">
        <v>12</v>
      </c>
      <c r="E431" s="13">
        <v>100000</v>
      </c>
      <c r="F431" s="14" t="s">
        <v>244</v>
      </c>
      <c r="G431" s="14" t="s">
        <v>244</v>
      </c>
      <c r="H431" s="15" t="s">
        <v>254</v>
      </c>
      <c r="I431" s="8"/>
      <c r="J431" s="10"/>
      <c r="AW431" s="15" t="s">
        <v>128</v>
      </c>
      <c r="AX431" s="15" t="s">
        <v>1062</v>
      </c>
      <c r="BH431" s="15" t="s">
        <v>184</v>
      </c>
      <c r="BI431" s="15" t="s">
        <v>185</v>
      </c>
      <c r="BJ431" s="15" t="s">
        <v>186</v>
      </c>
      <c r="BK431" s="15" t="s">
        <v>187</v>
      </c>
      <c r="BL431" s="15" t="s">
        <v>188</v>
      </c>
      <c r="BM431" s="15" t="s">
        <v>189</v>
      </c>
      <c r="BN431" s="15" t="s">
        <v>190</v>
      </c>
      <c r="BO431" s="15" t="s">
        <v>191</v>
      </c>
      <c r="BR431" s="15" t="s">
        <v>192</v>
      </c>
      <c r="BS431" s="15" t="s">
        <v>193</v>
      </c>
      <c r="BT431" s="15" t="s">
        <v>194</v>
      </c>
      <c r="BU431" s="15" t="s">
        <v>195</v>
      </c>
      <c r="BV431" s="15" t="s">
        <v>196</v>
      </c>
      <c r="BW431" s="15" t="s">
        <v>272</v>
      </c>
      <c r="CB431" s="15" t="s">
        <v>128</v>
      </c>
      <c r="CC431" s="15">
        <v>1</v>
      </c>
      <c r="CN431" s="15" t="s">
        <v>1555</v>
      </c>
      <c r="CW431" s="10">
        <v>2</v>
      </c>
      <c r="CX431" s="15" t="s">
        <v>1559</v>
      </c>
    </row>
    <row r="432" spans="1:102" s="15" customFormat="1" x14ac:dyDescent="0.3">
      <c r="A432" s="11" t="s">
        <v>126</v>
      </c>
      <c r="B432" s="10" t="s">
        <v>1560</v>
      </c>
      <c r="C432" s="12" t="s">
        <v>1824</v>
      </c>
      <c r="D432" s="10">
        <v>12</v>
      </c>
      <c r="E432" s="13">
        <v>100000</v>
      </c>
      <c r="F432" s="14" t="s">
        <v>243</v>
      </c>
      <c r="G432" s="14" t="s">
        <v>244</v>
      </c>
      <c r="H432" s="15" t="s">
        <v>1561</v>
      </c>
      <c r="I432" s="8"/>
      <c r="J432" s="10"/>
      <c r="AV432" s="15" t="s">
        <v>181</v>
      </c>
      <c r="AW432" s="15" t="s">
        <v>182</v>
      </c>
      <c r="AX432" s="15" t="s">
        <v>1257</v>
      </c>
      <c r="AY432" s="15" t="s">
        <v>1258</v>
      </c>
      <c r="AZ432" s="15" t="s">
        <v>1259</v>
      </c>
      <c r="BH432" s="15" t="s">
        <v>184</v>
      </c>
      <c r="BI432" s="15" t="s">
        <v>185</v>
      </c>
      <c r="BJ432" s="15" t="s">
        <v>186</v>
      </c>
      <c r="BK432" s="15" t="s">
        <v>187</v>
      </c>
      <c r="BL432" s="15" t="s">
        <v>188</v>
      </c>
      <c r="BM432" s="15" t="s">
        <v>189</v>
      </c>
      <c r="BN432" s="15" t="s">
        <v>190</v>
      </c>
      <c r="BO432" s="15" t="s">
        <v>191</v>
      </c>
      <c r="BR432" s="15" t="s">
        <v>192</v>
      </c>
      <c r="BS432" s="15" t="s">
        <v>193</v>
      </c>
      <c r="BT432" s="15" t="s">
        <v>194</v>
      </c>
      <c r="BU432" s="15" t="s">
        <v>195</v>
      </c>
      <c r="BV432" s="15" t="s">
        <v>196</v>
      </c>
      <c r="BW432" s="15" t="s">
        <v>272</v>
      </c>
      <c r="CB432" s="15" t="s">
        <v>129</v>
      </c>
      <c r="CC432" s="15">
        <v>1</v>
      </c>
      <c r="CN432" s="15" t="s">
        <v>1562</v>
      </c>
      <c r="CW432" s="10">
        <v>2</v>
      </c>
      <c r="CX432" s="15" t="s">
        <v>1563</v>
      </c>
    </row>
    <row r="433" spans="1:102" s="15" customFormat="1" x14ac:dyDescent="0.3">
      <c r="A433" s="11" t="s">
        <v>126</v>
      </c>
      <c r="B433" s="10" t="s">
        <v>1564</v>
      </c>
      <c r="C433" s="12" t="s">
        <v>1565</v>
      </c>
      <c r="D433" s="10">
        <v>12</v>
      </c>
      <c r="E433" s="13">
        <v>1000000</v>
      </c>
      <c r="F433" s="14" t="s">
        <v>541</v>
      </c>
      <c r="G433" s="14" t="s">
        <v>541</v>
      </c>
      <c r="H433" s="15" t="s">
        <v>1566</v>
      </c>
      <c r="I433" s="8"/>
      <c r="J433" s="10"/>
      <c r="AW433" s="15" t="s">
        <v>128</v>
      </c>
      <c r="AX433" s="15" t="s">
        <v>543</v>
      </c>
      <c r="AY433" s="15" t="s">
        <v>544</v>
      </c>
      <c r="AZ433" s="15" t="s">
        <v>545</v>
      </c>
      <c r="BF433" s="15" t="s">
        <v>544</v>
      </c>
      <c r="BG433" s="15" t="s">
        <v>545</v>
      </c>
      <c r="BH433" s="15" t="s">
        <v>184</v>
      </c>
      <c r="BI433" s="15" t="s">
        <v>185</v>
      </c>
      <c r="BJ433" s="15" t="s">
        <v>186</v>
      </c>
      <c r="BK433" s="15" t="s">
        <v>187</v>
      </c>
      <c r="BL433" s="15" t="s">
        <v>188</v>
      </c>
      <c r="BM433" s="15" t="s">
        <v>189</v>
      </c>
      <c r="BN433" s="15" t="s">
        <v>190</v>
      </c>
      <c r="BO433" s="15" t="s">
        <v>191</v>
      </c>
      <c r="BP433" s="15" t="s">
        <v>467</v>
      </c>
      <c r="BQ433" s="15" t="s">
        <v>468</v>
      </c>
      <c r="BR433" s="15" t="s">
        <v>192</v>
      </c>
      <c r="BS433" s="15" t="s">
        <v>193</v>
      </c>
      <c r="BT433" s="15" t="s">
        <v>194</v>
      </c>
      <c r="BU433" s="15" t="s">
        <v>195</v>
      </c>
      <c r="BV433" s="15" t="s">
        <v>196</v>
      </c>
      <c r="BW433" s="15" t="s">
        <v>272</v>
      </c>
      <c r="CB433" s="15" t="s">
        <v>128</v>
      </c>
      <c r="CC433" s="15">
        <v>1</v>
      </c>
      <c r="CN433" s="15" t="s">
        <v>851</v>
      </c>
      <c r="CW433" s="10">
        <v>2</v>
      </c>
      <c r="CX433" s="15" t="s">
        <v>1567</v>
      </c>
    </row>
    <row r="434" spans="1:102" s="15" customFormat="1" x14ac:dyDescent="0.3">
      <c r="A434" s="11" t="s">
        <v>126</v>
      </c>
      <c r="B434" s="10" t="s">
        <v>1568</v>
      </c>
      <c r="C434" s="12" t="s">
        <v>1565</v>
      </c>
      <c r="D434" s="10">
        <v>12</v>
      </c>
      <c r="E434" s="13">
        <v>1000000</v>
      </c>
      <c r="F434" s="14" t="s">
        <v>857</v>
      </c>
      <c r="G434" s="14" t="s">
        <v>541</v>
      </c>
      <c r="H434" s="15" t="s">
        <v>1566</v>
      </c>
      <c r="I434" s="8"/>
      <c r="J434" s="10"/>
      <c r="AV434" s="15" t="s">
        <v>858</v>
      </c>
      <c r="AW434" s="15" t="s">
        <v>859</v>
      </c>
      <c r="AX434" s="15" t="s">
        <v>543</v>
      </c>
      <c r="AY434" s="15" t="s">
        <v>544</v>
      </c>
      <c r="AZ434" s="15" t="s">
        <v>545</v>
      </c>
      <c r="BF434" s="15" t="s">
        <v>544</v>
      </c>
      <c r="BG434" s="15" t="s">
        <v>545</v>
      </c>
      <c r="BH434" s="15" t="s">
        <v>184</v>
      </c>
      <c r="BI434" s="15" t="s">
        <v>185</v>
      </c>
      <c r="BJ434" s="15" t="s">
        <v>186</v>
      </c>
      <c r="BK434" s="15" t="s">
        <v>187</v>
      </c>
      <c r="BL434" s="15" t="s">
        <v>188</v>
      </c>
      <c r="BM434" s="15" t="s">
        <v>189</v>
      </c>
      <c r="BN434" s="15" t="s">
        <v>190</v>
      </c>
      <c r="BO434" s="15" t="s">
        <v>191</v>
      </c>
      <c r="BP434" s="15" t="s">
        <v>467</v>
      </c>
      <c r="BQ434" s="15" t="s">
        <v>468</v>
      </c>
      <c r="BR434" s="15" t="s">
        <v>192</v>
      </c>
      <c r="BS434" s="15" t="s">
        <v>193</v>
      </c>
      <c r="BT434" s="15" t="s">
        <v>194</v>
      </c>
      <c r="BU434" s="15" t="s">
        <v>195</v>
      </c>
      <c r="BV434" s="15" t="s">
        <v>196</v>
      </c>
      <c r="BW434" s="15" t="s">
        <v>272</v>
      </c>
      <c r="CB434" s="15" t="s">
        <v>129</v>
      </c>
      <c r="CC434" s="15">
        <v>1</v>
      </c>
      <c r="CN434" s="15" t="s">
        <v>1569</v>
      </c>
      <c r="CW434" s="10">
        <v>2</v>
      </c>
      <c r="CX434" s="15" t="s">
        <v>1570</v>
      </c>
    </row>
    <row r="435" spans="1:102" s="15" customFormat="1" x14ac:dyDescent="0.3">
      <c r="A435" s="11" t="s">
        <v>126</v>
      </c>
      <c r="B435" s="10" t="s">
        <v>1571</v>
      </c>
      <c r="C435" s="12" t="s">
        <v>1827</v>
      </c>
      <c r="D435" s="10">
        <v>12</v>
      </c>
      <c r="E435" s="13">
        <v>100000</v>
      </c>
      <c r="F435" s="14" t="s">
        <v>243</v>
      </c>
      <c r="G435" s="14" t="s">
        <v>244</v>
      </c>
      <c r="H435" s="15" t="s">
        <v>1572</v>
      </c>
      <c r="I435" s="8"/>
      <c r="J435" s="10"/>
      <c r="AV435" s="15" t="s">
        <v>181</v>
      </c>
      <c r="AW435" s="15" t="s">
        <v>182</v>
      </c>
      <c r="AX435" s="15" t="s">
        <v>1263</v>
      </c>
      <c r="AY435" s="15" t="s">
        <v>1264</v>
      </c>
      <c r="AZ435" s="15" t="s">
        <v>1265</v>
      </c>
      <c r="BA435" s="15" t="s">
        <v>1266</v>
      </c>
      <c r="BB435" s="15" t="s">
        <v>1267</v>
      </c>
      <c r="BC435" s="15" t="s">
        <v>1268</v>
      </c>
      <c r="BD435" s="15" t="s">
        <v>1269</v>
      </c>
      <c r="BE435" s="15" t="s">
        <v>1270</v>
      </c>
      <c r="BF435" s="15" t="s">
        <v>1271</v>
      </c>
      <c r="BH435" s="15" t="s">
        <v>184</v>
      </c>
      <c r="BI435" s="15" t="s">
        <v>185</v>
      </c>
      <c r="BJ435" s="15" t="s">
        <v>186</v>
      </c>
      <c r="BK435" s="15" t="s">
        <v>187</v>
      </c>
      <c r="BL435" s="15" t="s">
        <v>188</v>
      </c>
      <c r="BM435" s="15" t="s">
        <v>189</v>
      </c>
      <c r="BN435" s="15" t="s">
        <v>190</v>
      </c>
      <c r="BO435" s="15" t="s">
        <v>191</v>
      </c>
      <c r="BR435" s="15" t="s">
        <v>192</v>
      </c>
      <c r="BS435" s="15" t="s">
        <v>193</v>
      </c>
      <c r="BT435" s="15" t="s">
        <v>194</v>
      </c>
      <c r="BU435" s="15" t="s">
        <v>195</v>
      </c>
      <c r="BV435" s="15" t="s">
        <v>196</v>
      </c>
      <c r="BW435" s="15" t="s">
        <v>272</v>
      </c>
      <c r="CB435" s="15" t="s">
        <v>129</v>
      </c>
      <c r="CC435" s="15">
        <v>1</v>
      </c>
      <c r="CN435" s="15" t="s">
        <v>1562</v>
      </c>
      <c r="CW435" s="10">
        <v>2</v>
      </c>
      <c r="CX435" s="15" t="s">
        <v>1573</v>
      </c>
    </row>
    <row r="436" spans="1:102" s="15" customFormat="1" x14ac:dyDescent="0.3">
      <c r="A436" s="11" t="s">
        <v>126</v>
      </c>
      <c r="B436" s="10" t="s">
        <v>1574</v>
      </c>
      <c r="C436" s="12" t="s">
        <v>1575</v>
      </c>
      <c r="D436" s="10">
        <v>12</v>
      </c>
      <c r="E436" s="13">
        <v>1000000</v>
      </c>
      <c r="F436" s="14" t="s">
        <v>541</v>
      </c>
      <c r="G436" s="14" t="s">
        <v>541</v>
      </c>
      <c r="H436" s="15" t="s">
        <v>1566</v>
      </c>
      <c r="I436" s="8"/>
      <c r="J436" s="10"/>
      <c r="AW436" s="15" t="s">
        <v>128</v>
      </c>
      <c r="AX436" s="15" t="s">
        <v>552</v>
      </c>
      <c r="AY436" s="15" t="s">
        <v>553</v>
      </c>
      <c r="AZ436" s="15" t="s">
        <v>554</v>
      </c>
      <c r="BF436" s="15" t="s">
        <v>553</v>
      </c>
      <c r="BG436" s="15" t="s">
        <v>554</v>
      </c>
      <c r="BH436" s="15" t="s">
        <v>184</v>
      </c>
      <c r="BI436" s="15" t="s">
        <v>185</v>
      </c>
      <c r="BJ436" s="15" t="s">
        <v>186</v>
      </c>
      <c r="BK436" s="15" t="s">
        <v>187</v>
      </c>
      <c r="BL436" s="15" t="s">
        <v>188</v>
      </c>
      <c r="BM436" s="15" t="s">
        <v>189</v>
      </c>
      <c r="BN436" s="15" t="s">
        <v>190</v>
      </c>
      <c r="BO436" s="15" t="s">
        <v>191</v>
      </c>
      <c r="BP436" s="15" t="s">
        <v>467</v>
      </c>
      <c r="BQ436" s="15" t="s">
        <v>468</v>
      </c>
      <c r="BR436" s="15" t="s">
        <v>192</v>
      </c>
      <c r="BS436" s="15" t="s">
        <v>193</v>
      </c>
      <c r="BT436" s="15" t="s">
        <v>194</v>
      </c>
      <c r="BU436" s="15" t="s">
        <v>195</v>
      </c>
      <c r="BV436" s="15" t="s">
        <v>196</v>
      </c>
      <c r="BW436" s="15" t="s">
        <v>272</v>
      </c>
      <c r="CB436" s="15" t="s">
        <v>128</v>
      </c>
      <c r="CC436" s="15">
        <v>1</v>
      </c>
      <c r="CN436" s="15" t="s">
        <v>851</v>
      </c>
      <c r="CW436" s="10">
        <v>2</v>
      </c>
      <c r="CX436" s="15" t="s">
        <v>1576</v>
      </c>
    </row>
    <row r="437" spans="1:102" s="15" customFormat="1" x14ac:dyDescent="0.3">
      <c r="A437" s="11" t="s">
        <v>126</v>
      </c>
      <c r="B437" s="10" t="s">
        <v>1577</v>
      </c>
      <c r="C437" s="12" t="s">
        <v>1575</v>
      </c>
      <c r="D437" s="10">
        <v>12</v>
      </c>
      <c r="E437" s="13">
        <v>1000000</v>
      </c>
      <c r="F437" s="14" t="s">
        <v>857</v>
      </c>
      <c r="G437" s="14" t="s">
        <v>541</v>
      </c>
      <c r="H437" s="15" t="s">
        <v>1566</v>
      </c>
      <c r="I437" s="8"/>
      <c r="J437" s="10"/>
      <c r="AV437" s="15" t="s">
        <v>858</v>
      </c>
      <c r="AW437" s="15" t="s">
        <v>859</v>
      </c>
      <c r="AX437" s="15" t="s">
        <v>552</v>
      </c>
      <c r="AY437" s="15" t="s">
        <v>553</v>
      </c>
      <c r="AZ437" s="15" t="s">
        <v>554</v>
      </c>
      <c r="BF437" s="15" t="s">
        <v>553</v>
      </c>
      <c r="BG437" s="15" t="s">
        <v>554</v>
      </c>
      <c r="BH437" s="15" t="s">
        <v>184</v>
      </c>
      <c r="BI437" s="15" t="s">
        <v>185</v>
      </c>
      <c r="BJ437" s="15" t="s">
        <v>186</v>
      </c>
      <c r="BK437" s="15" t="s">
        <v>187</v>
      </c>
      <c r="BL437" s="15" t="s">
        <v>188</v>
      </c>
      <c r="BM437" s="15" t="s">
        <v>189</v>
      </c>
      <c r="BN437" s="15" t="s">
        <v>190</v>
      </c>
      <c r="BO437" s="15" t="s">
        <v>191</v>
      </c>
      <c r="BP437" s="15" t="s">
        <v>467</v>
      </c>
      <c r="BQ437" s="15" t="s">
        <v>468</v>
      </c>
      <c r="BR437" s="15" t="s">
        <v>192</v>
      </c>
      <c r="BS437" s="15" t="s">
        <v>193</v>
      </c>
      <c r="BT437" s="15" t="s">
        <v>194</v>
      </c>
      <c r="BU437" s="15" t="s">
        <v>195</v>
      </c>
      <c r="BV437" s="15" t="s">
        <v>196</v>
      </c>
      <c r="BW437" s="15" t="s">
        <v>272</v>
      </c>
      <c r="CB437" s="15" t="s">
        <v>129</v>
      </c>
      <c r="CC437" s="15">
        <v>1</v>
      </c>
      <c r="CN437" s="15" t="s">
        <v>1569</v>
      </c>
      <c r="CW437" s="10">
        <v>2</v>
      </c>
      <c r="CX437" s="15" t="s">
        <v>1578</v>
      </c>
    </row>
    <row r="438" spans="1:102" s="15" customFormat="1" x14ac:dyDescent="0.3">
      <c r="A438" s="11" t="s">
        <v>126</v>
      </c>
      <c r="B438" s="10" t="s">
        <v>1579</v>
      </c>
      <c r="C438" s="12" t="s">
        <v>1583</v>
      </c>
      <c r="D438" s="10">
        <v>12</v>
      </c>
      <c r="E438" s="13">
        <v>1000000</v>
      </c>
      <c r="F438" s="14" t="s">
        <v>269</v>
      </c>
      <c r="G438" s="14" t="s">
        <v>210</v>
      </c>
      <c r="H438" s="15" t="s">
        <v>254</v>
      </c>
      <c r="I438" s="8"/>
      <c r="J438" s="10"/>
      <c r="AV438" s="15" t="s">
        <v>212</v>
      </c>
      <c r="AW438" s="15" t="s">
        <v>213</v>
      </c>
      <c r="AX438" s="15" t="s">
        <v>832</v>
      </c>
      <c r="BH438" s="15" t="s">
        <v>184</v>
      </c>
      <c r="BI438" s="15" t="s">
        <v>185</v>
      </c>
      <c r="BJ438" s="15" t="s">
        <v>186</v>
      </c>
      <c r="BK438" s="15" t="s">
        <v>187</v>
      </c>
      <c r="BL438" s="15" t="s">
        <v>188</v>
      </c>
      <c r="BM438" s="15" t="s">
        <v>189</v>
      </c>
      <c r="BN438" s="15" t="s">
        <v>190</v>
      </c>
      <c r="BO438" s="15" t="s">
        <v>191</v>
      </c>
      <c r="BR438" s="15" t="s">
        <v>192</v>
      </c>
      <c r="BS438" s="15" t="s">
        <v>193</v>
      </c>
      <c r="BT438" s="15" t="s">
        <v>194</v>
      </c>
      <c r="BU438" s="15" t="s">
        <v>195</v>
      </c>
      <c r="BV438" s="15" t="s">
        <v>196</v>
      </c>
      <c r="BW438" s="15" t="s">
        <v>193</v>
      </c>
      <c r="CB438" s="15" t="s">
        <v>129</v>
      </c>
      <c r="CC438" s="15">
        <v>1</v>
      </c>
      <c r="CN438" s="15" t="s">
        <v>1580</v>
      </c>
      <c r="CW438" s="10">
        <v>2</v>
      </c>
      <c r="CX438" s="15" t="s">
        <v>1581</v>
      </c>
    </row>
    <row r="439" spans="1:102" s="15" customFormat="1" x14ac:dyDescent="0.3">
      <c r="A439" s="11" t="s">
        <v>126</v>
      </c>
      <c r="B439" s="10" t="s">
        <v>1582</v>
      </c>
      <c r="C439" s="12" t="s">
        <v>1583</v>
      </c>
      <c r="D439" s="10">
        <v>12</v>
      </c>
      <c r="E439" s="13">
        <v>1000000</v>
      </c>
      <c r="F439" s="14" t="s">
        <v>210</v>
      </c>
      <c r="G439" s="14" t="s">
        <v>210</v>
      </c>
      <c r="H439" s="15" t="s">
        <v>254</v>
      </c>
      <c r="I439" s="8"/>
      <c r="J439" s="10"/>
      <c r="AW439" s="15" t="s">
        <v>128</v>
      </c>
      <c r="AX439" s="15" t="s">
        <v>832</v>
      </c>
      <c r="BH439" s="15" t="s">
        <v>184</v>
      </c>
      <c r="BI439" s="15" t="s">
        <v>185</v>
      </c>
      <c r="BJ439" s="15" t="s">
        <v>186</v>
      </c>
      <c r="BK439" s="15" t="s">
        <v>187</v>
      </c>
      <c r="BL439" s="15" t="s">
        <v>188</v>
      </c>
      <c r="BM439" s="15" t="s">
        <v>189</v>
      </c>
      <c r="BN439" s="15" t="s">
        <v>190</v>
      </c>
      <c r="BO439" s="15" t="s">
        <v>191</v>
      </c>
      <c r="BR439" s="15" t="s">
        <v>192</v>
      </c>
      <c r="BS439" s="15" t="s">
        <v>193</v>
      </c>
      <c r="BT439" s="15" t="s">
        <v>194</v>
      </c>
      <c r="BU439" s="15" t="s">
        <v>195</v>
      </c>
      <c r="BV439" s="15" t="s">
        <v>196</v>
      </c>
      <c r="BW439" s="15" t="s">
        <v>193</v>
      </c>
      <c r="CB439" s="15" t="s">
        <v>128</v>
      </c>
      <c r="CC439" s="15">
        <v>1</v>
      </c>
      <c r="CN439" s="15" t="s">
        <v>963</v>
      </c>
      <c r="CW439" s="10">
        <v>2</v>
      </c>
      <c r="CX439" s="15" t="s">
        <v>1584</v>
      </c>
    </row>
    <row r="440" spans="1:102" s="15" customFormat="1" x14ac:dyDescent="0.3">
      <c r="A440" s="11" t="s">
        <v>126</v>
      </c>
      <c r="B440" s="10" t="s">
        <v>1585</v>
      </c>
      <c r="C440" s="12" t="s">
        <v>1588</v>
      </c>
      <c r="D440" s="10">
        <v>12</v>
      </c>
      <c r="E440" s="13">
        <v>1000000</v>
      </c>
      <c r="F440" s="14" t="s">
        <v>269</v>
      </c>
      <c r="G440" s="14" t="s">
        <v>210</v>
      </c>
      <c r="H440" s="15" t="s">
        <v>254</v>
      </c>
      <c r="I440" s="8"/>
      <c r="J440" s="10"/>
      <c r="AV440" s="15" t="s">
        <v>212</v>
      </c>
      <c r="AW440" s="15" t="s">
        <v>213</v>
      </c>
      <c r="AX440" s="15" t="s">
        <v>836</v>
      </c>
      <c r="BH440" s="15" t="s">
        <v>184</v>
      </c>
      <c r="BI440" s="15" t="s">
        <v>185</v>
      </c>
      <c r="BJ440" s="15" t="s">
        <v>186</v>
      </c>
      <c r="BK440" s="15" t="s">
        <v>187</v>
      </c>
      <c r="BL440" s="15" t="s">
        <v>188</v>
      </c>
      <c r="BM440" s="15" t="s">
        <v>189</v>
      </c>
      <c r="BN440" s="15" t="s">
        <v>190</v>
      </c>
      <c r="BO440" s="15" t="s">
        <v>191</v>
      </c>
      <c r="BR440" s="15" t="s">
        <v>192</v>
      </c>
      <c r="BS440" s="15" t="s">
        <v>193</v>
      </c>
      <c r="BT440" s="15" t="s">
        <v>194</v>
      </c>
      <c r="BU440" s="15" t="s">
        <v>195</v>
      </c>
      <c r="BV440" s="15" t="s">
        <v>196</v>
      </c>
      <c r="BW440" s="15" t="s">
        <v>193</v>
      </c>
      <c r="CB440" s="15" t="s">
        <v>129</v>
      </c>
      <c r="CC440" s="15">
        <v>1</v>
      </c>
      <c r="CN440" s="15" t="s">
        <v>1580</v>
      </c>
      <c r="CW440" s="10">
        <v>2</v>
      </c>
      <c r="CX440" s="15" t="s">
        <v>1586</v>
      </c>
    </row>
    <row r="441" spans="1:102" s="15" customFormat="1" x14ac:dyDescent="0.3">
      <c r="A441" s="11" t="s">
        <v>126</v>
      </c>
      <c r="B441" s="10" t="s">
        <v>1587</v>
      </c>
      <c r="C441" s="12" t="s">
        <v>1588</v>
      </c>
      <c r="D441" s="10">
        <v>12</v>
      </c>
      <c r="E441" s="13">
        <v>1000000</v>
      </c>
      <c r="F441" s="14" t="s">
        <v>210</v>
      </c>
      <c r="G441" s="14" t="s">
        <v>210</v>
      </c>
      <c r="H441" s="15" t="s">
        <v>254</v>
      </c>
      <c r="I441" s="8"/>
      <c r="J441" s="10"/>
      <c r="AW441" s="15" t="s">
        <v>128</v>
      </c>
      <c r="AX441" s="15" t="s">
        <v>836</v>
      </c>
      <c r="BH441" s="15" t="s">
        <v>184</v>
      </c>
      <c r="BI441" s="15" t="s">
        <v>185</v>
      </c>
      <c r="BJ441" s="15" t="s">
        <v>186</v>
      </c>
      <c r="BK441" s="15" t="s">
        <v>187</v>
      </c>
      <c r="BL441" s="15" t="s">
        <v>188</v>
      </c>
      <c r="BM441" s="15" t="s">
        <v>189</v>
      </c>
      <c r="BN441" s="15" t="s">
        <v>190</v>
      </c>
      <c r="BO441" s="15" t="s">
        <v>191</v>
      </c>
      <c r="BR441" s="15" t="s">
        <v>192</v>
      </c>
      <c r="BS441" s="15" t="s">
        <v>193</v>
      </c>
      <c r="BT441" s="15" t="s">
        <v>194</v>
      </c>
      <c r="BU441" s="15" t="s">
        <v>195</v>
      </c>
      <c r="BV441" s="15" t="s">
        <v>196</v>
      </c>
      <c r="BW441" s="15" t="s">
        <v>193</v>
      </c>
      <c r="CB441" s="15" t="s">
        <v>128</v>
      </c>
      <c r="CC441" s="15">
        <v>1</v>
      </c>
      <c r="CN441" s="15" t="s">
        <v>963</v>
      </c>
      <c r="CW441" s="10">
        <v>2</v>
      </c>
      <c r="CX441" s="15" t="s">
        <v>1589</v>
      </c>
    </row>
    <row r="442" spans="1:102" s="15" customFormat="1" x14ac:dyDescent="0.3">
      <c r="A442" s="11" t="s">
        <v>126</v>
      </c>
      <c r="B442" s="10" t="s">
        <v>1590</v>
      </c>
      <c r="C442" s="12" t="s">
        <v>1591</v>
      </c>
      <c r="D442" s="10">
        <v>12</v>
      </c>
      <c r="E442" s="13">
        <v>10000000</v>
      </c>
      <c r="F442" s="14" t="s">
        <v>210</v>
      </c>
      <c r="G442" s="14" t="s">
        <v>210</v>
      </c>
      <c r="H442" s="15" t="s">
        <v>254</v>
      </c>
      <c r="I442" s="8"/>
      <c r="J442" s="10"/>
      <c r="AW442" s="15" t="s">
        <v>128</v>
      </c>
      <c r="AX442" s="15" t="s">
        <v>502</v>
      </c>
      <c r="BH442" s="15" t="s">
        <v>184</v>
      </c>
      <c r="BI442" s="15" t="s">
        <v>185</v>
      </c>
      <c r="BJ442" s="15" t="s">
        <v>186</v>
      </c>
      <c r="BK442" s="15" t="s">
        <v>187</v>
      </c>
      <c r="BL442" s="15" t="s">
        <v>188</v>
      </c>
      <c r="BM442" s="15" t="s">
        <v>189</v>
      </c>
      <c r="BN442" s="15" t="s">
        <v>190</v>
      </c>
      <c r="BO442" s="15" t="s">
        <v>191</v>
      </c>
      <c r="BR442" s="15" t="s">
        <v>192</v>
      </c>
      <c r="BS442" s="15" t="s">
        <v>193</v>
      </c>
      <c r="BT442" s="15" t="s">
        <v>194</v>
      </c>
      <c r="BU442" s="15" t="s">
        <v>195</v>
      </c>
      <c r="BV442" s="15" t="s">
        <v>196</v>
      </c>
      <c r="BW442" s="15" t="s">
        <v>272</v>
      </c>
      <c r="CB442" s="15" t="s">
        <v>128</v>
      </c>
      <c r="CC442" s="15">
        <v>1</v>
      </c>
      <c r="CN442" s="15" t="s">
        <v>503</v>
      </c>
      <c r="CW442" s="10">
        <v>2</v>
      </c>
      <c r="CX442" s="15" t="s">
        <v>1592</v>
      </c>
    </row>
    <row r="443" spans="1:102" s="15" customFormat="1" x14ac:dyDescent="0.3">
      <c r="A443" s="11" t="s">
        <v>126</v>
      </c>
      <c r="B443" s="10" t="s">
        <v>1593</v>
      </c>
      <c r="C443" s="12" t="s">
        <v>1591</v>
      </c>
      <c r="D443" s="10">
        <v>12</v>
      </c>
      <c r="E443" s="13">
        <v>10000000</v>
      </c>
      <c r="F443" s="14" t="s">
        <v>269</v>
      </c>
      <c r="G443" s="14" t="s">
        <v>210</v>
      </c>
      <c r="H443" s="15" t="s">
        <v>254</v>
      </c>
      <c r="I443" s="8"/>
      <c r="J443" s="10"/>
      <c r="AV443" s="15" t="s">
        <v>212</v>
      </c>
      <c r="AW443" s="15" t="s">
        <v>213</v>
      </c>
      <c r="AX443" s="15" t="s">
        <v>502</v>
      </c>
      <c r="BH443" s="15" t="s">
        <v>184</v>
      </c>
      <c r="BI443" s="15" t="s">
        <v>185</v>
      </c>
      <c r="BJ443" s="15" t="s">
        <v>186</v>
      </c>
      <c r="BK443" s="15" t="s">
        <v>187</v>
      </c>
      <c r="BL443" s="15" t="s">
        <v>188</v>
      </c>
      <c r="BM443" s="15" t="s">
        <v>189</v>
      </c>
      <c r="BN443" s="15" t="s">
        <v>190</v>
      </c>
      <c r="BO443" s="15" t="s">
        <v>191</v>
      </c>
      <c r="BR443" s="15" t="s">
        <v>192</v>
      </c>
      <c r="BS443" s="15" t="s">
        <v>193</v>
      </c>
      <c r="BT443" s="15" t="s">
        <v>194</v>
      </c>
      <c r="BU443" s="15" t="s">
        <v>195</v>
      </c>
      <c r="BV443" s="15" t="s">
        <v>196</v>
      </c>
      <c r="BW443" s="15" t="s">
        <v>272</v>
      </c>
      <c r="CB443" s="15" t="s">
        <v>129</v>
      </c>
      <c r="CC443" s="15">
        <v>1</v>
      </c>
      <c r="CN443" s="15" t="s">
        <v>854</v>
      </c>
      <c r="CW443" s="10">
        <v>2</v>
      </c>
      <c r="CX443" s="15" t="s">
        <v>1594</v>
      </c>
    </row>
    <row r="444" spans="1:102" s="15" customFormat="1" x14ac:dyDescent="0.3">
      <c r="A444" s="11" t="s">
        <v>126</v>
      </c>
      <c r="B444" s="10" t="s">
        <v>1595</v>
      </c>
      <c r="C444" s="12" t="s">
        <v>1596</v>
      </c>
      <c r="D444" s="10">
        <v>12</v>
      </c>
      <c r="E444" s="13">
        <v>1000000</v>
      </c>
      <c r="F444" s="14" t="s">
        <v>210</v>
      </c>
      <c r="G444" s="14" t="s">
        <v>210</v>
      </c>
      <c r="H444" s="15" t="s">
        <v>270</v>
      </c>
      <c r="I444" s="8"/>
      <c r="J444" s="10"/>
      <c r="AW444" s="15" t="s">
        <v>128</v>
      </c>
      <c r="AX444" s="15" t="s">
        <v>1544</v>
      </c>
      <c r="BH444" s="15" t="s">
        <v>184</v>
      </c>
      <c r="BI444" s="15" t="s">
        <v>185</v>
      </c>
      <c r="BJ444" s="15" t="s">
        <v>186</v>
      </c>
      <c r="BK444" s="15" t="s">
        <v>187</v>
      </c>
      <c r="BL444" s="15" t="s">
        <v>188</v>
      </c>
      <c r="BM444" s="15" t="s">
        <v>189</v>
      </c>
      <c r="BN444" s="15" t="s">
        <v>190</v>
      </c>
      <c r="BO444" s="15" t="s">
        <v>191</v>
      </c>
      <c r="BR444" s="15" t="s">
        <v>192</v>
      </c>
      <c r="BS444" s="15" t="s">
        <v>193</v>
      </c>
      <c r="BT444" s="15" t="s">
        <v>194</v>
      </c>
      <c r="BU444" s="15" t="s">
        <v>195</v>
      </c>
      <c r="BV444" s="15" t="s">
        <v>196</v>
      </c>
      <c r="BW444" s="15" t="s">
        <v>272</v>
      </c>
      <c r="CB444" s="15" t="s">
        <v>128</v>
      </c>
      <c r="CC444" s="15">
        <v>1</v>
      </c>
      <c r="CN444" s="15" t="s">
        <v>273</v>
      </c>
      <c r="CW444" s="10">
        <v>2</v>
      </c>
      <c r="CX444" s="15" t="s">
        <v>1597</v>
      </c>
    </row>
    <row r="445" spans="1:102" s="15" customFormat="1" x14ac:dyDescent="0.3">
      <c r="A445" s="11" t="s">
        <v>126</v>
      </c>
      <c r="B445" s="10" t="s">
        <v>1598</v>
      </c>
      <c r="C445" s="12" t="s">
        <v>1599</v>
      </c>
      <c r="D445" s="10">
        <v>12</v>
      </c>
      <c r="E445" s="13">
        <v>1000000</v>
      </c>
      <c r="F445" s="14" t="s">
        <v>210</v>
      </c>
      <c r="G445" s="14" t="s">
        <v>210</v>
      </c>
      <c r="H445" s="15" t="s">
        <v>270</v>
      </c>
      <c r="I445" s="8"/>
      <c r="J445" s="10"/>
      <c r="AW445" s="15" t="s">
        <v>128</v>
      </c>
      <c r="AX445" s="15" t="s">
        <v>1544</v>
      </c>
      <c r="BH445" s="15" t="s">
        <v>184</v>
      </c>
      <c r="BI445" s="15" t="s">
        <v>185</v>
      </c>
      <c r="BJ445" s="15" t="s">
        <v>186</v>
      </c>
      <c r="BK445" s="15" t="s">
        <v>187</v>
      </c>
      <c r="BL445" s="15" t="s">
        <v>188</v>
      </c>
      <c r="BM445" s="15" t="s">
        <v>189</v>
      </c>
      <c r="BN445" s="15" t="s">
        <v>190</v>
      </c>
      <c r="BO445" s="15" t="s">
        <v>191</v>
      </c>
      <c r="BR445" s="15" t="s">
        <v>192</v>
      </c>
      <c r="BS445" s="15" t="s">
        <v>193</v>
      </c>
      <c r="BT445" s="15" t="s">
        <v>194</v>
      </c>
      <c r="BU445" s="15" t="s">
        <v>195</v>
      </c>
      <c r="BV445" s="15" t="s">
        <v>196</v>
      </c>
      <c r="BW445" s="15" t="s">
        <v>272</v>
      </c>
      <c r="CB445" s="15" t="s">
        <v>128</v>
      </c>
      <c r="CC445" s="15">
        <v>1</v>
      </c>
      <c r="CN445" s="15" t="s">
        <v>273</v>
      </c>
      <c r="CW445" s="10">
        <v>2</v>
      </c>
      <c r="CX445" s="15" t="s">
        <v>1600</v>
      </c>
    </row>
    <row r="446" spans="1:102" s="15" customFormat="1" x14ac:dyDescent="0.3">
      <c r="A446" s="11" t="s">
        <v>126</v>
      </c>
      <c r="B446" s="10" t="s">
        <v>1601</v>
      </c>
      <c r="C446" s="12" t="s">
        <v>1602</v>
      </c>
      <c r="D446" s="10">
        <v>12</v>
      </c>
      <c r="E446" s="13">
        <v>100000</v>
      </c>
      <c r="F446" s="14" t="s">
        <v>244</v>
      </c>
      <c r="G446" s="14" t="s">
        <v>244</v>
      </c>
      <c r="H446" s="15" t="s">
        <v>1254</v>
      </c>
      <c r="I446" s="8" t="s">
        <v>1255</v>
      </c>
      <c r="J446" s="10" t="s">
        <v>1256</v>
      </c>
      <c r="AW446" s="15" t="s">
        <v>128</v>
      </c>
      <c r="AX446" s="15" t="s">
        <v>1257</v>
      </c>
      <c r="AY446" s="15" t="s">
        <v>1258</v>
      </c>
      <c r="AZ446" s="15" t="s">
        <v>1259</v>
      </c>
      <c r="BH446" s="15" t="s">
        <v>184</v>
      </c>
      <c r="BI446" s="15" t="s">
        <v>185</v>
      </c>
      <c r="BJ446" s="15" t="s">
        <v>186</v>
      </c>
      <c r="BK446" s="15" t="s">
        <v>187</v>
      </c>
      <c r="BL446" s="15" t="s">
        <v>188</v>
      </c>
      <c r="BM446" s="15" t="s">
        <v>189</v>
      </c>
      <c r="BN446" s="15" t="s">
        <v>190</v>
      </c>
      <c r="BO446" s="15" t="s">
        <v>191</v>
      </c>
      <c r="BR446" s="15" t="s">
        <v>192</v>
      </c>
      <c r="BS446" s="15" t="s">
        <v>193</v>
      </c>
      <c r="BT446" s="15" t="s">
        <v>194</v>
      </c>
      <c r="BU446" s="15" t="s">
        <v>195</v>
      </c>
      <c r="BV446" s="15" t="s">
        <v>196</v>
      </c>
      <c r="BW446" s="15" t="s">
        <v>272</v>
      </c>
      <c r="CB446" s="15" t="s">
        <v>128</v>
      </c>
      <c r="CC446" s="15">
        <v>1</v>
      </c>
      <c r="CN446" s="15" t="s">
        <v>198</v>
      </c>
      <c r="CW446" s="10">
        <v>2</v>
      </c>
      <c r="CX446" s="15" t="s">
        <v>1603</v>
      </c>
    </row>
    <row r="447" spans="1:102" s="15" customFormat="1" x14ac:dyDescent="0.3">
      <c r="A447" s="11" t="s">
        <v>126</v>
      </c>
      <c r="B447" s="10" t="s">
        <v>1604</v>
      </c>
      <c r="C447" s="12" t="s">
        <v>1605</v>
      </c>
      <c r="D447" s="10">
        <v>12</v>
      </c>
      <c r="E447" s="13">
        <v>100000</v>
      </c>
      <c r="F447" s="14" t="s">
        <v>244</v>
      </c>
      <c r="G447" s="14" t="s">
        <v>244</v>
      </c>
      <c r="H447" s="15" t="s">
        <v>1254</v>
      </c>
      <c r="I447" s="8" t="s">
        <v>1255</v>
      </c>
      <c r="J447" s="10" t="s">
        <v>1256</v>
      </c>
      <c r="AW447" s="15" t="s">
        <v>128</v>
      </c>
      <c r="AX447" s="15" t="s">
        <v>1257</v>
      </c>
      <c r="AY447" s="15" t="s">
        <v>1258</v>
      </c>
      <c r="AZ447" s="15" t="s">
        <v>1259</v>
      </c>
      <c r="BH447" s="15" t="s">
        <v>184</v>
      </c>
      <c r="BI447" s="15" t="s">
        <v>185</v>
      </c>
      <c r="BJ447" s="15" t="s">
        <v>186</v>
      </c>
      <c r="BK447" s="15" t="s">
        <v>187</v>
      </c>
      <c r="BL447" s="15" t="s">
        <v>188</v>
      </c>
      <c r="BM447" s="15" t="s">
        <v>189</v>
      </c>
      <c r="BN447" s="15" t="s">
        <v>190</v>
      </c>
      <c r="BO447" s="15" t="s">
        <v>191</v>
      </c>
      <c r="BR447" s="15" t="s">
        <v>192</v>
      </c>
      <c r="BS447" s="15" t="s">
        <v>193</v>
      </c>
      <c r="BT447" s="15" t="s">
        <v>194</v>
      </c>
      <c r="BU447" s="15" t="s">
        <v>195</v>
      </c>
      <c r="BV447" s="15" t="s">
        <v>196</v>
      </c>
      <c r="BW447" s="15" t="s">
        <v>272</v>
      </c>
      <c r="CB447" s="15" t="s">
        <v>128</v>
      </c>
      <c r="CC447" s="15">
        <v>1</v>
      </c>
      <c r="CN447" s="15" t="s">
        <v>198</v>
      </c>
      <c r="CW447" s="10">
        <v>2</v>
      </c>
      <c r="CX447" s="15" t="s">
        <v>1606</v>
      </c>
    </row>
    <row r="448" spans="1:102" s="15" customFormat="1" x14ac:dyDescent="0.3">
      <c r="A448" s="11" t="s">
        <v>126</v>
      </c>
      <c r="B448" s="10" t="s">
        <v>1607</v>
      </c>
      <c r="C448" s="12" t="s">
        <v>1608</v>
      </c>
      <c r="D448" s="10">
        <v>12</v>
      </c>
      <c r="E448" s="13">
        <v>100000</v>
      </c>
      <c r="F448" s="14" t="s">
        <v>244</v>
      </c>
      <c r="G448" s="14" t="s">
        <v>244</v>
      </c>
      <c r="H448" s="15" t="s">
        <v>1609</v>
      </c>
      <c r="I448" s="8"/>
      <c r="J448" s="10"/>
      <c r="AW448" s="15" t="s">
        <v>128</v>
      </c>
      <c r="AX448" s="15" t="s">
        <v>1263</v>
      </c>
      <c r="AY448" s="15" t="s">
        <v>1264</v>
      </c>
      <c r="AZ448" s="15" t="s">
        <v>1265</v>
      </c>
      <c r="BA448" s="15" t="s">
        <v>1266</v>
      </c>
      <c r="BB448" s="15" t="s">
        <v>1267</v>
      </c>
      <c r="BC448" s="15" t="s">
        <v>1268</v>
      </c>
      <c r="BD448" s="15" t="s">
        <v>1269</v>
      </c>
      <c r="BE448" s="15" t="s">
        <v>1270</v>
      </c>
      <c r="BF448" s="15" t="s">
        <v>1271</v>
      </c>
      <c r="BH448" s="15" t="s">
        <v>184</v>
      </c>
      <c r="BI448" s="15" t="s">
        <v>185</v>
      </c>
      <c r="BJ448" s="15" t="s">
        <v>186</v>
      </c>
      <c r="BK448" s="15" t="s">
        <v>187</v>
      </c>
      <c r="BL448" s="15" t="s">
        <v>188</v>
      </c>
      <c r="BM448" s="15" t="s">
        <v>189</v>
      </c>
      <c r="BN448" s="15" t="s">
        <v>190</v>
      </c>
      <c r="BO448" s="15" t="s">
        <v>191</v>
      </c>
      <c r="BR448" s="15" t="s">
        <v>192</v>
      </c>
      <c r="BS448" s="15" t="s">
        <v>193</v>
      </c>
      <c r="BT448" s="15" t="s">
        <v>194</v>
      </c>
      <c r="BU448" s="15" t="s">
        <v>195</v>
      </c>
      <c r="BV448" s="15" t="s">
        <v>196</v>
      </c>
      <c r="BW448" s="15" t="s">
        <v>272</v>
      </c>
      <c r="CB448" s="15" t="s">
        <v>128</v>
      </c>
      <c r="CC448" s="15">
        <v>1</v>
      </c>
      <c r="CN448" s="15" t="s">
        <v>273</v>
      </c>
      <c r="CW448" s="10">
        <v>2</v>
      </c>
      <c r="CX448" s="15" t="s">
        <v>1610</v>
      </c>
    </row>
    <row r="449" spans="1:102" s="15" customFormat="1" x14ac:dyDescent="0.3">
      <c r="A449" s="11" t="s">
        <v>126</v>
      </c>
      <c r="B449" s="10" t="s">
        <v>1611</v>
      </c>
      <c r="C449" s="12" t="s">
        <v>1612</v>
      </c>
      <c r="D449" s="10">
        <v>12</v>
      </c>
      <c r="E449" s="13">
        <v>100000</v>
      </c>
      <c r="F449" s="14" t="s">
        <v>244</v>
      </c>
      <c r="G449" s="14" t="s">
        <v>244</v>
      </c>
      <c r="H449" s="15" t="s">
        <v>1609</v>
      </c>
      <c r="I449" s="8"/>
      <c r="J449" s="10"/>
      <c r="AW449" s="15" t="s">
        <v>128</v>
      </c>
      <c r="AX449" s="15" t="s">
        <v>1263</v>
      </c>
      <c r="AY449" s="15" t="s">
        <v>1264</v>
      </c>
      <c r="AZ449" s="15" t="s">
        <v>1265</v>
      </c>
      <c r="BA449" s="15" t="s">
        <v>1266</v>
      </c>
      <c r="BB449" s="15" t="s">
        <v>1267</v>
      </c>
      <c r="BC449" s="15" t="s">
        <v>1268</v>
      </c>
      <c r="BD449" s="15" t="s">
        <v>1269</v>
      </c>
      <c r="BE449" s="15" t="s">
        <v>1270</v>
      </c>
      <c r="BF449" s="15" t="s">
        <v>1271</v>
      </c>
      <c r="BH449" s="15" t="s">
        <v>184</v>
      </c>
      <c r="BI449" s="15" t="s">
        <v>185</v>
      </c>
      <c r="BJ449" s="15" t="s">
        <v>186</v>
      </c>
      <c r="BK449" s="15" t="s">
        <v>187</v>
      </c>
      <c r="BL449" s="15" t="s">
        <v>188</v>
      </c>
      <c r="BM449" s="15" t="s">
        <v>189</v>
      </c>
      <c r="BN449" s="15" t="s">
        <v>190</v>
      </c>
      <c r="BO449" s="15" t="s">
        <v>191</v>
      </c>
      <c r="BR449" s="15" t="s">
        <v>192</v>
      </c>
      <c r="BS449" s="15" t="s">
        <v>193</v>
      </c>
      <c r="BT449" s="15" t="s">
        <v>194</v>
      </c>
      <c r="BU449" s="15" t="s">
        <v>195</v>
      </c>
      <c r="BV449" s="15" t="s">
        <v>196</v>
      </c>
      <c r="BW449" s="15" t="s">
        <v>272</v>
      </c>
      <c r="CB449" s="15" t="s">
        <v>128</v>
      </c>
      <c r="CC449" s="15">
        <v>1</v>
      </c>
      <c r="CN449" s="15" t="s">
        <v>273</v>
      </c>
      <c r="CW449" s="10">
        <v>2</v>
      </c>
      <c r="CX449" s="15" t="s">
        <v>1613</v>
      </c>
    </row>
    <row r="450" spans="1:102" s="15" customFormat="1" x14ac:dyDescent="0.3">
      <c r="A450" s="11" t="s">
        <v>126</v>
      </c>
      <c r="B450" s="10" t="s">
        <v>1614</v>
      </c>
      <c r="C450" s="12" t="s">
        <v>3935</v>
      </c>
      <c r="D450" s="10">
        <v>12</v>
      </c>
      <c r="E450" s="13">
        <v>10000</v>
      </c>
      <c r="F450" s="14" t="s">
        <v>243</v>
      </c>
      <c r="G450" s="14" t="s">
        <v>244</v>
      </c>
      <c r="H450" s="15" t="s">
        <v>1615</v>
      </c>
      <c r="I450" s="8"/>
      <c r="J450" s="10"/>
      <c r="AV450" s="15" t="s">
        <v>181</v>
      </c>
      <c r="AW450" s="15" t="s">
        <v>182</v>
      </c>
      <c r="AX450" s="15" t="s">
        <v>1616</v>
      </c>
      <c r="AY450" s="15" t="s">
        <v>1617</v>
      </c>
      <c r="AZ450" s="15" t="s">
        <v>1618</v>
      </c>
      <c r="BA450" s="15" t="s">
        <v>1619</v>
      </c>
      <c r="BB450" s="15" t="s">
        <v>1620</v>
      </c>
      <c r="BC450" s="15" t="s">
        <v>1621</v>
      </c>
      <c r="BD450" s="15" t="s">
        <v>1622</v>
      </c>
      <c r="BH450" s="15" t="s">
        <v>184</v>
      </c>
      <c r="BI450" s="15" t="s">
        <v>185</v>
      </c>
      <c r="BJ450" s="15" t="s">
        <v>186</v>
      </c>
      <c r="BK450" s="15" t="s">
        <v>187</v>
      </c>
      <c r="BL450" s="15" t="s">
        <v>188</v>
      </c>
      <c r="BM450" s="15" t="s">
        <v>189</v>
      </c>
      <c r="BN450" s="15" t="s">
        <v>190</v>
      </c>
      <c r="BO450" s="15" t="s">
        <v>191</v>
      </c>
      <c r="BR450" s="15" t="s">
        <v>192</v>
      </c>
      <c r="BS450" s="15" t="s">
        <v>193</v>
      </c>
      <c r="BT450" s="15" t="s">
        <v>194</v>
      </c>
      <c r="BU450" s="15" t="s">
        <v>195</v>
      </c>
      <c r="BV450" s="15" t="s">
        <v>196</v>
      </c>
      <c r="BW450" s="15" t="s">
        <v>460</v>
      </c>
      <c r="CB450" s="15" t="s">
        <v>129</v>
      </c>
      <c r="CC450" s="15">
        <v>1</v>
      </c>
      <c r="CN450" s="15" t="s">
        <v>198</v>
      </c>
      <c r="CW450" s="10">
        <v>2</v>
      </c>
      <c r="CX450" s="15" t="s">
        <v>1623</v>
      </c>
    </row>
    <row r="451" spans="1:102" s="15" customFormat="1" x14ac:dyDescent="0.3">
      <c r="A451" s="11" t="s">
        <v>126</v>
      </c>
      <c r="B451" s="10" t="s">
        <v>1624</v>
      </c>
      <c r="C451" s="12" t="s">
        <v>3936</v>
      </c>
      <c r="D451" s="10">
        <v>12</v>
      </c>
      <c r="E451" s="13">
        <v>100000</v>
      </c>
      <c r="F451" s="14" t="s">
        <v>243</v>
      </c>
      <c r="G451" s="14" t="s">
        <v>244</v>
      </c>
      <c r="H451" s="15" t="s">
        <v>1615</v>
      </c>
      <c r="I451" s="8"/>
      <c r="J451" s="10"/>
      <c r="AV451" s="15" t="s">
        <v>181</v>
      </c>
      <c r="AW451" s="15" t="s">
        <v>182</v>
      </c>
      <c r="AX451" s="15" t="s">
        <v>1625</v>
      </c>
      <c r="AY451" s="15" t="s">
        <v>1626</v>
      </c>
      <c r="AZ451" s="15" t="s">
        <v>1627</v>
      </c>
      <c r="BA451" s="15" t="s">
        <v>1628</v>
      </c>
      <c r="BB451" s="15" t="s">
        <v>1629</v>
      </c>
      <c r="BC451" s="15" t="s">
        <v>1630</v>
      </c>
      <c r="BD451" s="15" t="s">
        <v>1631</v>
      </c>
      <c r="BH451" s="15" t="s">
        <v>184</v>
      </c>
      <c r="BI451" s="15" t="s">
        <v>185</v>
      </c>
      <c r="BJ451" s="15" t="s">
        <v>186</v>
      </c>
      <c r="BK451" s="15" t="s">
        <v>187</v>
      </c>
      <c r="BL451" s="15" t="s">
        <v>188</v>
      </c>
      <c r="BM451" s="15" t="s">
        <v>189</v>
      </c>
      <c r="BN451" s="15" t="s">
        <v>190</v>
      </c>
      <c r="BO451" s="15" t="s">
        <v>191</v>
      </c>
      <c r="BR451" s="15" t="s">
        <v>192</v>
      </c>
      <c r="BS451" s="15" t="s">
        <v>193</v>
      </c>
      <c r="BT451" s="15" t="s">
        <v>194</v>
      </c>
      <c r="BU451" s="15" t="s">
        <v>195</v>
      </c>
      <c r="BV451" s="15" t="s">
        <v>196</v>
      </c>
      <c r="BW451" s="15" t="s">
        <v>460</v>
      </c>
      <c r="CB451" s="15" t="s">
        <v>129</v>
      </c>
      <c r="CC451" s="15">
        <v>1</v>
      </c>
      <c r="CN451" s="15" t="s">
        <v>198</v>
      </c>
      <c r="CW451" s="10">
        <v>2</v>
      </c>
      <c r="CX451" s="15" t="s">
        <v>1632</v>
      </c>
    </row>
    <row r="452" spans="1:102" s="15" customFormat="1" x14ac:dyDescent="0.3">
      <c r="A452" s="11" t="s">
        <v>126</v>
      </c>
      <c r="B452" s="10" t="s">
        <v>1633</v>
      </c>
      <c r="C452" s="12" t="s">
        <v>3937</v>
      </c>
      <c r="D452" s="10">
        <v>12</v>
      </c>
      <c r="E452" s="13">
        <v>1000000</v>
      </c>
      <c r="F452" s="14" t="s">
        <v>243</v>
      </c>
      <c r="G452" s="14" t="s">
        <v>244</v>
      </c>
      <c r="H452" s="15" t="s">
        <v>1615</v>
      </c>
      <c r="I452" s="8"/>
      <c r="J452" s="10"/>
      <c r="AV452" s="15" t="s">
        <v>181</v>
      </c>
      <c r="AW452" s="15" t="s">
        <v>182</v>
      </c>
      <c r="AX452" s="15" t="s">
        <v>1634</v>
      </c>
      <c r="AY452" s="15" t="s">
        <v>1635</v>
      </c>
      <c r="AZ452" s="15" t="s">
        <v>1636</v>
      </c>
      <c r="BA452" s="15" t="s">
        <v>1637</v>
      </c>
      <c r="BB452" s="15" t="s">
        <v>1638</v>
      </c>
      <c r="BC452" s="15" t="s">
        <v>1639</v>
      </c>
      <c r="BD452" s="15" t="s">
        <v>1640</v>
      </c>
      <c r="BH452" s="15" t="s">
        <v>184</v>
      </c>
      <c r="BI452" s="15" t="s">
        <v>185</v>
      </c>
      <c r="BJ452" s="15" t="s">
        <v>186</v>
      </c>
      <c r="BK452" s="15" t="s">
        <v>187</v>
      </c>
      <c r="BL452" s="15" t="s">
        <v>188</v>
      </c>
      <c r="BM452" s="15" t="s">
        <v>189</v>
      </c>
      <c r="BN452" s="15" t="s">
        <v>190</v>
      </c>
      <c r="BO452" s="15" t="s">
        <v>191</v>
      </c>
      <c r="BR452" s="15" t="s">
        <v>192</v>
      </c>
      <c r="BS452" s="15" t="s">
        <v>193</v>
      </c>
      <c r="BT452" s="15" t="s">
        <v>194</v>
      </c>
      <c r="BU452" s="15" t="s">
        <v>195</v>
      </c>
      <c r="BV452" s="15" t="s">
        <v>196</v>
      </c>
      <c r="BW452" s="15" t="s">
        <v>460</v>
      </c>
      <c r="CB452" s="15" t="s">
        <v>129</v>
      </c>
      <c r="CC452" s="15">
        <v>1</v>
      </c>
      <c r="CN452" s="15" t="s">
        <v>198</v>
      </c>
      <c r="CW452" s="10">
        <v>2</v>
      </c>
      <c r="CX452" s="15" t="s">
        <v>1641</v>
      </c>
    </row>
    <row r="453" spans="1:102" s="15" customFormat="1" x14ac:dyDescent="0.3">
      <c r="A453" s="11" t="s">
        <v>126</v>
      </c>
      <c r="B453" s="10" t="s">
        <v>1642</v>
      </c>
      <c r="C453" s="12" t="s">
        <v>1664</v>
      </c>
      <c r="D453" s="10">
        <v>12</v>
      </c>
      <c r="E453" s="13">
        <v>1000000</v>
      </c>
      <c r="F453" s="14" t="s">
        <v>269</v>
      </c>
      <c r="G453" s="14" t="s">
        <v>210</v>
      </c>
      <c r="H453" s="15" t="s">
        <v>254</v>
      </c>
      <c r="I453" s="8"/>
      <c r="J453" s="10"/>
      <c r="AV453" s="15" t="s">
        <v>212</v>
      </c>
      <c r="AW453" s="15" t="s">
        <v>213</v>
      </c>
      <c r="AX453" s="15" t="s">
        <v>1393</v>
      </c>
      <c r="BH453" s="15" t="s">
        <v>184</v>
      </c>
      <c r="BI453" s="15" t="s">
        <v>185</v>
      </c>
      <c r="BJ453" s="15" t="s">
        <v>186</v>
      </c>
      <c r="BK453" s="15" t="s">
        <v>187</v>
      </c>
      <c r="BL453" s="15" t="s">
        <v>188</v>
      </c>
      <c r="BM453" s="15" t="s">
        <v>189</v>
      </c>
      <c r="BN453" s="15" t="s">
        <v>190</v>
      </c>
      <c r="BO453" s="15" t="s">
        <v>191</v>
      </c>
      <c r="BR453" s="15" t="s">
        <v>192</v>
      </c>
      <c r="BS453" s="15" t="s">
        <v>193</v>
      </c>
      <c r="BT453" s="15" t="s">
        <v>194</v>
      </c>
      <c r="BU453" s="15" t="s">
        <v>195</v>
      </c>
      <c r="BV453" s="15" t="s">
        <v>196</v>
      </c>
      <c r="BW453" s="15" t="s">
        <v>193</v>
      </c>
      <c r="CB453" s="15" t="s">
        <v>129</v>
      </c>
      <c r="CC453" s="15">
        <v>1</v>
      </c>
      <c r="CN453" s="15" t="s">
        <v>1643</v>
      </c>
      <c r="CW453" s="10">
        <v>2</v>
      </c>
      <c r="CX453" s="15" t="s">
        <v>1644</v>
      </c>
    </row>
    <row r="454" spans="1:102" s="15" customFormat="1" x14ac:dyDescent="0.3">
      <c r="A454" s="11" t="s">
        <v>126</v>
      </c>
      <c r="B454" s="10" t="s">
        <v>1645</v>
      </c>
      <c r="C454" s="12" t="s">
        <v>1667</v>
      </c>
      <c r="D454" s="10">
        <v>12</v>
      </c>
      <c r="E454" s="13">
        <v>1000000</v>
      </c>
      <c r="F454" s="14" t="s">
        <v>269</v>
      </c>
      <c r="G454" s="14" t="s">
        <v>210</v>
      </c>
      <c r="H454" s="15" t="s">
        <v>254</v>
      </c>
      <c r="I454" s="8"/>
      <c r="J454" s="10"/>
      <c r="AV454" s="15" t="s">
        <v>212</v>
      </c>
      <c r="AW454" s="15" t="s">
        <v>213</v>
      </c>
      <c r="AX454" s="15" t="s">
        <v>1396</v>
      </c>
      <c r="BH454" s="15" t="s">
        <v>184</v>
      </c>
      <c r="BI454" s="15" t="s">
        <v>185</v>
      </c>
      <c r="BJ454" s="15" t="s">
        <v>186</v>
      </c>
      <c r="BK454" s="15" t="s">
        <v>187</v>
      </c>
      <c r="BL454" s="15" t="s">
        <v>188</v>
      </c>
      <c r="BM454" s="15" t="s">
        <v>189</v>
      </c>
      <c r="BN454" s="15" t="s">
        <v>190</v>
      </c>
      <c r="BO454" s="15" t="s">
        <v>191</v>
      </c>
      <c r="BR454" s="15" t="s">
        <v>192</v>
      </c>
      <c r="BS454" s="15" t="s">
        <v>193</v>
      </c>
      <c r="BT454" s="15" t="s">
        <v>194</v>
      </c>
      <c r="BU454" s="15" t="s">
        <v>195</v>
      </c>
      <c r="BV454" s="15" t="s">
        <v>196</v>
      </c>
      <c r="BW454" s="15" t="s">
        <v>193</v>
      </c>
      <c r="CB454" s="15" t="s">
        <v>129</v>
      </c>
      <c r="CC454" s="15">
        <v>1</v>
      </c>
      <c r="CN454" s="15" t="s">
        <v>1643</v>
      </c>
      <c r="CW454" s="10">
        <v>2</v>
      </c>
      <c r="CX454" s="15" t="s">
        <v>1646</v>
      </c>
    </row>
    <row r="455" spans="1:102" s="15" customFormat="1" x14ac:dyDescent="0.3">
      <c r="A455" s="11" t="s">
        <v>126</v>
      </c>
      <c r="B455" s="10" t="s">
        <v>1647</v>
      </c>
      <c r="C455" s="12" t="s">
        <v>1670</v>
      </c>
      <c r="D455" s="10">
        <v>12</v>
      </c>
      <c r="E455" s="13">
        <v>1000000</v>
      </c>
      <c r="F455" s="14" t="s">
        <v>269</v>
      </c>
      <c r="G455" s="14" t="s">
        <v>210</v>
      </c>
      <c r="H455" s="15" t="s">
        <v>254</v>
      </c>
      <c r="I455" s="8"/>
      <c r="J455" s="10"/>
      <c r="AV455" s="15" t="s">
        <v>212</v>
      </c>
      <c r="AW455" s="15" t="s">
        <v>213</v>
      </c>
      <c r="AX455" s="15" t="s">
        <v>1399</v>
      </c>
      <c r="BH455" s="15" t="s">
        <v>184</v>
      </c>
      <c r="BI455" s="15" t="s">
        <v>185</v>
      </c>
      <c r="BJ455" s="15" t="s">
        <v>186</v>
      </c>
      <c r="BK455" s="15" t="s">
        <v>187</v>
      </c>
      <c r="BL455" s="15" t="s">
        <v>188</v>
      </c>
      <c r="BM455" s="15" t="s">
        <v>189</v>
      </c>
      <c r="BN455" s="15" t="s">
        <v>190</v>
      </c>
      <c r="BO455" s="15" t="s">
        <v>191</v>
      </c>
      <c r="BR455" s="15" t="s">
        <v>192</v>
      </c>
      <c r="BS455" s="15" t="s">
        <v>193</v>
      </c>
      <c r="BT455" s="15" t="s">
        <v>194</v>
      </c>
      <c r="BU455" s="15" t="s">
        <v>195</v>
      </c>
      <c r="BV455" s="15" t="s">
        <v>196</v>
      </c>
      <c r="BW455" s="15" t="s">
        <v>193</v>
      </c>
      <c r="CB455" s="15" t="s">
        <v>129</v>
      </c>
      <c r="CC455" s="15">
        <v>1</v>
      </c>
      <c r="CN455" s="15" t="s">
        <v>1643</v>
      </c>
      <c r="CW455" s="10">
        <v>2</v>
      </c>
      <c r="CX455" s="15" t="s">
        <v>1648</v>
      </c>
    </row>
    <row r="456" spans="1:102" s="15" customFormat="1" x14ac:dyDescent="0.3">
      <c r="A456" s="11" t="s">
        <v>126</v>
      </c>
      <c r="B456" s="10" t="s">
        <v>1649</v>
      </c>
      <c r="C456" s="12" t="s">
        <v>1673</v>
      </c>
      <c r="D456" s="10">
        <v>12</v>
      </c>
      <c r="E456" s="13">
        <v>1000000</v>
      </c>
      <c r="F456" s="14" t="s">
        <v>269</v>
      </c>
      <c r="G456" s="14" t="s">
        <v>210</v>
      </c>
      <c r="H456" s="15" t="s">
        <v>254</v>
      </c>
      <c r="I456" s="8"/>
      <c r="J456" s="10"/>
      <c r="AV456" s="15" t="s">
        <v>212</v>
      </c>
      <c r="AW456" s="15" t="s">
        <v>213</v>
      </c>
      <c r="AX456" s="15" t="s">
        <v>1402</v>
      </c>
      <c r="BH456" s="15" t="s">
        <v>184</v>
      </c>
      <c r="BI456" s="15" t="s">
        <v>185</v>
      </c>
      <c r="BJ456" s="15" t="s">
        <v>186</v>
      </c>
      <c r="BK456" s="15" t="s">
        <v>187</v>
      </c>
      <c r="BL456" s="15" t="s">
        <v>188</v>
      </c>
      <c r="BM456" s="15" t="s">
        <v>189</v>
      </c>
      <c r="BN456" s="15" t="s">
        <v>190</v>
      </c>
      <c r="BO456" s="15" t="s">
        <v>191</v>
      </c>
      <c r="BR456" s="15" t="s">
        <v>192</v>
      </c>
      <c r="BS456" s="15" t="s">
        <v>193</v>
      </c>
      <c r="BT456" s="15" t="s">
        <v>194</v>
      </c>
      <c r="BU456" s="15" t="s">
        <v>195</v>
      </c>
      <c r="BV456" s="15" t="s">
        <v>196</v>
      </c>
      <c r="BW456" s="15" t="s">
        <v>193</v>
      </c>
      <c r="CB456" s="15" t="s">
        <v>129</v>
      </c>
      <c r="CC456" s="15">
        <v>1</v>
      </c>
      <c r="CN456" s="15" t="s">
        <v>1643</v>
      </c>
      <c r="CW456" s="10">
        <v>2</v>
      </c>
      <c r="CX456" s="15" t="s">
        <v>1650</v>
      </c>
    </row>
    <row r="457" spans="1:102" s="15" customFormat="1" x14ac:dyDescent="0.3">
      <c r="A457" s="11" t="s">
        <v>126</v>
      </c>
      <c r="B457" s="10" t="s">
        <v>1651</v>
      </c>
      <c r="C457" s="12" t="s">
        <v>1676</v>
      </c>
      <c r="D457" s="10">
        <v>12</v>
      </c>
      <c r="E457" s="13">
        <v>1000000</v>
      </c>
      <c r="F457" s="14" t="s">
        <v>269</v>
      </c>
      <c r="G457" s="14" t="s">
        <v>210</v>
      </c>
      <c r="H457" s="15" t="s">
        <v>254</v>
      </c>
      <c r="I457" s="8"/>
      <c r="J457" s="10"/>
      <c r="AV457" s="15" t="s">
        <v>212</v>
      </c>
      <c r="AW457" s="15" t="s">
        <v>213</v>
      </c>
      <c r="AX457" s="15" t="s">
        <v>1405</v>
      </c>
      <c r="BH457" s="15" t="s">
        <v>184</v>
      </c>
      <c r="BI457" s="15" t="s">
        <v>185</v>
      </c>
      <c r="BJ457" s="15" t="s">
        <v>186</v>
      </c>
      <c r="BK457" s="15" t="s">
        <v>187</v>
      </c>
      <c r="BL457" s="15" t="s">
        <v>188</v>
      </c>
      <c r="BM457" s="15" t="s">
        <v>189</v>
      </c>
      <c r="BN457" s="15" t="s">
        <v>190</v>
      </c>
      <c r="BO457" s="15" t="s">
        <v>191</v>
      </c>
      <c r="BR457" s="15" t="s">
        <v>192</v>
      </c>
      <c r="BS457" s="15" t="s">
        <v>193</v>
      </c>
      <c r="BT457" s="15" t="s">
        <v>194</v>
      </c>
      <c r="BU457" s="15" t="s">
        <v>195</v>
      </c>
      <c r="BV457" s="15" t="s">
        <v>196</v>
      </c>
      <c r="BW457" s="15" t="s">
        <v>193</v>
      </c>
      <c r="CB457" s="15" t="s">
        <v>129</v>
      </c>
      <c r="CC457" s="15">
        <v>1</v>
      </c>
      <c r="CN457" s="15" t="s">
        <v>1643</v>
      </c>
      <c r="CW457" s="10">
        <v>2</v>
      </c>
      <c r="CX457" s="15" t="s">
        <v>1652</v>
      </c>
    </row>
    <row r="458" spans="1:102" s="15" customFormat="1" x14ac:dyDescent="0.3">
      <c r="A458" s="11" t="s">
        <v>126</v>
      </c>
      <c r="B458" s="10" t="s">
        <v>1653</v>
      </c>
      <c r="C458" s="12" t="s">
        <v>1679</v>
      </c>
      <c r="D458" s="10">
        <v>12</v>
      </c>
      <c r="E458" s="13">
        <v>1000000</v>
      </c>
      <c r="F458" s="14" t="s">
        <v>269</v>
      </c>
      <c r="G458" s="14" t="s">
        <v>210</v>
      </c>
      <c r="H458" s="15" t="s">
        <v>254</v>
      </c>
      <c r="I458" s="8"/>
      <c r="J458" s="10"/>
      <c r="AV458" s="15" t="s">
        <v>212</v>
      </c>
      <c r="AW458" s="15" t="s">
        <v>213</v>
      </c>
      <c r="AX458" s="15" t="s">
        <v>1408</v>
      </c>
      <c r="BH458" s="15" t="s">
        <v>184</v>
      </c>
      <c r="BI458" s="15" t="s">
        <v>185</v>
      </c>
      <c r="BJ458" s="15" t="s">
        <v>186</v>
      </c>
      <c r="BK458" s="15" t="s">
        <v>187</v>
      </c>
      <c r="BL458" s="15" t="s">
        <v>188</v>
      </c>
      <c r="BM458" s="15" t="s">
        <v>189</v>
      </c>
      <c r="BN458" s="15" t="s">
        <v>190</v>
      </c>
      <c r="BO458" s="15" t="s">
        <v>191</v>
      </c>
      <c r="BR458" s="15" t="s">
        <v>192</v>
      </c>
      <c r="BS458" s="15" t="s">
        <v>193</v>
      </c>
      <c r="BT458" s="15" t="s">
        <v>194</v>
      </c>
      <c r="BU458" s="15" t="s">
        <v>195</v>
      </c>
      <c r="BV458" s="15" t="s">
        <v>196</v>
      </c>
      <c r="BW458" s="15" t="s">
        <v>193</v>
      </c>
      <c r="CB458" s="15" t="s">
        <v>129</v>
      </c>
      <c r="CC458" s="15">
        <v>1</v>
      </c>
      <c r="CN458" s="15" t="s">
        <v>1643</v>
      </c>
      <c r="CW458" s="10">
        <v>2</v>
      </c>
      <c r="CX458" s="15" t="s">
        <v>1654</v>
      </c>
    </row>
    <row r="459" spans="1:102" s="15" customFormat="1" x14ac:dyDescent="0.3">
      <c r="A459" s="11" t="s">
        <v>126</v>
      </c>
      <c r="B459" s="10" t="s">
        <v>1655</v>
      </c>
      <c r="C459" s="12" t="s">
        <v>1682</v>
      </c>
      <c r="D459" s="10">
        <v>12</v>
      </c>
      <c r="E459" s="13">
        <v>1000000</v>
      </c>
      <c r="F459" s="14" t="s">
        <v>269</v>
      </c>
      <c r="G459" s="14" t="s">
        <v>210</v>
      </c>
      <c r="H459" s="15" t="s">
        <v>254</v>
      </c>
      <c r="I459" s="8"/>
      <c r="J459" s="10"/>
      <c r="AV459" s="15" t="s">
        <v>212</v>
      </c>
      <c r="AW459" s="15" t="s">
        <v>213</v>
      </c>
      <c r="AX459" s="15" t="s">
        <v>1411</v>
      </c>
      <c r="BH459" s="15" t="s">
        <v>184</v>
      </c>
      <c r="BI459" s="15" t="s">
        <v>185</v>
      </c>
      <c r="BJ459" s="15" t="s">
        <v>186</v>
      </c>
      <c r="BK459" s="15" t="s">
        <v>187</v>
      </c>
      <c r="BL459" s="15" t="s">
        <v>188</v>
      </c>
      <c r="BM459" s="15" t="s">
        <v>189</v>
      </c>
      <c r="BN459" s="15" t="s">
        <v>190</v>
      </c>
      <c r="BO459" s="15" t="s">
        <v>191</v>
      </c>
      <c r="BR459" s="15" t="s">
        <v>192</v>
      </c>
      <c r="BS459" s="15" t="s">
        <v>193</v>
      </c>
      <c r="BT459" s="15" t="s">
        <v>194</v>
      </c>
      <c r="BU459" s="15" t="s">
        <v>195</v>
      </c>
      <c r="BV459" s="15" t="s">
        <v>196</v>
      </c>
      <c r="BW459" s="15" t="s">
        <v>193</v>
      </c>
      <c r="CB459" s="15" t="s">
        <v>129</v>
      </c>
      <c r="CC459" s="15">
        <v>1</v>
      </c>
      <c r="CN459" s="15" t="s">
        <v>1643</v>
      </c>
      <c r="CW459" s="10">
        <v>2</v>
      </c>
      <c r="CX459" s="15" t="s">
        <v>1656</v>
      </c>
    </row>
    <row r="460" spans="1:102" s="15" customFormat="1" x14ac:dyDescent="0.3">
      <c r="A460" s="11" t="s">
        <v>126</v>
      </c>
      <c r="B460" s="10" t="s">
        <v>1657</v>
      </c>
      <c r="C460" s="12" t="s">
        <v>1685</v>
      </c>
      <c r="D460" s="10">
        <v>12</v>
      </c>
      <c r="E460" s="13">
        <v>1000000</v>
      </c>
      <c r="F460" s="14" t="s">
        <v>269</v>
      </c>
      <c r="G460" s="14" t="s">
        <v>210</v>
      </c>
      <c r="H460" s="15" t="s">
        <v>254</v>
      </c>
      <c r="I460" s="8"/>
      <c r="J460" s="10"/>
      <c r="AV460" s="15" t="s">
        <v>212</v>
      </c>
      <c r="AW460" s="15" t="s">
        <v>213</v>
      </c>
      <c r="AX460" s="15" t="s">
        <v>1414</v>
      </c>
      <c r="BH460" s="15" t="s">
        <v>184</v>
      </c>
      <c r="BI460" s="15" t="s">
        <v>185</v>
      </c>
      <c r="BJ460" s="15" t="s">
        <v>186</v>
      </c>
      <c r="BK460" s="15" t="s">
        <v>187</v>
      </c>
      <c r="BL460" s="15" t="s">
        <v>188</v>
      </c>
      <c r="BM460" s="15" t="s">
        <v>189</v>
      </c>
      <c r="BN460" s="15" t="s">
        <v>190</v>
      </c>
      <c r="BO460" s="15" t="s">
        <v>191</v>
      </c>
      <c r="BR460" s="15" t="s">
        <v>192</v>
      </c>
      <c r="BS460" s="15" t="s">
        <v>193</v>
      </c>
      <c r="BT460" s="15" t="s">
        <v>194</v>
      </c>
      <c r="BU460" s="15" t="s">
        <v>195</v>
      </c>
      <c r="BV460" s="15" t="s">
        <v>196</v>
      </c>
      <c r="BW460" s="15" t="s">
        <v>193</v>
      </c>
      <c r="CB460" s="15" t="s">
        <v>129</v>
      </c>
      <c r="CC460" s="15">
        <v>1</v>
      </c>
      <c r="CN460" s="15" t="s">
        <v>1643</v>
      </c>
      <c r="CW460" s="10">
        <v>2</v>
      </c>
      <c r="CX460" s="15" t="s">
        <v>1658</v>
      </c>
    </row>
    <row r="461" spans="1:102" s="15" customFormat="1" x14ac:dyDescent="0.3">
      <c r="A461" s="11" t="s">
        <v>126</v>
      </c>
      <c r="B461" s="10" t="s">
        <v>1659</v>
      </c>
      <c r="C461" s="12" t="s">
        <v>3938</v>
      </c>
      <c r="D461" s="10">
        <v>12</v>
      </c>
      <c r="E461" s="13">
        <v>1000000</v>
      </c>
      <c r="F461" s="14" t="s">
        <v>269</v>
      </c>
      <c r="G461" s="14" t="s">
        <v>210</v>
      </c>
      <c r="H461" s="15" t="s">
        <v>254</v>
      </c>
      <c r="I461" s="8"/>
      <c r="J461" s="10"/>
      <c r="AV461" s="15" t="s">
        <v>212</v>
      </c>
      <c r="AW461" s="15" t="s">
        <v>213</v>
      </c>
      <c r="AX461" s="15" t="s">
        <v>1417</v>
      </c>
      <c r="BH461" s="15" t="s">
        <v>184</v>
      </c>
      <c r="BI461" s="15" t="s">
        <v>185</v>
      </c>
      <c r="BJ461" s="15" t="s">
        <v>186</v>
      </c>
      <c r="BK461" s="15" t="s">
        <v>187</v>
      </c>
      <c r="BL461" s="15" t="s">
        <v>188</v>
      </c>
      <c r="BM461" s="15" t="s">
        <v>189</v>
      </c>
      <c r="BN461" s="15" t="s">
        <v>190</v>
      </c>
      <c r="BO461" s="15" t="s">
        <v>191</v>
      </c>
      <c r="BR461" s="15" t="s">
        <v>192</v>
      </c>
      <c r="BS461" s="15" t="s">
        <v>193</v>
      </c>
      <c r="BT461" s="15" t="s">
        <v>194</v>
      </c>
      <c r="BU461" s="15" t="s">
        <v>195</v>
      </c>
      <c r="BV461" s="15" t="s">
        <v>196</v>
      </c>
      <c r="BW461" s="15" t="s">
        <v>193</v>
      </c>
      <c r="CB461" s="15" t="s">
        <v>129</v>
      </c>
      <c r="CC461" s="15">
        <v>1</v>
      </c>
      <c r="CN461" s="15" t="s">
        <v>1643</v>
      </c>
      <c r="CW461" s="10">
        <v>2</v>
      </c>
      <c r="CX461" s="15" t="s">
        <v>1660</v>
      </c>
    </row>
    <row r="462" spans="1:102" s="15" customFormat="1" x14ac:dyDescent="0.3">
      <c r="A462" s="11" t="s">
        <v>126</v>
      </c>
      <c r="B462" s="10" t="s">
        <v>1661</v>
      </c>
      <c r="C462" s="12" t="s">
        <v>1691</v>
      </c>
      <c r="D462" s="10">
        <v>12</v>
      </c>
      <c r="E462" s="13">
        <v>1000000</v>
      </c>
      <c r="F462" s="14" t="s">
        <v>269</v>
      </c>
      <c r="G462" s="14" t="s">
        <v>210</v>
      </c>
      <c r="H462" s="15" t="s">
        <v>254</v>
      </c>
      <c r="I462" s="8"/>
      <c r="J462" s="10"/>
      <c r="AV462" s="15" t="s">
        <v>212</v>
      </c>
      <c r="AW462" s="15" t="s">
        <v>213</v>
      </c>
      <c r="AX462" s="15" t="s">
        <v>1420</v>
      </c>
      <c r="BH462" s="15" t="s">
        <v>184</v>
      </c>
      <c r="BI462" s="15" t="s">
        <v>185</v>
      </c>
      <c r="BJ462" s="15" t="s">
        <v>186</v>
      </c>
      <c r="BK462" s="15" t="s">
        <v>187</v>
      </c>
      <c r="BL462" s="15" t="s">
        <v>188</v>
      </c>
      <c r="BM462" s="15" t="s">
        <v>189</v>
      </c>
      <c r="BN462" s="15" t="s">
        <v>190</v>
      </c>
      <c r="BO462" s="15" t="s">
        <v>191</v>
      </c>
      <c r="BR462" s="15" t="s">
        <v>192</v>
      </c>
      <c r="BS462" s="15" t="s">
        <v>193</v>
      </c>
      <c r="BT462" s="15" t="s">
        <v>194</v>
      </c>
      <c r="BU462" s="15" t="s">
        <v>195</v>
      </c>
      <c r="BV462" s="15" t="s">
        <v>196</v>
      </c>
      <c r="BW462" s="15" t="s">
        <v>193</v>
      </c>
      <c r="CB462" s="15" t="s">
        <v>129</v>
      </c>
      <c r="CC462" s="15">
        <v>1</v>
      </c>
      <c r="CN462" s="15" t="s">
        <v>1643</v>
      </c>
      <c r="CW462" s="10">
        <v>2</v>
      </c>
      <c r="CX462" s="15" t="s">
        <v>1662</v>
      </c>
    </row>
    <row r="463" spans="1:102" s="15" customFormat="1" x14ac:dyDescent="0.3">
      <c r="A463" s="11" t="s">
        <v>126</v>
      </c>
      <c r="B463" s="10" t="s">
        <v>1663</v>
      </c>
      <c r="C463" s="12" t="s">
        <v>1664</v>
      </c>
      <c r="D463" s="10">
        <v>12</v>
      </c>
      <c r="E463" s="13">
        <v>1000000</v>
      </c>
      <c r="F463" s="14" t="s">
        <v>210</v>
      </c>
      <c r="G463" s="14" t="s">
        <v>210</v>
      </c>
      <c r="H463" s="15" t="s">
        <v>254</v>
      </c>
      <c r="I463" s="8"/>
      <c r="J463" s="10"/>
      <c r="AW463" s="15" t="s">
        <v>128</v>
      </c>
      <c r="AX463" s="15" t="s">
        <v>1393</v>
      </c>
      <c r="BH463" s="15" t="s">
        <v>184</v>
      </c>
      <c r="BI463" s="15" t="s">
        <v>185</v>
      </c>
      <c r="BJ463" s="15" t="s">
        <v>186</v>
      </c>
      <c r="BK463" s="15" t="s">
        <v>187</v>
      </c>
      <c r="BL463" s="15" t="s">
        <v>188</v>
      </c>
      <c r="BM463" s="15" t="s">
        <v>189</v>
      </c>
      <c r="BN463" s="15" t="s">
        <v>190</v>
      </c>
      <c r="BO463" s="15" t="s">
        <v>191</v>
      </c>
      <c r="BR463" s="15" t="s">
        <v>192</v>
      </c>
      <c r="BS463" s="15" t="s">
        <v>193</v>
      </c>
      <c r="BT463" s="15" t="s">
        <v>194</v>
      </c>
      <c r="BU463" s="15" t="s">
        <v>195</v>
      </c>
      <c r="BV463" s="15" t="s">
        <v>196</v>
      </c>
      <c r="BW463" s="15" t="s">
        <v>193</v>
      </c>
      <c r="CB463" s="15" t="s">
        <v>128</v>
      </c>
      <c r="CC463" s="15">
        <v>1</v>
      </c>
      <c r="CN463" s="15" t="s">
        <v>503</v>
      </c>
      <c r="CW463" s="10">
        <v>2</v>
      </c>
      <c r="CX463" s="15" t="s">
        <v>1665</v>
      </c>
    </row>
    <row r="464" spans="1:102" s="15" customFormat="1" x14ac:dyDescent="0.3">
      <c r="A464" s="11" t="s">
        <v>126</v>
      </c>
      <c r="B464" s="10" t="s">
        <v>1666</v>
      </c>
      <c r="C464" s="12" t="s">
        <v>1667</v>
      </c>
      <c r="D464" s="10">
        <v>12</v>
      </c>
      <c r="E464" s="13">
        <v>1000000</v>
      </c>
      <c r="F464" s="14" t="s">
        <v>210</v>
      </c>
      <c r="G464" s="14" t="s">
        <v>210</v>
      </c>
      <c r="H464" s="15" t="s">
        <v>254</v>
      </c>
      <c r="I464" s="8"/>
      <c r="J464" s="10"/>
      <c r="AW464" s="15" t="s">
        <v>128</v>
      </c>
      <c r="AX464" s="15" t="s">
        <v>1396</v>
      </c>
      <c r="BH464" s="15" t="s">
        <v>184</v>
      </c>
      <c r="BI464" s="15" t="s">
        <v>185</v>
      </c>
      <c r="BJ464" s="15" t="s">
        <v>186</v>
      </c>
      <c r="BK464" s="15" t="s">
        <v>187</v>
      </c>
      <c r="BL464" s="15" t="s">
        <v>188</v>
      </c>
      <c r="BM464" s="15" t="s">
        <v>189</v>
      </c>
      <c r="BN464" s="15" t="s">
        <v>190</v>
      </c>
      <c r="BO464" s="15" t="s">
        <v>191</v>
      </c>
      <c r="BR464" s="15" t="s">
        <v>192</v>
      </c>
      <c r="BS464" s="15" t="s">
        <v>193</v>
      </c>
      <c r="BT464" s="15" t="s">
        <v>194</v>
      </c>
      <c r="BU464" s="15" t="s">
        <v>195</v>
      </c>
      <c r="BV464" s="15" t="s">
        <v>196</v>
      </c>
      <c r="BW464" s="15" t="s">
        <v>193</v>
      </c>
      <c r="CB464" s="15" t="s">
        <v>128</v>
      </c>
      <c r="CC464" s="15">
        <v>1</v>
      </c>
      <c r="CN464" s="15" t="s">
        <v>503</v>
      </c>
      <c r="CW464" s="10">
        <v>2</v>
      </c>
      <c r="CX464" s="15" t="s">
        <v>1668</v>
      </c>
    </row>
    <row r="465" spans="1:102" s="15" customFormat="1" x14ac:dyDescent="0.3">
      <c r="A465" s="11" t="s">
        <v>126</v>
      </c>
      <c r="B465" s="10" t="s">
        <v>1669</v>
      </c>
      <c r="C465" s="12" t="s">
        <v>1670</v>
      </c>
      <c r="D465" s="10">
        <v>12</v>
      </c>
      <c r="E465" s="13">
        <v>1000000</v>
      </c>
      <c r="F465" s="14" t="s">
        <v>210</v>
      </c>
      <c r="G465" s="14" t="s">
        <v>210</v>
      </c>
      <c r="H465" s="15" t="s">
        <v>254</v>
      </c>
      <c r="I465" s="8"/>
      <c r="J465" s="10"/>
      <c r="AW465" s="15" t="s">
        <v>128</v>
      </c>
      <c r="AX465" s="15" t="s">
        <v>1399</v>
      </c>
      <c r="BH465" s="15" t="s">
        <v>184</v>
      </c>
      <c r="BI465" s="15" t="s">
        <v>185</v>
      </c>
      <c r="BJ465" s="15" t="s">
        <v>186</v>
      </c>
      <c r="BK465" s="15" t="s">
        <v>187</v>
      </c>
      <c r="BL465" s="15" t="s">
        <v>188</v>
      </c>
      <c r="BM465" s="15" t="s">
        <v>189</v>
      </c>
      <c r="BN465" s="15" t="s">
        <v>190</v>
      </c>
      <c r="BO465" s="15" t="s">
        <v>191</v>
      </c>
      <c r="BR465" s="15" t="s">
        <v>192</v>
      </c>
      <c r="BS465" s="15" t="s">
        <v>193</v>
      </c>
      <c r="BT465" s="15" t="s">
        <v>194</v>
      </c>
      <c r="BU465" s="15" t="s">
        <v>195</v>
      </c>
      <c r="BV465" s="15" t="s">
        <v>196</v>
      </c>
      <c r="BW465" s="15" t="s">
        <v>193</v>
      </c>
      <c r="CB465" s="15" t="s">
        <v>128</v>
      </c>
      <c r="CC465" s="15">
        <v>1</v>
      </c>
      <c r="CN465" s="15" t="s">
        <v>503</v>
      </c>
      <c r="CW465" s="10">
        <v>2</v>
      </c>
      <c r="CX465" s="15" t="s">
        <v>1671</v>
      </c>
    </row>
    <row r="466" spans="1:102" s="15" customFormat="1" x14ac:dyDescent="0.3">
      <c r="A466" s="11" t="s">
        <v>126</v>
      </c>
      <c r="B466" s="10" t="s">
        <v>1672</v>
      </c>
      <c r="C466" s="12" t="s">
        <v>1673</v>
      </c>
      <c r="D466" s="10">
        <v>12</v>
      </c>
      <c r="E466" s="13">
        <v>1000000</v>
      </c>
      <c r="F466" s="14" t="s">
        <v>210</v>
      </c>
      <c r="G466" s="14" t="s">
        <v>210</v>
      </c>
      <c r="H466" s="15" t="s">
        <v>254</v>
      </c>
      <c r="I466" s="8"/>
      <c r="J466" s="10"/>
      <c r="AW466" s="15" t="s">
        <v>128</v>
      </c>
      <c r="AX466" s="15" t="s">
        <v>1402</v>
      </c>
      <c r="BH466" s="15" t="s">
        <v>184</v>
      </c>
      <c r="BI466" s="15" t="s">
        <v>185</v>
      </c>
      <c r="BJ466" s="15" t="s">
        <v>186</v>
      </c>
      <c r="BK466" s="15" t="s">
        <v>187</v>
      </c>
      <c r="BL466" s="15" t="s">
        <v>188</v>
      </c>
      <c r="BM466" s="15" t="s">
        <v>189</v>
      </c>
      <c r="BN466" s="15" t="s">
        <v>190</v>
      </c>
      <c r="BO466" s="15" t="s">
        <v>191</v>
      </c>
      <c r="BR466" s="15" t="s">
        <v>192</v>
      </c>
      <c r="BS466" s="15" t="s">
        <v>193</v>
      </c>
      <c r="BT466" s="15" t="s">
        <v>194</v>
      </c>
      <c r="BU466" s="15" t="s">
        <v>195</v>
      </c>
      <c r="BV466" s="15" t="s">
        <v>196</v>
      </c>
      <c r="BW466" s="15" t="s">
        <v>193</v>
      </c>
      <c r="CB466" s="15" t="s">
        <v>128</v>
      </c>
      <c r="CC466" s="15">
        <v>1</v>
      </c>
      <c r="CN466" s="15" t="s">
        <v>503</v>
      </c>
      <c r="CW466" s="10">
        <v>2</v>
      </c>
      <c r="CX466" s="15" t="s">
        <v>1674</v>
      </c>
    </row>
    <row r="467" spans="1:102" s="15" customFormat="1" x14ac:dyDescent="0.3">
      <c r="A467" s="11" t="s">
        <v>126</v>
      </c>
      <c r="B467" s="10" t="s">
        <v>1675</v>
      </c>
      <c r="C467" s="12" t="s">
        <v>1676</v>
      </c>
      <c r="D467" s="10">
        <v>12</v>
      </c>
      <c r="E467" s="13">
        <v>1000000</v>
      </c>
      <c r="F467" s="14" t="s">
        <v>210</v>
      </c>
      <c r="G467" s="14" t="s">
        <v>210</v>
      </c>
      <c r="H467" s="15" t="s">
        <v>254</v>
      </c>
      <c r="I467" s="8"/>
      <c r="J467" s="10"/>
      <c r="AW467" s="15" t="s">
        <v>128</v>
      </c>
      <c r="AX467" s="15" t="s">
        <v>1405</v>
      </c>
      <c r="BH467" s="15" t="s">
        <v>184</v>
      </c>
      <c r="BI467" s="15" t="s">
        <v>185</v>
      </c>
      <c r="BJ467" s="15" t="s">
        <v>186</v>
      </c>
      <c r="BK467" s="15" t="s">
        <v>187</v>
      </c>
      <c r="BL467" s="15" t="s">
        <v>188</v>
      </c>
      <c r="BM467" s="15" t="s">
        <v>189</v>
      </c>
      <c r="BN467" s="15" t="s">
        <v>190</v>
      </c>
      <c r="BO467" s="15" t="s">
        <v>191</v>
      </c>
      <c r="BR467" s="15" t="s">
        <v>192</v>
      </c>
      <c r="BS467" s="15" t="s">
        <v>193</v>
      </c>
      <c r="BT467" s="15" t="s">
        <v>194</v>
      </c>
      <c r="BU467" s="15" t="s">
        <v>195</v>
      </c>
      <c r="BV467" s="15" t="s">
        <v>196</v>
      </c>
      <c r="BW467" s="15" t="s">
        <v>193</v>
      </c>
      <c r="CB467" s="15" t="s">
        <v>128</v>
      </c>
      <c r="CC467" s="15">
        <v>1</v>
      </c>
      <c r="CN467" s="15" t="s">
        <v>503</v>
      </c>
      <c r="CW467" s="10">
        <v>2</v>
      </c>
      <c r="CX467" s="15" t="s">
        <v>1677</v>
      </c>
    </row>
    <row r="468" spans="1:102" s="15" customFormat="1" x14ac:dyDescent="0.3">
      <c r="A468" s="11" t="s">
        <v>126</v>
      </c>
      <c r="B468" s="10" t="s">
        <v>1678</v>
      </c>
      <c r="C468" s="12" t="s">
        <v>1679</v>
      </c>
      <c r="D468" s="10">
        <v>12</v>
      </c>
      <c r="E468" s="13">
        <v>1000000</v>
      </c>
      <c r="F468" s="14" t="s">
        <v>210</v>
      </c>
      <c r="G468" s="14" t="s">
        <v>210</v>
      </c>
      <c r="H468" s="15" t="s">
        <v>254</v>
      </c>
      <c r="I468" s="8"/>
      <c r="J468" s="10"/>
      <c r="AW468" s="15" t="s">
        <v>128</v>
      </c>
      <c r="AX468" s="15" t="s">
        <v>1408</v>
      </c>
      <c r="BH468" s="15" t="s">
        <v>184</v>
      </c>
      <c r="BI468" s="15" t="s">
        <v>185</v>
      </c>
      <c r="BJ468" s="15" t="s">
        <v>186</v>
      </c>
      <c r="BK468" s="15" t="s">
        <v>187</v>
      </c>
      <c r="BL468" s="15" t="s">
        <v>188</v>
      </c>
      <c r="BM468" s="15" t="s">
        <v>189</v>
      </c>
      <c r="BN468" s="15" t="s">
        <v>190</v>
      </c>
      <c r="BO468" s="15" t="s">
        <v>191</v>
      </c>
      <c r="BR468" s="15" t="s">
        <v>192</v>
      </c>
      <c r="BS468" s="15" t="s">
        <v>193</v>
      </c>
      <c r="BT468" s="15" t="s">
        <v>194</v>
      </c>
      <c r="BU468" s="15" t="s">
        <v>195</v>
      </c>
      <c r="BV468" s="15" t="s">
        <v>196</v>
      </c>
      <c r="BW468" s="15" t="s">
        <v>193</v>
      </c>
      <c r="CB468" s="15" t="s">
        <v>128</v>
      </c>
      <c r="CC468" s="15">
        <v>1</v>
      </c>
      <c r="CN468" s="15" t="s">
        <v>503</v>
      </c>
      <c r="CW468" s="10">
        <v>2</v>
      </c>
      <c r="CX468" s="15" t="s">
        <v>1680</v>
      </c>
    </row>
    <row r="469" spans="1:102" s="15" customFormat="1" x14ac:dyDescent="0.3">
      <c r="A469" s="11" t="s">
        <v>126</v>
      </c>
      <c r="B469" s="10" t="s">
        <v>1681</v>
      </c>
      <c r="C469" s="12" t="s">
        <v>1682</v>
      </c>
      <c r="D469" s="10">
        <v>12</v>
      </c>
      <c r="E469" s="13">
        <v>1000000</v>
      </c>
      <c r="F469" s="14" t="s">
        <v>210</v>
      </c>
      <c r="G469" s="14" t="s">
        <v>210</v>
      </c>
      <c r="H469" s="15" t="s">
        <v>254</v>
      </c>
      <c r="I469" s="8"/>
      <c r="J469" s="10"/>
      <c r="AW469" s="15" t="s">
        <v>128</v>
      </c>
      <c r="AX469" s="15" t="s">
        <v>1411</v>
      </c>
      <c r="BH469" s="15" t="s">
        <v>184</v>
      </c>
      <c r="BI469" s="15" t="s">
        <v>185</v>
      </c>
      <c r="BJ469" s="15" t="s">
        <v>186</v>
      </c>
      <c r="BK469" s="15" t="s">
        <v>187</v>
      </c>
      <c r="BL469" s="15" t="s">
        <v>188</v>
      </c>
      <c r="BM469" s="15" t="s">
        <v>189</v>
      </c>
      <c r="BN469" s="15" t="s">
        <v>190</v>
      </c>
      <c r="BO469" s="15" t="s">
        <v>191</v>
      </c>
      <c r="BR469" s="15" t="s">
        <v>192</v>
      </c>
      <c r="BS469" s="15" t="s">
        <v>193</v>
      </c>
      <c r="BT469" s="15" t="s">
        <v>194</v>
      </c>
      <c r="BU469" s="15" t="s">
        <v>195</v>
      </c>
      <c r="BV469" s="15" t="s">
        <v>196</v>
      </c>
      <c r="BW469" s="15" t="s">
        <v>193</v>
      </c>
      <c r="CB469" s="15" t="s">
        <v>128</v>
      </c>
      <c r="CC469" s="15">
        <v>1</v>
      </c>
      <c r="CN469" s="15" t="s">
        <v>503</v>
      </c>
      <c r="CW469" s="10">
        <v>2</v>
      </c>
      <c r="CX469" s="15" t="s">
        <v>1683</v>
      </c>
    </row>
    <row r="470" spans="1:102" s="15" customFormat="1" x14ac:dyDescent="0.3">
      <c r="A470" s="11" t="s">
        <v>126</v>
      </c>
      <c r="B470" s="10" t="s">
        <v>1684</v>
      </c>
      <c r="C470" s="12" t="s">
        <v>1685</v>
      </c>
      <c r="D470" s="10">
        <v>12</v>
      </c>
      <c r="E470" s="13">
        <v>1000000</v>
      </c>
      <c r="F470" s="14" t="s">
        <v>210</v>
      </c>
      <c r="G470" s="14" t="s">
        <v>210</v>
      </c>
      <c r="H470" s="15" t="s">
        <v>254</v>
      </c>
      <c r="I470" s="8"/>
      <c r="J470" s="10"/>
      <c r="AW470" s="15" t="s">
        <v>128</v>
      </c>
      <c r="AX470" s="15" t="s">
        <v>1414</v>
      </c>
      <c r="BH470" s="15" t="s">
        <v>184</v>
      </c>
      <c r="BI470" s="15" t="s">
        <v>185</v>
      </c>
      <c r="BJ470" s="15" t="s">
        <v>186</v>
      </c>
      <c r="BK470" s="15" t="s">
        <v>187</v>
      </c>
      <c r="BL470" s="15" t="s">
        <v>188</v>
      </c>
      <c r="BM470" s="15" t="s">
        <v>189</v>
      </c>
      <c r="BN470" s="15" t="s">
        <v>190</v>
      </c>
      <c r="BO470" s="15" t="s">
        <v>191</v>
      </c>
      <c r="BR470" s="15" t="s">
        <v>192</v>
      </c>
      <c r="BS470" s="15" t="s">
        <v>193</v>
      </c>
      <c r="BT470" s="15" t="s">
        <v>194</v>
      </c>
      <c r="BU470" s="15" t="s">
        <v>195</v>
      </c>
      <c r="BV470" s="15" t="s">
        <v>196</v>
      </c>
      <c r="BW470" s="15" t="s">
        <v>193</v>
      </c>
      <c r="CB470" s="15" t="s">
        <v>128</v>
      </c>
      <c r="CC470" s="15">
        <v>1</v>
      </c>
      <c r="CN470" s="15" t="s">
        <v>503</v>
      </c>
      <c r="CW470" s="10">
        <v>2</v>
      </c>
      <c r="CX470" s="15" t="s">
        <v>1686</v>
      </c>
    </row>
    <row r="471" spans="1:102" s="15" customFormat="1" x14ac:dyDescent="0.3">
      <c r="A471" s="11" t="s">
        <v>126</v>
      </c>
      <c r="B471" s="10" t="s">
        <v>1687</v>
      </c>
      <c r="C471" s="12" t="s">
        <v>1688</v>
      </c>
      <c r="D471" s="10">
        <v>12</v>
      </c>
      <c r="E471" s="13">
        <v>1000000</v>
      </c>
      <c r="F471" s="14" t="s">
        <v>210</v>
      </c>
      <c r="G471" s="14" t="s">
        <v>210</v>
      </c>
      <c r="H471" s="15" t="s">
        <v>254</v>
      </c>
      <c r="I471" s="8"/>
      <c r="J471" s="10"/>
      <c r="AW471" s="15" t="s">
        <v>128</v>
      </c>
      <c r="AX471" s="15" t="s">
        <v>1417</v>
      </c>
      <c r="BH471" s="15" t="s">
        <v>184</v>
      </c>
      <c r="BI471" s="15" t="s">
        <v>185</v>
      </c>
      <c r="BJ471" s="15" t="s">
        <v>186</v>
      </c>
      <c r="BK471" s="15" t="s">
        <v>187</v>
      </c>
      <c r="BL471" s="15" t="s">
        <v>188</v>
      </c>
      <c r="BM471" s="15" t="s">
        <v>189</v>
      </c>
      <c r="BN471" s="15" t="s">
        <v>190</v>
      </c>
      <c r="BO471" s="15" t="s">
        <v>191</v>
      </c>
      <c r="BR471" s="15" t="s">
        <v>192</v>
      </c>
      <c r="BS471" s="15" t="s">
        <v>193</v>
      </c>
      <c r="BT471" s="15" t="s">
        <v>194</v>
      </c>
      <c r="BU471" s="15" t="s">
        <v>195</v>
      </c>
      <c r="BV471" s="15" t="s">
        <v>196</v>
      </c>
      <c r="BW471" s="15" t="s">
        <v>193</v>
      </c>
      <c r="CB471" s="15" t="s">
        <v>128</v>
      </c>
      <c r="CC471" s="15">
        <v>1</v>
      </c>
      <c r="CN471" s="15" t="s">
        <v>503</v>
      </c>
      <c r="CW471" s="10">
        <v>2</v>
      </c>
      <c r="CX471" s="15" t="s">
        <v>1689</v>
      </c>
    </row>
    <row r="472" spans="1:102" s="15" customFormat="1" x14ac:dyDescent="0.3">
      <c r="A472" s="11" t="s">
        <v>126</v>
      </c>
      <c r="B472" s="10" t="s">
        <v>1690</v>
      </c>
      <c r="C472" s="12" t="s">
        <v>1691</v>
      </c>
      <c r="D472" s="10">
        <v>12</v>
      </c>
      <c r="E472" s="13">
        <v>1000000</v>
      </c>
      <c r="F472" s="14" t="s">
        <v>210</v>
      </c>
      <c r="G472" s="14" t="s">
        <v>210</v>
      </c>
      <c r="H472" s="15" t="s">
        <v>254</v>
      </c>
      <c r="I472" s="8"/>
      <c r="J472" s="10"/>
      <c r="AW472" s="15" t="s">
        <v>128</v>
      </c>
      <c r="AX472" s="15" t="s">
        <v>1420</v>
      </c>
      <c r="BH472" s="15" t="s">
        <v>184</v>
      </c>
      <c r="BI472" s="15" t="s">
        <v>185</v>
      </c>
      <c r="BJ472" s="15" t="s">
        <v>186</v>
      </c>
      <c r="BK472" s="15" t="s">
        <v>187</v>
      </c>
      <c r="BL472" s="15" t="s">
        <v>188</v>
      </c>
      <c r="BM472" s="15" t="s">
        <v>189</v>
      </c>
      <c r="BN472" s="15" t="s">
        <v>190</v>
      </c>
      <c r="BO472" s="15" t="s">
        <v>191</v>
      </c>
      <c r="BR472" s="15" t="s">
        <v>192</v>
      </c>
      <c r="BS472" s="15" t="s">
        <v>193</v>
      </c>
      <c r="BT472" s="15" t="s">
        <v>194</v>
      </c>
      <c r="BU472" s="15" t="s">
        <v>195</v>
      </c>
      <c r="BV472" s="15" t="s">
        <v>196</v>
      </c>
      <c r="BW472" s="15" t="s">
        <v>193</v>
      </c>
      <c r="CB472" s="15" t="s">
        <v>128</v>
      </c>
      <c r="CC472" s="15">
        <v>1</v>
      </c>
      <c r="CN472" s="15" t="s">
        <v>503</v>
      </c>
      <c r="CW472" s="10">
        <v>2</v>
      </c>
      <c r="CX472" s="15" t="s">
        <v>1692</v>
      </c>
    </row>
    <row r="473" spans="1:102" s="15" customFormat="1" x14ac:dyDescent="0.3">
      <c r="A473" s="11" t="s">
        <v>126</v>
      </c>
      <c r="B473" s="10" t="s">
        <v>1693</v>
      </c>
      <c r="C473" s="12" t="s">
        <v>1697</v>
      </c>
      <c r="D473" s="10">
        <v>12</v>
      </c>
      <c r="E473" s="13">
        <v>5000000</v>
      </c>
      <c r="F473" s="14" t="s">
        <v>1483</v>
      </c>
      <c r="G473" s="14" t="s">
        <v>1484</v>
      </c>
      <c r="H473" s="15" t="s">
        <v>1694</v>
      </c>
      <c r="I473" s="8"/>
      <c r="J473" s="10"/>
      <c r="AV473" s="15" t="s">
        <v>1486</v>
      </c>
      <c r="AW473" s="15" t="s">
        <v>1487</v>
      </c>
      <c r="AX473" s="15" t="s">
        <v>1488</v>
      </c>
      <c r="AY473" s="15" t="s">
        <v>1489</v>
      </c>
      <c r="BH473" s="15" t="s">
        <v>184</v>
      </c>
      <c r="BI473" s="15" t="s">
        <v>185</v>
      </c>
      <c r="BJ473" s="15" t="s">
        <v>186</v>
      </c>
      <c r="BK473" s="15" t="s">
        <v>187</v>
      </c>
      <c r="BL473" s="15" t="s">
        <v>188</v>
      </c>
      <c r="BM473" s="15" t="s">
        <v>189</v>
      </c>
      <c r="BN473" s="15" t="s">
        <v>190</v>
      </c>
      <c r="BO473" s="15" t="s">
        <v>191</v>
      </c>
      <c r="BR473" s="15" t="s">
        <v>192</v>
      </c>
      <c r="BS473" s="15" t="s">
        <v>193</v>
      </c>
      <c r="BT473" s="15" t="s">
        <v>194</v>
      </c>
      <c r="BU473" s="15" t="s">
        <v>195</v>
      </c>
      <c r="BV473" s="15" t="s">
        <v>196</v>
      </c>
      <c r="BW473" s="15" t="s">
        <v>193</v>
      </c>
      <c r="CB473" s="15" t="s">
        <v>129</v>
      </c>
      <c r="CC473" s="15">
        <v>1</v>
      </c>
      <c r="CM473" s="15" t="s">
        <v>1490</v>
      </c>
      <c r="CN473" s="15" t="s">
        <v>1491</v>
      </c>
      <c r="CW473" s="10">
        <v>2</v>
      </c>
      <c r="CX473" s="15" t="s">
        <v>1695</v>
      </c>
    </row>
    <row r="474" spans="1:102" s="15" customFormat="1" x14ac:dyDescent="0.3">
      <c r="A474" s="11" t="s">
        <v>126</v>
      </c>
      <c r="B474" s="10" t="s">
        <v>1696</v>
      </c>
      <c r="C474" s="12" t="s">
        <v>1697</v>
      </c>
      <c r="D474" s="10">
        <v>12</v>
      </c>
      <c r="E474" s="13">
        <v>5000000</v>
      </c>
      <c r="F474" s="14" t="s">
        <v>1484</v>
      </c>
      <c r="G474" s="14" t="s">
        <v>1484</v>
      </c>
      <c r="H474" s="15" t="s">
        <v>1694</v>
      </c>
      <c r="I474" s="8"/>
      <c r="J474" s="10"/>
      <c r="AW474" s="15" t="s">
        <v>128</v>
      </c>
      <c r="AX474" s="15" t="s">
        <v>1488</v>
      </c>
      <c r="AY474" s="15" t="s">
        <v>1489</v>
      </c>
      <c r="BH474" s="15" t="s">
        <v>184</v>
      </c>
      <c r="BI474" s="15" t="s">
        <v>185</v>
      </c>
      <c r="BJ474" s="15" t="s">
        <v>186</v>
      </c>
      <c r="BK474" s="15" t="s">
        <v>187</v>
      </c>
      <c r="BL474" s="15" t="s">
        <v>188</v>
      </c>
      <c r="BM474" s="15" t="s">
        <v>189</v>
      </c>
      <c r="BN474" s="15" t="s">
        <v>190</v>
      </c>
      <c r="BO474" s="15" t="s">
        <v>191</v>
      </c>
      <c r="BR474" s="15" t="s">
        <v>192</v>
      </c>
      <c r="BS474" s="15" t="s">
        <v>193</v>
      </c>
      <c r="BT474" s="15" t="s">
        <v>194</v>
      </c>
      <c r="BU474" s="15" t="s">
        <v>195</v>
      </c>
      <c r="BV474" s="15" t="s">
        <v>196</v>
      </c>
      <c r="BW474" s="15" t="s">
        <v>193</v>
      </c>
      <c r="CB474" s="15" t="s">
        <v>128</v>
      </c>
      <c r="CC474" s="15">
        <v>1</v>
      </c>
      <c r="CM474" s="15" t="s">
        <v>1490</v>
      </c>
      <c r="CN474" s="15" t="s">
        <v>1491</v>
      </c>
      <c r="CW474" s="10">
        <v>2</v>
      </c>
      <c r="CX474" s="15" t="s">
        <v>1698</v>
      </c>
    </row>
    <row r="475" spans="1:102" s="15" customFormat="1" x14ac:dyDescent="0.3">
      <c r="A475" s="11" t="s">
        <v>126</v>
      </c>
      <c r="B475" s="10" t="s">
        <v>1699</v>
      </c>
      <c r="C475" s="12" t="s">
        <v>1723</v>
      </c>
      <c r="D475" s="10">
        <v>12</v>
      </c>
      <c r="E475" s="13">
        <v>1000000</v>
      </c>
      <c r="F475" s="14" t="s">
        <v>269</v>
      </c>
      <c r="G475" s="14" t="s">
        <v>210</v>
      </c>
      <c r="H475" s="15" t="s">
        <v>254</v>
      </c>
      <c r="I475" s="8"/>
      <c r="J475" s="10"/>
      <c r="AV475" s="15" t="s">
        <v>212</v>
      </c>
      <c r="AW475" s="15" t="s">
        <v>213</v>
      </c>
      <c r="AX475" s="15" t="s">
        <v>1700</v>
      </c>
      <c r="BH475" s="15" t="s">
        <v>184</v>
      </c>
      <c r="BI475" s="15" t="s">
        <v>185</v>
      </c>
      <c r="BJ475" s="15" t="s">
        <v>186</v>
      </c>
      <c r="BK475" s="15" t="s">
        <v>187</v>
      </c>
      <c r="BL475" s="15" t="s">
        <v>188</v>
      </c>
      <c r="BM475" s="15" t="s">
        <v>189</v>
      </c>
      <c r="BN475" s="15" t="s">
        <v>190</v>
      </c>
      <c r="BO475" s="15" t="s">
        <v>191</v>
      </c>
      <c r="BR475" s="15" t="s">
        <v>192</v>
      </c>
      <c r="BS475" s="15" t="s">
        <v>193</v>
      </c>
      <c r="BT475" s="15" t="s">
        <v>194</v>
      </c>
      <c r="BU475" s="15" t="s">
        <v>195</v>
      </c>
      <c r="BV475" s="15" t="s">
        <v>196</v>
      </c>
      <c r="BW475" s="15" t="s">
        <v>193</v>
      </c>
      <c r="CB475" s="15" t="s">
        <v>129</v>
      </c>
      <c r="CC475" s="15">
        <v>1</v>
      </c>
      <c r="CN475" s="15" t="s">
        <v>1643</v>
      </c>
      <c r="CW475" s="10">
        <v>2</v>
      </c>
      <c r="CX475" s="15" t="s">
        <v>1701</v>
      </c>
    </row>
    <row r="476" spans="1:102" s="15" customFormat="1" x14ac:dyDescent="0.3">
      <c r="A476" s="11" t="s">
        <v>126</v>
      </c>
      <c r="B476" s="10" t="s">
        <v>1702</v>
      </c>
      <c r="C476" s="12" t="s">
        <v>1726</v>
      </c>
      <c r="D476" s="10">
        <v>12</v>
      </c>
      <c r="E476" s="13">
        <v>1000000</v>
      </c>
      <c r="F476" s="14" t="s">
        <v>269</v>
      </c>
      <c r="G476" s="14" t="s">
        <v>210</v>
      </c>
      <c r="H476" s="15" t="s">
        <v>254</v>
      </c>
      <c r="I476" s="8"/>
      <c r="J476" s="10"/>
      <c r="AV476" s="15" t="s">
        <v>212</v>
      </c>
      <c r="AW476" s="15" t="s">
        <v>213</v>
      </c>
      <c r="AX476" s="15" t="s">
        <v>1489</v>
      </c>
      <c r="BH476" s="15" t="s">
        <v>184</v>
      </c>
      <c r="BI476" s="15" t="s">
        <v>185</v>
      </c>
      <c r="BJ476" s="15" t="s">
        <v>186</v>
      </c>
      <c r="BK476" s="15" t="s">
        <v>187</v>
      </c>
      <c r="BL476" s="15" t="s">
        <v>188</v>
      </c>
      <c r="BM476" s="15" t="s">
        <v>189</v>
      </c>
      <c r="BN476" s="15" t="s">
        <v>190</v>
      </c>
      <c r="BO476" s="15" t="s">
        <v>191</v>
      </c>
      <c r="BR476" s="15" t="s">
        <v>192</v>
      </c>
      <c r="BS476" s="15" t="s">
        <v>193</v>
      </c>
      <c r="BT476" s="15" t="s">
        <v>194</v>
      </c>
      <c r="BU476" s="15" t="s">
        <v>195</v>
      </c>
      <c r="BV476" s="15" t="s">
        <v>196</v>
      </c>
      <c r="BW476" s="15" t="s">
        <v>193</v>
      </c>
      <c r="CB476" s="15" t="s">
        <v>129</v>
      </c>
      <c r="CC476" s="15">
        <v>1</v>
      </c>
      <c r="CN476" s="15" t="s">
        <v>1643</v>
      </c>
      <c r="CW476" s="10">
        <v>2</v>
      </c>
      <c r="CX476" s="15" t="s">
        <v>1703</v>
      </c>
    </row>
    <row r="477" spans="1:102" s="15" customFormat="1" x14ac:dyDescent="0.3">
      <c r="A477" s="11" t="s">
        <v>126</v>
      </c>
      <c r="B477" s="10" t="s">
        <v>1704</v>
      </c>
      <c r="C477" s="12" t="s">
        <v>1729</v>
      </c>
      <c r="D477" s="10">
        <v>12</v>
      </c>
      <c r="E477" s="13">
        <v>1000000</v>
      </c>
      <c r="F477" s="14" t="s">
        <v>269</v>
      </c>
      <c r="G477" s="14" t="s">
        <v>210</v>
      </c>
      <c r="H477" s="15" t="s">
        <v>254</v>
      </c>
      <c r="I477" s="8"/>
      <c r="J477" s="10"/>
      <c r="AV477" s="15" t="s">
        <v>212</v>
      </c>
      <c r="AW477" s="15" t="s">
        <v>213</v>
      </c>
      <c r="AX477" s="15" t="s">
        <v>1705</v>
      </c>
      <c r="BH477" s="15" t="s">
        <v>184</v>
      </c>
      <c r="BI477" s="15" t="s">
        <v>185</v>
      </c>
      <c r="BJ477" s="15" t="s">
        <v>186</v>
      </c>
      <c r="BK477" s="15" t="s">
        <v>187</v>
      </c>
      <c r="BL477" s="15" t="s">
        <v>188</v>
      </c>
      <c r="BM477" s="15" t="s">
        <v>189</v>
      </c>
      <c r="BN477" s="15" t="s">
        <v>190</v>
      </c>
      <c r="BO477" s="15" t="s">
        <v>191</v>
      </c>
      <c r="BR477" s="15" t="s">
        <v>192</v>
      </c>
      <c r="BS477" s="15" t="s">
        <v>193</v>
      </c>
      <c r="BT477" s="15" t="s">
        <v>194</v>
      </c>
      <c r="BU477" s="15" t="s">
        <v>195</v>
      </c>
      <c r="BV477" s="15" t="s">
        <v>196</v>
      </c>
      <c r="BW477" s="15" t="s">
        <v>193</v>
      </c>
      <c r="CB477" s="15" t="s">
        <v>129</v>
      </c>
      <c r="CC477" s="15">
        <v>1</v>
      </c>
      <c r="CN477" s="15" t="s">
        <v>1643</v>
      </c>
      <c r="CW477" s="10">
        <v>2</v>
      </c>
      <c r="CX477" s="15" t="s">
        <v>1706</v>
      </c>
    </row>
    <row r="478" spans="1:102" s="15" customFormat="1" x14ac:dyDescent="0.3">
      <c r="A478" s="11" t="s">
        <v>126</v>
      </c>
      <c r="B478" s="10" t="s">
        <v>1707</v>
      </c>
      <c r="C478" s="12" t="s">
        <v>1732</v>
      </c>
      <c r="D478" s="10">
        <v>12</v>
      </c>
      <c r="E478" s="13">
        <v>1000000</v>
      </c>
      <c r="F478" s="14" t="s">
        <v>269</v>
      </c>
      <c r="G478" s="14" t="s">
        <v>210</v>
      </c>
      <c r="H478" s="15" t="s">
        <v>254</v>
      </c>
      <c r="I478" s="8"/>
      <c r="J478" s="10"/>
      <c r="AV478" s="15" t="s">
        <v>212</v>
      </c>
      <c r="AW478" s="15" t="s">
        <v>213</v>
      </c>
      <c r="AX478" s="15" t="s">
        <v>1708</v>
      </c>
      <c r="BH478" s="15" t="s">
        <v>184</v>
      </c>
      <c r="BI478" s="15" t="s">
        <v>185</v>
      </c>
      <c r="BJ478" s="15" t="s">
        <v>186</v>
      </c>
      <c r="BK478" s="15" t="s">
        <v>187</v>
      </c>
      <c r="BL478" s="15" t="s">
        <v>188</v>
      </c>
      <c r="BM478" s="15" t="s">
        <v>189</v>
      </c>
      <c r="BN478" s="15" t="s">
        <v>190</v>
      </c>
      <c r="BO478" s="15" t="s">
        <v>191</v>
      </c>
      <c r="BR478" s="15" t="s">
        <v>192</v>
      </c>
      <c r="BS478" s="15" t="s">
        <v>193</v>
      </c>
      <c r="BT478" s="15" t="s">
        <v>194</v>
      </c>
      <c r="BU478" s="15" t="s">
        <v>195</v>
      </c>
      <c r="BV478" s="15" t="s">
        <v>196</v>
      </c>
      <c r="BW478" s="15" t="s">
        <v>193</v>
      </c>
      <c r="CB478" s="15" t="s">
        <v>129</v>
      </c>
      <c r="CC478" s="15">
        <v>1</v>
      </c>
      <c r="CN478" s="15" t="s">
        <v>1643</v>
      </c>
      <c r="CW478" s="10">
        <v>2</v>
      </c>
      <c r="CX478" s="15" t="s">
        <v>1709</v>
      </c>
    </row>
    <row r="479" spans="1:102" s="15" customFormat="1" x14ac:dyDescent="0.3">
      <c r="A479" s="11" t="s">
        <v>126</v>
      </c>
      <c r="B479" s="10" t="s">
        <v>1710</v>
      </c>
      <c r="C479" s="12" t="s">
        <v>1735</v>
      </c>
      <c r="D479" s="10">
        <v>12</v>
      </c>
      <c r="E479" s="13">
        <v>1000000</v>
      </c>
      <c r="F479" s="14" t="s">
        <v>269</v>
      </c>
      <c r="G479" s="14" t="s">
        <v>210</v>
      </c>
      <c r="H479" s="15" t="s">
        <v>254</v>
      </c>
      <c r="I479" s="8"/>
      <c r="J479" s="10"/>
      <c r="AV479" s="15" t="s">
        <v>212</v>
      </c>
      <c r="AW479" s="15" t="s">
        <v>213</v>
      </c>
      <c r="AX479" s="15" t="s">
        <v>1711</v>
      </c>
      <c r="BH479" s="15" t="s">
        <v>184</v>
      </c>
      <c r="BI479" s="15" t="s">
        <v>185</v>
      </c>
      <c r="BJ479" s="15" t="s">
        <v>186</v>
      </c>
      <c r="BK479" s="15" t="s">
        <v>187</v>
      </c>
      <c r="BL479" s="15" t="s">
        <v>188</v>
      </c>
      <c r="BM479" s="15" t="s">
        <v>189</v>
      </c>
      <c r="BN479" s="15" t="s">
        <v>190</v>
      </c>
      <c r="BO479" s="15" t="s">
        <v>191</v>
      </c>
      <c r="BR479" s="15" t="s">
        <v>192</v>
      </c>
      <c r="BS479" s="15" t="s">
        <v>193</v>
      </c>
      <c r="BT479" s="15" t="s">
        <v>194</v>
      </c>
      <c r="BU479" s="15" t="s">
        <v>195</v>
      </c>
      <c r="BV479" s="15" t="s">
        <v>196</v>
      </c>
      <c r="BW479" s="15" t="s">
        <v>193</v>
      </c>
      <c r="CB479" s="15" t="s">
        <v>129</v>
      </c>
      <c r="CC479" s="15">
        <v>1</v>
      </c>
      <c r="CN479" s="15" t="s">
        <v>1643</v>
      </c>
      <c r="CW479" s="10">
        <v>2</v>
      </c>
      <c r="CX479" s="15" t="s">
        <v>1712</v>
      </c>
    </row>
    <row r="480" spans="1:102" s="15" customFormat="1" x14ac:dyDescent="0.3">
      <c r="A480" s="11" t="s">
        <v>126</v>
      </c>
      <c r="B480" s="10" t="s">
        <v>1713</v>
      </c>
      <c r="C480" s="12" t="s">
        <v>1738</v>
      </c>
      <c r="D480" s="10">
        <v>12</v>
      </c>
      <c r="E480" s="13">
        <v>1000000</v>
      </c>
      <c r="F480" s="14" t="s">
        <v>269</v>
      </c>
      <c r="G480" s="14" t="s">
        <v>210</v>
      </c>
      <c r="H480" s="15" t="s">
        <v>254</v>
      </c>
      <c r="I480" s="8"/>
      <c r="J480" s="10"/>
      <c r="AV480" s="15" t="s">
        <v>212</v>
      </c>
      <c r="AW480" s="15" t="s">
        <v>213</v>
      </c>
      <c r="AX480" s="15" t="s">
        <v>1714</v>
      </c>
      <c r="BH480" s="15" t="s">
        <v>184</v>
      </c>
      <c r="BI480" s="15" t="s">
        <v>185</v>
      </c>
      <c r="BJ480" s="15" t="s">
        <v>186</v>
      </c>
      <c r="BK480" s="15" t="s">
        <v>187</v>
      </c>
      <c r="BL480" s="15" t="s">
        <v>188</v>
      </c>
      <c r="BM480" s="15" t="s">
        <v>189</v>
      </c>
      <c r="BN480" s="15" t="s">
        <v>190</v>
      </c>
      <c r="BO480" s="15" t="s">
        <v>191</v>
      </c>
      <c r="BR480" s="15" t="s">
        <v>192</v>
      </c>
      <c r="BS480" s="15" t="s">
        <v>193</v>
      </c>
      <c r="BT480" s="15" t="s">
        <v>194</v>
      </c>
      <c r="BU480" s="15" t="s">
        <v>195</v>
      </c>
      <c r="BV480" s="15" t="s">
        <v>196</v>
      </c>
      <c r="BW480" s="15" t="s">
        <v>193</v>
      </c>
      <c r="CB480" s="15" t="s">
        <v>129</v>
      </c>
      <c r="CC480" s="15">
        <v>1</v>
      </c>
      <c r="CN480" s="15" t="s">
        <v>1643</v>
      </c>
      <c r="CW480" s="10">
        <v>2</v>
      </c>
      <c r="CX480" s="15" t="s">
        <v>1715</v>
      </c>
    </row>
    <row r="481" spans="1:102" s="15" customFormat="1" x14ac:dyDescent="0.3">
      <c r="A481" s="11" t="s">
        <v>126</v>
      </c>
      <c r="B481" s="10" t="s">
        <v>1716</v>
      </c>
      <c r="C481" s="12" t="s">
        <v>1741</v>
      </c>
      <c r="D481" s="10">
        <v>12</v>
      </c>
      <c r="E481" s="13">
        <v>1000000</v>
      </c>
      <c r="F481" s="14" t="s">
        <v>269</v>
      </c>
      <c r="G481" s="14" t="s">
        <v>210</v>
      </c>
      <c r="H481" s="15" t="s">
        <v>254</v>
      </c>
      <c r="I481" s="8"/>
      <c r="J481" s="10"/>
      <c r="AV481" s="15" t="s">
        <v>212</v>
      </c>
      <c r="AW481" s="15" t="s">
        <v>213</v>
      </c>
      <c r="AX481" s="15" t="s">
        <v>1717</v>
      </c>
      <c r="BH481" s="15" t="s">
        <v>184</v>
      </c>
      <c r="BI481" s="15" t="s">
        <v>185</v>
      </c>
      <c r="BJ481" s="15" t="s">
        <v>186</v>
      </c>
      <c r="BK481" s="15" t="s">
        <v>187</v>
      </c>
      <c r="BL481" s="15" t="s">
        <v>188</v>
      </c>
      <c r="BM481" s="15" t="s">
        <v>189</v>
      </c>
      <c r="BN481" s="15" t="s">
        <v>190</v>
      </c>
      <c r="BO481" s="15" t="s">
        <v>191</v>
      </c>
      <c r="BR481" s="15" t="s">
        <v>192</v>
      </c>
      <c r="BS481" s="15" t="s">
        <v>193</v>
      </c>
      <c r="BT481" s="15" t="s">
        <v>194</v>
      </c>
      <c r="BU481" s="15" t="s">
        <v>195</v>
      </c>
      <c r="BV481" s="15" t="s">
        <v>196</v>
      </c>
      <c r="BW481" s="15" t="s">
        <v>193</v>
      </c>
      <c r="CB481" s="15" t="s">
        <v>129</v>
      </c>
      <c r="CC481" s="15">
        <v>1</v>
      </c>
      <c r="CN481" s="15" t="s">
        <v>1643</v>
      </c>
      <c r="CW481" s="10">
        <v>2</v>
      </c>
      <c r="CX481" s="15" t="s">
        <v>1718</v>
      </c>
    </row>
    <row r="482" spans="1:102" s="15" customFormat="1" x14ac:dyDescent="0.3">
      <c r="A482" s="11" t="s">
        <v>126</v>
      </c>
      <c r="B482" s="10" t="s">
        <v>1719</v>
      </c>
      <c r="C482" s="12" t="s">
        <v>1744</v>
      </c>
      <c r="D482" s="10">
        <v>12</v>
      </c>
      <c r="E482" s="13">
        <v>1000000</v>
      </c>
      <c r="F482" s="14" t="s">
        <v>269</v>
      </c>
      <c r="G482" s="14" t="s">
        <v>210</v>
      </c>
      <c r="H482" s="15" t="s">
        <v>254</v>
      </c>
      <c r="I482" s="8"/>
      <c r="J482" s="10"/>
      <c r="AV482" s="15" t="s">
        <v>212</v>
      </c>
      <c r="AW482" s="15" t="s">
        <v>213</v>
      </c>
      <c r="AX482" s="15" t="s">
        <v>1720</v>
      </c>
      <c r="BH482" s="15" t="s">
        <v>184</v>
      </c>
      <c r="BI482" s="15" t="s">
        <v>185</v>
      </c>
      <c r="BJ482" s="15" t="s">
        <v>186</v>
      </c>
      <c r="BK482" s="15" t="s">
        <v>187</v>
      </c>
      <c r="BL482" s="15" t="s">
        <v>188</v>
      </c>
      <c r="BM482" s="15" t="s">
        <v>189</v>
      </c>
      <c r="BN482" s="15" t="s">
        <v>190</v>
      </c>
      <c r="BO482" s="15" t="s">
        <v>191</v>
      </c>
      <c r="BR482" s="15" t="s">
        <v>192</v>
      </c>
      <c r="BS482" s="15" t="s">
        <v>193</v>
      </c>
      <c r="BT482" s="15" t="s">
        <v>194</v>
      </c>
      <c r="BU482" s="15" t="s">
        <v>195</v>
      </c>
      <c r="BV482" s="15" t="s">
        <v>196</v>
      </c>
      <c r="BW482" s="15" t="s">
        <v>193</v>
      </c>
      <c r="CB482" s="15" t="s">
        <v>129</v>
      </c>
      <c r="CC482" s="15">
        <v>1</v>
      </c>
      <c r="CN482" s="15" t="s">
        <v>1643</v>
      </c>
      <c r="CW482" s="10">
        <v>2</v>
      </c>
      <c r="CX482" s="15" t="s">
        <v>1721</v>
      </c>
    </row>
    <row r="483" spans="1:102" s="15" customFormat="1" x14ac:dyDescent="0.3">
      <c r="A483" s="11" t="s">
        <v>126</v>
      </c>
      <c r="B483" s="10" t="s">
        <v>1722</v>
      </c>
      <c r="C483" s="12" t="s">
        <v>1723</v>
      </c>
      <c r="D483" s="10">
        <v>12</v>
      </c>
      <c r="E483" s="13">
        <v>1000000</v>
      </c>
      <c r="F483" s="14" t="s">
        <v>210</v>
      </c>
      <c r="G483" s="14" t="s">
        <v>210</v>
      </c>
      <c r="H483" s="15" t="s">
        <v>254</v>
      </c>
      <c r="I483" s="8"/>
      <c r="J483" s="10"/>
      <c r="AW483" s="15" t="s">
        <v>128</v>
      </c>
      <c r="AX483" s="15" t="s">
        <v>1700</v>
      </c>
      <c r="BH483" s="15" t="s">
        <v>184</v>
      </c>
      <c r="BI483" s="15" t="s">
        <v>185</v>
      </c>
      <c r="BJ483" s="15" t="s">
        <v>186</v>
      </c>
      <c r="BK483" s="15" t="s">
        <v>187</v>
      </c>
      <c r="BL483" s="15" t="s">
        <v>188</v>
      </c>
      <c r="BM483" s="15" t="s">
        <v>189</v>
      </c>
      <c r="BN483" s="15" t="s">
        <v>190</v>
      </c>
      <c r="BO483" s="15" t="s">
        <v>191</v>
      </c>
      <c r="BR483" s="15" t="s">
        <v>192</v>
      </c>
      <c r="BS483" s="15" t="s">
        <v>193</v>
      </c>
      <c r="BT483" s="15" t="s">
        <v>194</v>
      </c>
      <c r="BU483" s="15" t="s">
        <v>195</v>
      </c>
      <c r="BV483" s="15" t="s">
        <v>196</v>
      </c>
      <c r="BW483" s="15" t="s">
        <v>193</v>
      </c>
      <c r="CB483" s="15" t="s">
        <v>128</v>
      </c>
      <c r="CC483" s="15">
        <v>1</v>
      </c>
      <c r="CN483" s="15" t="s">
        <v>503</v>
      </c>
      <c r="CW483" s="10">
        <v>2</v>
      </c>
      <c r="CX483" s="15" t="s">
        <v>1724</v>
      </c>
    </row>
    <row r="484" spans="1:102" s="15" customFormat="1" x14ac:dyDescent="0.3">
      <c r="A484" s="11" t="s">
        <v>126</v>
      </c>
      <c r="B484" s="10" t="s">
        <v>1725</v>
      </c>
      <c r="C484" s="12" t="s">
        <v>1726</v>
      </c>
      <c r="D484" s="10">
        <v>12</v>
      </c>
      <c r="E484" s="13">
        <v>1000000</v>
      </c>
      <c r="F484" s="14" t="s">
        <v>210</v>
      </c>
      <c r="G484" s="14" t="s">
        <v>210</v>
      </c>
      <c r="H484" s="15" t="s">
        <v>254</v>
      </c>
      <c r="I484" s="8"/>
      <c r="J484" s="10"/>
      <c r="AW484" s="15" t="s">
        <v>128</v>
      </c>
      <c r="AX484" s="15" t="s">
        <v>1489</v>
      </c>
      <c r="BH484" s="15" t="s">
        <v>184</v>
      </c>
      <c r="BI484" s="15" t="s">
        <v>185</v>
      </c>
      <c r="BJ484" s="15" t="s">
        <v>186</v>
      </c>
      <c r="BK484" s="15" t="s">
        <v>187</v>
      </c>
      <c r="BL484" s="15" t="s">
        <v>188</v>
      </c>
      <c r="BM484" s="15" t="s">
        <v>189</v>
      </c>
      <c r="BN484" s="15" t="s">
        <v>190</v>
      </c>
      <c r="BO484" s="15" t="s">
        <v>191</v>
      </c>
      <c r="BR484" s="15" t="s">
        <v>192</v>
      </c>
      <c r="BS484" s="15" t="s">
        <v>193</v>
      </c>
      <c r="BT484" s="15" t="s">
        <v>194</v>
      </c>
      <c r="BU484" s="15" t="s">
        <v>195</v>
      </c>
      <c r="BV484" s="15" t="s">
        <v>196</v>
      </c>
      <c r="BW484" s="15" t="s">
        <v>193</v>
      </c>
      <c r="CB484" s="15" t="s">
        <v>128</v>
      </c>
      <c r="CC484" s="15">
        <v>1</v>
      </c>
      <c r="CN484" s="15" t="s">
        <v>503</v>
      </c>
      <c r="CW484" s="10">
        <v>2</v>
      </c>
      <c r="CX484" s="15" t="s">
        <v>1727</v>
      </c>
    </row>
    <row r="485" spans="1:102" s="15" customFormat="1" x14ac:dyDescent="0.3">
      <c r="A485" s="11" t="s">
        <v>126</v>
      </c>
      <c r="B485" s="10" t="s">
        <v>1728</v>
      </c>
      <c r="C485" s="12" t="s">
        <v>1729</v>
      </c>
      <c r="D485" s="10">
        <v>12</v>
      </c>
      <c r="E485" s="13">
        <v>1000000</v>
      </c>
      <c r="F485" s="14" t="s">
        <v>210</v>
      </c>
      <c r="G485" s="14" t="s">
        <v>210</v>
      </c>
      <c r="H485" s="15" t="s">
        <v>254</v>
      </c>
      <c r="I485" s="8"/>
      <c r="J485" s="10"/>
      <c r="AW485" s="15" t="s">
        <v>128</v>
      </c>
      <c r="AX485" s="15" t="s">
        <v>1705</v>
      </c>
      <c r="BH485" s="15" t="s">
        <v>184</v>
      </c>
      <c r="BI485" s="15" t="s">
        <v>185</v>
      </c>
      <c r="BJ485" s="15" t="s">
        <v>186</v>
      </c>
      <c r="BK485" s="15" t="s">
        <v>187</v>
      </c>
      <c r="BL485" s="15" t="s">
        <v>188</v>
      </c>
      <c r="BM485" s="15" t="s">
        <v>189</v>
      </c>
      <c r="BN485" s="15" t="s">
        <v>190</v>
      </c>
      <c r="BO485" s="15" t="s">
        <v>191</v>
      </c>
      <c r="BR485" s="15" t="s">
        <v>192</v>
      </c>
      <c r="BS485" s="15" t="s">
        <v>193</v>
      </c>
      <c r="BT485" s="15" t="s">
        <v>194</v>
      </c>
      <c r="BU485" s="15" t="s">
        <v>195</v>
      </c>
      <c r="BV485" s="15" t="s">
        <v>196</v>
      </c>
      <c r="BW485" s="15" t="s">
        <v>193</v>
      </c>
      <c r="CB485" s="15" t="s">
        <v>128</v>
      </c>
      <c r="CC485" s="15">
        <v>1</v>
      </c>
      <c r="CN485" s="15" t="s">
        <v>503</v>
      </c>
      <c r="CW485" s="10">
        <v>2</v>
      </c>
      <c r="CX485" s="15" t="s">
        <v>1730</v>
      </c>
    </row>
    <row r="486" spans="1:102" s="15" customFormat="1" x14ac:dyDescent="0.3">
      <c r="A486" s="11" t="s">
        <v>126</v>
      </c>
      <c r="B486" s="10" t="s">
        <v>1731</v>
      </c>
      <c r="C486" s="12" t="s">
        <v>1732</v>
      </c>
      <c r="D486" s="10">
        <v>12</v>
      </c>
      <c r="E486" s="13">
        <v>1000000</v>
      </c>
      <c r="F486" s="14" t="s">
        <v>210</v>
      </c>
      <c r="G486" s="14" t="s">
        <v>210</v>
      </c>
      <c r="H486" s="15" t="s">
        <v>254</v>
      </c>
      <c r="I486" s="8"/>
      <c r="J486" s="10"/>
      <c r="AW486" s="15" t="s">
        <v>128</v>
      </c>
      <c r="AX486" s="15" t="s">
        <v>1708</v>
      </c>
      <c r="BH486" s="15" t="s">
        <v>184</v>
      </c>
      <c r="BI486" s="15" t="s">
        <v>185</v>
      </c>
      <c r="BJ486" s="15" t="s">
        <v>186</v>
      </c>
      <c r="BK486" s="15" t="s">
        <v>187</v>
      </c>
      <c r="BL486" s="15" t="s">
        <v>188</v>
      </c>
      <c r="BM486" s="15" t="s">
        <v>189</v>
      </c>
      <c r="BN486" s="15" t="s">
        <v>190</v>
      </c>
      <c r="BO486" s="15" t="s">
        <v>191</v>
      </c>
      <c r="BR486" s="15" t="s">
        <v>192</v>
      </c>
      <c r="BS486" s="15" t="s">
        <v>193</v>
      </c>
      <c r="BT486" s="15" t="s">
        <v>194</v>
      </c>
      <c r="BU486" s="15" t="s">
        <v>195</v>
      </c>
      <c r="BV486" s="15" t="s">
        <v>196</v>
      </c>
      <c r="BW486" s="15" t="s">
        <v>193</v>
      </c>
      <c r="CB486" s="15" t="s">
        <v>128</v>
      </c>
      <c r="CC486" s="15">
        <v>1</v>
      </c>
      <c r="CN486" s="15" t="s">
        <v>503</v>
      </c>
      <c r="CW486" s="10">
        <v>2</v>
      </c>
      <c r="CX486" s="15" t="s">
        <v>1733</v>
      </c>
    </row>
    <row r="487" spans="1:102" s="15" customFormat="1" x14ac:dyDescent="0.3">
      <c r="A487" s="11" t="s">
        <v>126</v>
      </c>
      <c r="B487" s="10" t="s">
        <v>1734</v>
      </c>
      <c r="C487" s="12" t="s">
        <v>1735</v>
      </c>
      <c r="D487" s="10">
        <v>12</v>
      </c>
      <c r="E487" s="13">
        <v>1000000</v>
      </c>
      <c r="F487" s="14" t="s">
        <v>210</v>
      </c>
      <c r="G487" s="14" t="s">
        <v>210</v>
      </c>
      <c r="H487" s="15" t="s">
        <v>254</v>
      </c>
      <c r="I487" s="8"/>
      <c r="J487" s="10"/>
      <c r="AW487" s="15" t="s">
        <v>128</v>
      </c>
      <c r="AX487" s="15" t="s">
        <v>1711</v>
      </c>
      <c r="BH487" s="15" t="s">
        <v>184</v>
      </c>
      <c r="BI487" s="15" t="s">
        <v>185</v>
      </c>
      <c r="BJ487" s="15" t="s">
        <v>186</v>
      </c>
      <c r="BK487" s="15" t="s">
        <v>187</v>
      </c>
      <c r="BL487" s="15" t="s">
        <v>188</v>
      </c>
      <c r="BM487" s="15" t="s">
        <v>189</v>
      </c>
      <c r="BN487" s="15" t="s">
        <v>190</v>
      </c>
      <c r="BO487" s="15" t="s">
        <v>191</v>
      </c>
      <c r="BR487" s="15" t="s">
        <v>192</v>
      </c>
      <c r="BS487" s="15" t="s">
        <v>193</v>
      </c>
      <c r="BT487" s="15" t="s">
        <v>194</v>
      </c>
      <c r="BU487" s="15" t="s">
        <v>195</v>
      </c>
      <c r="BV487" s="15" t="s">
        <v>196</v>
      </c>
      <c r="BW487" s="15" t="s">
        <v>193</v>
      </c>
      <c r="CB487" s="15" t="s">
        <v>128</v>
      </c>
      <c r="CC487" s="15">
        <v>1</v>
      </c>
      <c r="CN487" s="15" t="s">
        <v>503</v>
      </c>
      <c r="CW487" s="10">
        <v>2</v>
      </c>
      <c r="CX487" s="15" t="s">
        <v>1736</v>
      </c>
    </row>
    <row r="488" spans="1:102" s="15" customFormat="1" x14ac:dyDescent="0.3">
      <c r="A488" s="11" t="s">
        <v>126</v>
      </c>
      <c r="B488" s="10" t="s">
        <v>1737</v>
      </c>
      <c r="C488" s="12" t="s">
        <v>1738</v>
      </c>
      <c r="D488" s="10">
        <v>12</v>
      </c>
      <c r="E488" s="13">
        <v>1000000</v>
      </c>
      <c r="F488" s="14" t="s">
        <v>210</v>
      </c>
      <c r="G488" s="14" t="s">
        <v>210</v>
      </c>
      <c r="H488" s="15" t="s">
        <v>254</v>
      </c>
      <c r="I488" s="8"/>
      <c r="J488" s="10"/>
      <c r="AW488" s="15" t="s">
        <v>128</v>
      </c>
      <c r="AX488" s="15" t="s">
        <v>1714</v>
      </c>
      <c r="BH488" s="15" t="s">
        <v>184</v>
      </c>
      <c r="BI488" s="15" t="s">
        <v>185</v>
      </c>
      <c r="BJ488" s="15" t="s">
        <v>186</v>
      </c>
      <c r="BK488" s="15" t="s">
        <v>187</v>
      </c>
      <c r="BL488" s="15" t="s">
        <v>188</v>
      </c>
      <c r="BM488" s="15" t="s">
        <v>189</v>
      </c>
      <c r="BN488" s="15" t="s">
        <v>190</v>
      </c>
      <c r="BO488" s="15" t="s">
        <v>191</v>
      </c>
      <c r="BR488" s="15" t="s">
        <v>192</v>
      </c>
      <c r="BS488" s="15" t="s">
        <v>193</v>
      </c>
      <c r="BT488" s="15" t="s">
        <v>194</v>
      </c>
      <c r="BU488" s="15" t="s">
        <v>195</v>
      </c>
      <c r="BV488" s="15" t="s">
        <v>196</v>
      </c>
      <c r="BW488" s="15" t="s">
        <v>193</v>
      </c>
      <c r="CB488" s="15" t="s">
        <v>128</v>
      </c>
      <c r="CC488" s="15">
        <v>1</v>
      </c>
      <c r="CN488" s="15" t="s">
        <v>503</v>
      </c>
      <c r="CW488" s="10">
        <v>2</v>
      </c>
      <c r="CX488" s="15" t="s">
        <v>1739</v>
      </c>
    </row>
    <row r="489" spans="1:102" s="15" customFormat="1" x14ac:dyDescent="0.3">
      <c r="A489" s="11" t="s">
        <v>126</v>
      </c>
      <c r="B489" s="10" t="s">
        <v>1740</v>
      </c>
      <c r="C489" s="12" t="s">
        <v>1741</v>
      </c>
      <c r="D489" s="10">
        <v>12</v>
      </c>
      <c r="E489" s="13">
        <v>1000000</v>
      </c>
      <c r="F489" s="14" t="s">
        <v>210</v>
      </c>
      <c r="G489" s="14" t="s">
        <v>210</v>
      </c>
      <c r="H489" s="15" t="s">
        <v>254</v>
      </c>
      <c r="I489" s="8"/>
      <c r="J489" s="10"/>
      <c r="AW489" s="15" t="s">
        <v>128</v>
      </c>
      <c r="AX489" s="15" t="s">
        <v>1717</v>
      </c>
      <c r="BH489" s="15" t="s">
        <v>184</v>
      </c>
      <c r="BI489" s="15" t="s">
        <v>185</v>
      </c>
      <c r="BJ489" s="15" t="s">
        <v>186</v>
      </c>
      <c r="BK489" s="15" t="s">
        <v>187</v>
      </c>
      <c r="BL489" s="15" t="s">
        <v>188</v>
      </c>
      <c r="BM489" s="15" t="s">
        <v>189</v>
      </c>
      <c r="BN489" s="15" t="s">
        <v>190</v>
      </c>
      <c r="BO489" s="15" t="s">
        <v>191</v>
      </c>
      <c r="BR489" s="15" t="s">
        <v>192</v>
      </c>
      <c r="BS489" s="15" t="s">
        <v>193</v>
      </c>
      <c r="BT489" s="15" t="s">
        <v>194</v>
      </c>
      <c r="BU489" s="15" t="s">
        <v>195</v>
      </c>
      <c r="BV489" s="15" t="s">
        <v>196</v>
      </c>
      <c r="BW489" s="15" t="s">
        <v>193</v>
      </c>
      <c r="CB489" s="15" t="s">
        <v>128</v>
      </c>
      <c r="CC489" s="15">
        <v>1</v>
      </c>
      <c r="CN489" s="15" t="s">
        <v>503</v>
      </c>
      <c r="CW489" s="10">
        <v>2</v>
      </c>
      <c r="CX489" s="15" t="s">
        <v>1742</v>
      </c>
    </row>
    <row r="490" spans="1:102" s="15" customFormat="1" x14ac:dyDescent="0.3">
      <c r="A490" s="11" t="s">
        <v>126</v>
      </c>
      <c r="B490" s="10" t="s">
        <v>1743</v>
      </c>
      <c r="C490" s="12" t="s">
        <v>1744</v>
      </c>
      <c r="D490" s="10">
        <v>12</v>
      </c>
      <c r="E490" s="13">
        <v>1000000</v>
      </c>
      <c r="F490" s="14" t="s">
        <v>210</v>
      </c>
      <c r="G490" s="14" t="s">
        <v>210</v>
      </c>
      <c r="H490" s="15" t="s">
        <v>254</v>
      </c>
      <c r="I490" s="8"/>
      <c r="J490" s="10"/>
      <c r="AW490" s="15" t="s">
        <v>128</v>
      </c>
      <c r="AX490" s="15" t="s">
        <v>1720</v>
      </c>
      <c r="BH490" s="15" t="s">
        <v>184</v>
      </c>
      <c r="BI490" s="15" t="s">
        <v>185</v>
      </c>
      <c r="BJ490" s="15" t="s">
        <v>186</v>
      </c>
      <c r="BK490" s="15" t="s">
        <v>187</v>
      </c>
      <c r="BL490" s="15" t="s">
        <v>188</v>
      </c>
      <c r="BM490" s="15" t="s">
        <v>189</v>
      </c>
      <c r="BN490" s="15" t="s">
        <v>190</v>
      </c>
      <c r="BO490" s="15" t="s">
        <v>191</v>
      </c>
      <c r="BR490" s="15" t="s">
        <v>192</v>
      </c>
      <c r="BS490" s="15" t="s">
        <v>193</v>
      </c>
      <c r="BT490" s="15" t="s">
        <v>194</v>
      </c>
      <c r="BU490" s="15" t="s">
        <v>195</v>
      </c>
      <c r="BV490" s="15" t="s">
        <v>196</v>
      </c>
      <c r="BW490" s="15" t="s">
        <v>193</v>
      </c>
      <c r="CB490" s="15" t="s">
        <v>128</v>
      </c>
      <c r="CC490" s="15">
        <v>1</v>
      </c>
      <c r="CN490" s="15" t="s">
        <v>503</v>
      </c>
      <c r="CW490" s="10">
        <v>2</v>
      </c>
      <c r="CX490" s="15" t="s">
        <v>1745</v>
      </c>
    </row>
    <row r="491" spans="1:102" s="15" customFormat="1" x14ac:dyDescent="0.3">
      <c r="A491" s="11" t="s">
        <v>126</v>
      </c>
      <c r="B491" s="10" t="s">
        <v>1746</v>
      </c>
      <c r="C491" s="12" t="s">
        <v>1749</v>
      </c>
      <c r="D491" s="10">
        <v>12</v>
      </c>
      <c r="E491" s="13">
        <v>1000000</v>
      </c>
      <c r="F491" s="14" t="s">
        <v>269</v>
      </c>
      <c r="G491" s="14" t="s">
        <v>210</v>
      </c>
      <c r="H491" s="15" t="s">
        <v>312</v>
      </c>
      <c r="I491" s="8"/>
      <c r="J491" s="10"/>
      <c r="AV491" s="15" t="s">
        <v>212</v>
      </c>
      <c r="AW491" s="15" t="s">
        <v>213</v>
      </c>
      <c r="AX491" s="15" t="s">
        <v>1700</v>
      </c>
      <c r="BH491" s="15" t="s">
        <v>184</v>
      </c>
      <c r="BI491" s="15" t="s">
        <v>185</v>
      </c>
      <c r="BJ491" s="15" t="s">
        <v>186</v>
      </c>
      <c r="BK491" s="15" t="s">
        <v>187</v>
      </c>
      <c r="BL491" s="15" t="s">
        <v>188</v>
      </c>
      <c r="BM491" s="15" t="s">
        <v>189</v>
      </c>
      <c r="BN491" s="15" t="s">
        <v>190</v>
      </c>
      <c r="BO491" s="15" t="s">
        <v>191</v>
      </c>
      <c r="BR491" s="15" t="s">
        <v>192</v>
      </c>
      <c r="BS491" s="15" t="s">
        <v>193</v>
      </c>
      <c r="BT491" s="15" t="s">
        <v>194</v>
      </c>
      <c r="BU491" s="15" t="s">
        <v>195</v>
      </c>
      <c r="BV491" s="15" t="s">
        <v>196</v>
      </c>
      <c r="BW491" s="15" t="s">
        <v>193</v>
      </c>
      <c r="CB491" s="15" t="s">
        <v>129</v>
      </c>
      <c r="CC491" s="15">
        <v>1</v>
      </c>
      <c r="CN491" s="15" t="s">
        <v>1643</v>
      </c>
      <c r="CW491" s="10">
        <v>2</v>
      </c>
      <c r="CX491" s="15" t="s">
        <v>1747</v>
      </c>
    </row>
    <row r="492" spans="1:102" s="15" customFormat="1" x14ac:dyDescent="0.3">
      <c r="A492" s="11" t="s">
        <v>126</v>
      </c>
      <c r="B492" s="10" t="s">
        <v>1748</v>
      </c>
      <c r="C492" s="12" t="s">
        <v>1749</v>
      </c>
      <c r="D492" s="10">
        <v>12</v>
      </c>
      <c r="E492" s="13">
        <v>1000000</v>
      </c>
      <c r="F492" s="14" t="s">
        <v>210</v>
      </c>
      <c r="G492" s="14" t="s">
        <v>210</v>
      </c>
      <c r="H492" s="15" t="s">
        <v>312</v>
      </c>
      <c r="I492" s="8"/>
      <c r="J492" s="10"/>
      <c r="AW492" s="15" t="s">
        <v>128</v>
      </c>
      <c r="AX492" s="15" t="s">
        <v>1700</v>
      </c>
      <c r="BH492" s="15" t="s">
        <v>184</v>
      </c>
      <c r="BI492" s="15" t="s">
        <v>185</v>
      </c>
      <c r="BJ492" s="15" t="s">
        <v>186</v>
      </c>
      <c r="BK492" s="15" t="s">
        <v>187</v>
      </c>
      <c r="BL492" s="15" t="s">
        <v>188</v>
      </c>
      <c r="BM492" s="15" t="s">
        <v>189</v>
      </c>
      <c r="BN492" s="15" t="s">
        <v>190</v>
      </c>
      <c r="BO492" s="15" t="s">
        <v>191</v>
      </c>
      <c r="BR492" s="15" t="s">
        <v>192</v>
      </c>
      <c r="BS492" s="15" t="s">
        <v>193</v>
      </c>
      <c r="BT492" s="15" t="s">
        <v>194</v>
      </c>
      <c r="BU492" s="15" t="s">
        <v>195</v>
      </c>
      <c r="BV492" s="15" t="s">
        <v>196</v>
      </c>
      <c r="BW492" s="15" t="s">
        <v>193</v>
      </c>
      <c r="CB492" s="15" t="s">
        <v>128</v>
      </c>
      <c r="CC492" s="15">
        <v>1</v>
      </c>
      <c r="CN492" s="15" t="s">
        <v>503</v>
      </c>
      <c r="CW492" s="10">
        <v>2</v>
      </c>
      <c r="CX492" s="15" t="s">
        <v>1750</v>
      </c>
    </row>
    <row r="493" spans="1:102" s="15" customFormat="1" x14ac:dyDescent="0.3">
      <c r="A493" s="11" t="s">
        <v>126</v>
      </c>
      <c r="B493" s="10" t="s">
        <v>1751</v>
      </c>
      <c r="C493" s="12" t="s">
        <v>1752</v>
      </c>
      <c r="D493" s="10">
        <v>12</v>
      </c>
      <c r="E493" s="13">
        <v>1000000</v>
      </c>
      <c r="F493" s="14" t="s">
        <v>210</v>
      </c>
      <c r="G493" s="14" t="s">
        <v>210</v>
      </c>
      <c r="H493" s="15" t="s">
        <v>312</v>
      </c>
      <c r="I493" s="8"/>
      <c r="J493" s="10"/>
      <c r="AW493" s="15" t="s">
        <v>128</v>
      </c>
      <c r="AX493" s="15" t="s">
        <v>1700</v>
      </c>
      <c r="BH493" s="15" t="s">
        <v>184</v>
      </c>
      <c r="BI493" s="15" t="s">
        <v>185</v>
      </c>
      <c r="BJ493" s="15" t="s">
        <v>186</v>
      </c>
      <c r="BK493" s="15" t="s">
        <v>187</v>
      </c>
      <c r="BL493" s="15" t="s">
        <v>188</v>
      </c>
      <c r="BM493" s="15" t="s">
        <v>189</v>
      </c>
      <c r="BN493" s="15" t="s">
        <v>190</v>
      </c>
      <c r="BO493" s="15" t="s">
        <v>191</v>
      </c>
      <c r="BR493" s="15" t="s">
        <v>192</v>
      </c>
      <c r="BS493" s="15" t="s">
        <v>193</v>
      </c>
      <c r="BT493" s="15" t="s">
        <v>194</v>
      </c>
      <c r="BU493" s="15" t="s">
        <v>195</v>
      </c>
      <c r="BV493" s="15" t="s">
        <v>196</v>
      </c>
      <c r="BW493" s="15" t="s">
        <v>193</v>
      </c>
      <c r="CB493" s="15" t="s">
        <v>128</v>
      </c>
      <c r="CC493" s="15">
        <v>1</v>
      </c>
      <c r="CN493" s="15" t="s">
        <v>503</v>
      </c>
      <c r="CW493" s="10">
        <v>2</v>
      </c>
      <c r="CX493" s="15" t="s">
        <v>1753</v>
      </c>
    </row>
    <row r="494" spans="1:102" s="15" customFormat="1" x14ac:dyDescent="0.3">
      <c r="A494" s="11" t="s">
        <v>126</v>
      </c>
      <c r="B494" s="10" t="s">
        <v>1754</v>
      </c>
      <c r="C494" s="12" t="s">
        <v>1757</v>
      </c>
      <c r="D494" s="10">
        <v>12</v>
      </c>
      <c r="E494" s="13">
        <v>1000000</v>
      </c>
      <c r="F494" s="14" t="s">
        <v>269</v>
      </c>
      <c r="G494" s="14" t="s">
        <v>210</v>
      </c>
      <c r="H494" s="15" t="s">
        <v>312</v>
      </c>
      <c r="I494" s="8"/>
      <c r="J494" s="10"/>
      <c r="AV494" s="15" t="s">
        <v>212</v>
      </c>
      <c r="AW494" s="15" t="s">
        <v>213</v>
      </c>
      <c r="AX494" s="15" t="s">
        <v>1489</v>
      </c>
      <c r="BH494" s="15" t="s">
        <v>184</v>
      </c>
      <c r="BI494" s="15" t="s">
        <v>185</v>
      </c>
      <c r="BJ494" s="15" t="s">
        <v>186</v>
      </c>
      <c r="BK494" s="15" t="s">
        <v>187</v>
      </c>
      <c r="BL494" s="15" t="s">
        <v>188</v>
      </c>
      <c r="BM494" s="15" t="s">
        <v>189</v>
      </c>
      <c r="BN494" s="15" t="s">
        <v>190</v>
      </c>
      <c r="BO494" s="15" t="s">
        <v>191</v>
      </c>
      <c r="BR494" s="15" t="s">
        <v>192</v>
      </c>
      <c r="BS494" s="15" t="s">
        <v>193</v>
      </c>
      <c r="BT494" s="15" t="s">
        <v>194</v>
      </c>
      <c r="BU494" s="15" t="s">
        <v>195</v>
      </c>
      <c r="BV494" s="15" t="s">
        <v>196</v>
      </c>
      <c r="BW494" s="15" t="s">
        <v>193</v>
      </c>
      <c r="CB494" s="15" t="s">
        <v>129</v>
      </c>
      <c r="CC494" s="15">
        <v>1</v>
      </c>
      <c r="CN494" s="15" t="s">
        <v>1643</v>
      </c>
      <c r="CW494" s="10">
        <v>2</v>
      </c>
      <c r="CX494" s="15" t="s">
        <v>1755</v>
      </c>
    </row>
    <row r="495" spans="1:102" s="15" customFormat="1" x14ac:dyDescent="0.3">
      <c r="A495" s="11" t="s">
        <v>126</v>
      </c>
      <c r="B495" s="10" t="s">
        <v>1756</v>
      </c>
      <c r="C495" s="12" t="s">
        <v>1757</v>
      </c>
      <c r="D495" s="10">
        <v>12</v>
      </c>
      <c r="E495" s="13">
        <v>1000000</v>
      </c>
      <c r="F495" s="14" t="s">
        <v>210</v>
      </c>
      <c r="G495" s="14" t="s">
        <v>210</v>
      </c>
      <c r="H495" s="15" t="s">
        <v>312</v>
      </c>
      <c r="I495" s="8"/>
      <c r="J495" s="10"/>
      <c r="AW495" s="15" t="s">
        <v>128</v>
      </c>
      <c r="AX495" s="15" t="s">
        <v>1489</v>
      </c>
      <c r="BH495" s="15" t="s">
        <v>184</v>
      </c>
      <c r="BI495" s="15" t="s">
        <v>185</v>
      </c>
      <c r="BJ495" s="15" t="s">
        <v>186</v>
      </c>
      <c r="BK495" s="15" t="s">
        <v>187</v>
      </c>
      <c r="BL495" s="15" t="s">
        <v>188</v>
      </c>
      <c r="BM495" s="15" t="s">
        <v>189</v>
      </c>
      <c r="BN495" s="15" t="s">
        <v>190</v>
      </c>
      <c r="BO495" s="15" t="s">
        <v>191</v>
      </c>
      <c r="BR495" s="15" t="s">
        <v>192</v>
      </c>
      <c r="BS495" s="15" t="s">
        <v>193</v>
      </c>
      <c r="BT495" s="15" t="s">
        <v>194</v>
      </c>
      <c r="BU495" s="15" t="s">
        <v>195</v>
      </c>
      <c r="BV495" s="15" t="s">
        <v>196</v>
      </c>
      <c r="BW495" s="15" t="s">
        <v>193</v>
      </c>
      <c r="CB495" s="15" t="s">
        <v>128</v>
      </c>
      <c r="CC495" s="15">
        <v>1</v>
      </c>
      <c r="CN495" s="15" t="s">
        <v>503</v>
      </c>
      <c r="CW495" s="10">
        <v>2</v>
      </c>
      <c r="CX495" s="15" t="s">
        <v>1758</v>
      </c>
    </row>
    <row r="496" spans="1:102" s="15" customFormat="1" x14ac:dyDescent="0.3">
      <c r="A496" s="11" t="s">
        <v>126</v>
      </c>
      <c r="B496" s="10" t="s">
        <v>1759</v>
      </c>
      <c r="C496" s="12" t="s">
        <v>1760</v>
      </c>
      <c r="D496" s="10">
        <v>12</v>
      </c>
      <c r="E496" s="13">
        <v>1000000</v>
      </c>
      <c r="F496" s="14" t="s">
        <v>210</v>
      </c>
      <c r="G496" s="14" t="s">
        <v>210</v>
      </c>
      <c r="H496" s="15" t="s">
        <v>312</v>
      </c>
      <c r="I496" s="8"/>
      <c r="J496" s="10"/>
      <c r="AW496" s="15" t="s">
        <v>128</v>
      </c>
      <c r="AX496" s="15" t="s">
        <v>1489</v>
      </c>
      <c r="BH496" s="15" t="s">
        <v>184</v>
      </c>
      <c r="BI496" s="15" t="s">
        <v>185</v>
      </c>
      <c r="BJ496" s="15" t="s">
        <v>186</v>
      </c>
      <c r="BK496" s="15" t="s">
        <v>187</v>
      </c>
      <c r="BL496" s="15" t="s">
        <v>188</v>
      </c>
      <c r="BM496" s="15" t="s">
        <v>189</v>
      </c>
      <c r="BN496" s="15" t="s">
        <v>190</v>
      </c>
      <c r="BO496" s="15" t="s">
        <v>191</v>
      </c>
      <c r="BR496" s="15" t="s">
        <v>192</v>
      </c>
      <c r="BS496" s="15" t="s">
        <v>193</v>
      </c>
      <c r="BT496" s="15" t="s">
        <v>194</v>
      </c>
      <c r="BU496" s="15" t="s">
        <v>195</v>
      </c>
      <c r="BV496" s="15" t="s">
        <v>196</v>
      </c>
      <c r="BW496" s="15" t="s">
        <v>193</v>
      </c>
      <c r="CB496" s="15" t="s">
        <v>128</v>
      </c>
      <c r="CC496" s="15">
        <v>1</v>
      </c>
      <c r="CN496" s="15" t="s">
        <v>503</v>
      </c>
      <c r="CW496" s="10">
        <v>2</v>
      </c>
      <c r="CX496" s="15" t="s">
        <v>1761</v>
      </c>
    </row>
    <row r="497" spans="1:102" s="15" customFormat="1" x14ac:dyDescent="0.3">
      <c r="A497" s="11" t="s">
        <v>126</v>
      </c>
      <c r="B497" s="10" t="s">
        <v>1762</v>
      </c>
      <c r="C497" s="12" t="s">
        <v>1765</v>
      </c>
      <c r="D497" s="10">
        <v>12</v>
      </c>
      <c r="E497" s="13">
        <v>1000000</v>
      </c>
      <c r="F497" s="14" t="s">
        <v>269</v>
      </c>
      <c r="G497" s="14" t="s">
        <v>210</v>
      </c>
      <c r="H497" s="15" t="s">
        <v>312</v>
      </c>
      <c r="I497" s="8"/>
      <c r="J497" s="10"/>
      <c r="AV497" s="15" t="s">
        <v>212</v>
      </c>
      <c r="AW497" s="15" t="s">
        <v>213</v>
      </c>
      <c r="AX497" s="15" t="s">
        <v>1705</v>
      </c>
      <c r="BH497" s="15" t="s">
        <v>184</v>
      </c>
      <c r="BI497" s="15" t="s">
        <v>185</v>
      </c>
      <c r="BJ497" s="15" t="s">
        <v>186</v>
      </c>
      <c r="BK497" s="15" t="s">
        <v>187</v>
      </c>
      <c r="BL497" s="15" t="s">
        <v>188</v>
      </c>
      <c r="BM497" s="15" t="s">
        <v>189</v>
      </c>
      <c r="BN497" s="15" t="s">
        <v>190</v>
      </c>
      <c r="BO497" s="15" t="s">
        <v>191</v>
      </c>
      <c r="BR497" s="15" t="s">
        <v>192</v>
      </c>
      <c r="BS497" s="15" t="s">
        <v>193</v>
      </c>
      <c r="BT497" s="15" t="s">
        <v>194</v>
      </c>
      <c r="BU497" s="15" t="s">
        <v>195</v>
      </c>
      <c r="BV497" s="15" t="s">
        <v>196</v>
      </c>
      <c r="BW497" s="15" t="s">
        <v>193</v>
      </c>
      <c r="CB497" s="15" t="s">
        <v>129</v>
      </c>
      <c r="CC497" s="15">
        <v>1</v>
      </c>
      <c r="CN497" s="15" t="s">
        <v>1643</v>
      </c>
      <c r="CW497" s="10">
        <v>2</v>
      </c>
      <c r="CX497" s="15" t="s">
        <v>1763</v>
      </c>
    </row>
    <row r="498" spans="1:102" s="15" customFormat="1" x14ac:dyDescent="0.3">
      <c r="A498" s="11" t="s">
        <v>126</v>
      </c>
      <c r="B498" s="10" t="s">
        <v>1764</v>
      </c>
      <c r="C498" s="12" t="s">
        <v>1765</v>
      </c>
      <c r="D498" s="10">
        <v>12</v>
      </c>
      <c r="E498" s="13">
        <v>1000000</v>
      </c>
      <c r="F498" s="14" t="s">
        <v>210</v>
      </c>
      <c r="G498" s="14" t="s">
        <v>210</v>
      </c>
      <c r="H498" s="15" t="s">
        <v>312</v>
      </c>
      <c r="I498" s="8"/>
      <c r="J498" s="10"/>
      <c r="AW498" s="15" t="s">
        <v>128</v>
      </c>
      <c r="AX498" s="15" t="s">
        <v>1705</v>
      </c>
      <c r="BH498" s="15" t="s">
        <v>184</v>
      </c>
      <c r="BI498" s="15" t="s">
        <v>185</v>
      </c>
      <c r="BJ498" s="15" t="s">
        <v>186</v>
      </c>
      <c r="BK498" s="15" t="s">
        <v>187</v>
      </c>
      <c r="BL498" s="15" t="s">
        <v>188</v>
      </c>
      <c r="BM498" s="15" t="s">
        <v>189</v>
      </c>
      <c r="BN498" s="15" t="s">
        <v>190</v>
      </c>
      <c r="BO498" s="15" t="s">
        <v>191</v>
      </c>
      <c r="BR498" s="15" t="s">
        <v>192</v>
      </c>
      <c r="BS498" s="15" t="s">
        <v>193</v>
      </c>
      <c r="BT498" s="15" t="s">
        <v>194</v>
      </c>
      <c r="BU498" s="15" t="s">
        <v>195</v>
      </c>
      <c r="BV498" s="15" t="s">
        <v>196</v>
      </c>
      <c r="BW498" s="15" t="s">
        <v>193</v>
      </c>
      <c r="CB498" s="15" t="s">
        <v>128</v>
      </c>
      <c r="CC498" s="15">
        <v>1</v>
      </c>
      <c r="CN498" s="15" t="s">
        <v>503</v>
      </c>
      <c r="CW498" s="10">
        <v>2</v>
      </c>
      <c r="CX498" s="15" t="s">
        <v>1766</v>
      </c>
    </row>
    <row r="499" spans="1:102" s="15" customFormat="1" x14ac:dyDescent="0.3">
      <c r="A499" s="11" t="s">
        <v>126</v>
      </c>
      <c r="B499" s="10" t="s">
        <v>1767</v>
      </c>
      <c r="C499" s="12" t="s">
        <v>1768</v>
      </c>
      <c r="D499" s="10">
        <v>12</v>
      </c>
      <c r="E499" s="13">
        <v>1000000</v>
      </c>
      <c r="F499" s="14" t="s">
        <v>210</v>
      </c>
      <c r="G499" s="14" t="s">
        <v>210</v>
      </c>
      <c r="H499" s="15" t="s">
        <v>312</v>
      </c>
      <c r="I499" s="8"/>
      <c r="J499" s="10"/>
      <c r="AW499" s="15" t="s">
        <v>128</v>
      </c>
      <c r="AX499" s="15" t="s">
        <v>1705</v>
      </c>
      <c r="BH499" s="15" t="s">
        <v>184</v>
      </c>
      <c r="BI499" s="15" t="s">
        <v>185</v>
      </c>
      <c r="BJ499" s="15" t="s">
        <v>186</v>
      </c>
      <c r="BK499" s="15" t="s">
        <v>187</v>
      </c>
      <c r="BL499" s="15" t="s">
        <v>188</v>
      </c>
      <c r="BM499" s="15" t="s">
        <v>189</v>
      </c>
      <c r="BN499" s="15" t="s">
        <v>190</v>
      </c>
      <c r="BO499" s="15" t="s">
        <v>191</v>
      </c>
      <c r="BR499" s="15" t="s">
        <v>192</v>
      </c>
      <c r="BS499" s="15" t="s">
        <v>193</v>
      </c>
      <c r="BT499" s="15" t="s">
        <v>194</v>
      </c>
      <c r="BU499" s="15" t="s">
        <v>195</v>
      </c>
      <c r="BV499" s="15" t="s">
        <v>196</v>
      </c>
      <c r="BW499" s="15" t="s">
        <v>193</v>
      </c>
      <c r="CB499" s="15" t="s">
        <v>128</v>
      </c>
      <c r="CC499" s="15">
        <v>1</v>
      </c>
      <c r="CN499" s="15" t="s">
        <v>503</v>
      </c>
      <c r="CW499" s="10">
        <v>2</v>
      </c>
      <c r="CX499" s="15" t="s">
        <v>1769</v>
      </c>
    </row>
    <row r="500" spans="1:102" s="15" customFormat="1" x14ac:dyDescent="0.3">
      <c r="A500" s="11" t="s">
        <v>126</v>
      </c>
      <c r="B500" s="10" t="s">
        <v>1770</v>
      </c>
      <c r="C500" s="12" t="s">
        <v>1773</v>
      </c>
      <c r="D500" s="10">
        <v>12</v>
      </c>
      <c r="E500" s="13">
        <v>1000000</v>
      </c>
      <c r="F500" s="14" t="s">
        <v>269</v>
      </c>
      <c r="G500" s="14" t="s">
        <v>210</v>
      </c>
      <c r="H500" s="15" t="s">
        <v>312</v>
      </c>
      <c r="I500" s="8"/>
      <c r="J500" s="10"/>
      <c r="AV500" s="15" t="s">
        <v>212</v>
      </c>
      <c r="AW500" s="15" t="s">
        <v>213</v>
      </c>
      <c r="AX500" s="15" t="s">
        <v>1708</v>
      </c>
      <c r="BH500" s="15" t="s">
        <v>184</v>
      </c>
      <c r="BI500" s="15" t="s">
        <v>185</v>
      </c>
      <c r="BJ500" s="15" t="s">
        <v>186</v>
      </c>
      <c r="BK500" s="15" t="s">
        <v>187</v>
      </c>
      <c r="BL500" s="15" t="s">
        <v>188</v>
      </c>
      <c r="BM500" s="15" t="s">
        <v>189</v>
      </c>
      <c r="BN500" s="15" t="s">
        <v>190</v>
      </c>
      <c r="BO500" s="15" t="s">
        <v>191</v>
      </c>
      <c r="BR500" s="15" t="s">
        <v>192</v>
      </c>
      <c r="BS500" s="15" t="s">
        <v>193</v>
      </c>
      <c r="BT500" s="15" t="s">
        <v>194</v>
      </c>
      <c r="BU500" s="15" t="s">
        <v>195</v>
      </c>
      <c r="BV500" s="15" t="s">
        <v>196</v>
      </c>
      <c r="BW500" s="15" t="s">
        <v>193</v>
      </c>
      <c r="CB500" s="15" t="s">
        <v>129</v>
      </c>
      <c r="CC500" s="15">
        <v>1</v>
      </c>
      <c r="CN500" s="15" t="s">
        <v>1643</v>
      </c>
      <c r="CW500" s="10">
        <v>2</v>
      </c>
      <c r="CX500" s="15" t="s">
        <v>1771</v>
      </c>
    </row>
    <row r="501" spans="1:102" s="15" customFormat="1" x14ac:dyDescent="0.3">
      <c r="A501" s="11" t="s">
        <v>126</v>
      </c>
      <c r="B501" s="10" t="s">
        <v>1772</v>
      </c>
      <c r="C501" s="12" t="s">
        <v>1773</v>
      </c>
      <c r="D501" s="10">
        <v>12</v>
      </c>
      <c r="E501" s="13">
        <v>1000000</v>
      </c>
      <c r="F501" s="14" t="s">
        <v>210</v>
      </c>
      <c r="G501" s="14" t="s">
        <v>210</v>
      </c>
      <c r="H501" s="15" t="s">
        <v>312</v>
      </c>
      <c r="I501" s="8"/>
      <c r="J501" s="10"/>
      <c r="AW501" s="15" t="s">
        <v>128</v>
      </c>
      <c r="AX501" s="15" t="s">
        <v>1708</v>
      </c>
      <c r="BH501" s="15" t="s">
        <v>184</v>
      </c>
      <c r="BI501" s="15" t="s">
        <v>185</v>
      </c>
      <c r="BJ501" s="15" t="s">
        <v>186</v>
      </c>
      <c r="BK501" s="15" t="s">
        <v>187</v>
      </c>
      <c r="BL501" s="15" t="s">
        <v>188</v>
      </c>
      <c r="BM501" s="15" t="s">
        <v>189</v>
      </c>
      <c r="BN501" s="15" t="s">
        <v>190</v>
      </c>
      <c r="BO501" s="15" t="s">
        <v>191</v>
      </c>
      <c r="BR501" s="15" t="s">
        <v>192</v>
      </c>
      <c r="BS501" s="15" t="s">
        <v>193</v>
      </c>
      <c r="BT501" s="15" t="s">
        <v>194</v>
      </c>
      <c r="BU501" s="15" t="s">
        <v>195</v>
      </c>
      <c r="BV501" s="15" t="s">
        <v>196</v>
      </c>
      <c r="BW501" s="15" t="s">
        <v>193</v>
      </c>
      <c r="CB501" s="15" t="s">
        <v>128</v>
      </c>
      <c r="CC501" s="15">
        <v>1</v>
      </c>
      <c r="CN501" s="15" t="s">
        <v>503</v>
      </c>
      <c r="CW501" s="10">
        <v>2</v>
      </c>
      <c r="CX501" s="15" t="s">
        <v>1774</v>
      </c>
    </row>
    <row r="502" spans="1:102" s="15" customFormat="1" x14ac:dyDescent="0.3">
      <c r="A502" s="11" t="s">
        <v>126</v>
      </c>
      <c r="B502" s="10" t="s">
        <v>1775</v>
      </c>
      <c r="C502" s="12" t="s">
        <v>1776</v>
      </c>
      <c r="D502" s="10">
        <v>12</v>
      </c>
      <c r="E502" s="13">
        <v>1000000</v>
      </c>
      <c r="F502" s="14" t="s">
        <v>210</v>
      </c>
      <c r="G502" s="14" t="s">
        <v>210</v>
      </c>
      <c r="H502" s="15" t="s">
        <v>312</v>
      </c>
      <c r="I502" s="8"/>
      <c r="J502" s="10"/>
      <c r="AW502" s="15" t="s">
        <v>128</v>
      </c>
      <c r="AX502" s="15" t="s">
        <v>1708</v>
      </c>
      <c r="BH502" s="15" t="s">
        <v>184</v>
      </c>
      <c r="BI502" s="15" t="s">
        <v>185</v>
      </c>
      <c r="BJ502" s="15" t="s">
        <v>186</v>
      </c>
      <c r="BK502" s="15" t="s">
        <v>187</v>
      </c>
      <c r="BL502" s="15" t="s">
        <v>188</v>
      </c>
      <c r="BM502" s="15" t="s">
        <v>189</v>
      </c>
      <c r="BN502" s="15" t="s">
        <v>190</v>
      </c>
      <c r="BO502" s="15" t="s">
        <v>191</v>
      </c>
      <c r="BR502" s="15" t="s">
        <v>192</v>
      </c>
      <c r="BS502" s="15" t="s">
        <v>193</v>
      </c>
      <c r="BT502" s="15" t="s">
        <v>194</v>
      </c>
      <c r="BU502" s="15" t="s">
        <v>195</v>
      </c>
      <c r="BV502" s="15" t="s">
        <v>196</v>
      </c>
      <c r="BW502" s="15" t="s">
        <v>193</v>
      </c>
      <c r="CB502" s="15" t="s">
        <v>128</v>
      </c>
      <c r="CC502" s="15">
        <v>1</v>
      </c>
      <c r="CN502" s="15" t="s">
        <v>503</v>
      </c>
      <c r="CW502" s="10">
        <v>2</v>
      </c>
      <c r="CX502" s="15" t="s">
        <v>1777</v>
      </c>
    </row>
    <row r="503" spans="1:102" s="15" customFormat="1" x14ac:dyDescent="0.3">
      <c r="A503" s="11" t="s">
        <v>126</v>
      </c>
      <c r="B503" s="10" t="s">
        <v>1778</v>
      </c>
      <c r="C503" s="12" t="s">
        <v>1781</v>
      </c>
      <c r="D503" s="10">
        <v>12</v>
      </c>
      <c r="E503" s="13">
        <v>1000000</v>
      </c>
      <c r="F503" s="14" t="s">
        <v>269</v>
      </c>
      <c r="G503" s="14" t="s">
        <v>210</v>
      </c>
      <c r="H503" s="15" t="s">
        <v>312</v>
      </c>
      <c r="I503" s="8"/>
      <c r="J503" s="10"/>
      <c r="AV503" s="15" t="s">
        <v>212</v>
      </c>
      <c r="AW503" s="15" t="s">
        <v>213</v>
      </c>
      <c r="AX503" s="15" t="s">
        <v>1711</v>
      </c>
      <c r="BH503" s="15" t="s">
        <v>184</v>
      </c>
      <c r="BI503" s="15" t="s">
        <v>185</v>
      </c>
      <c r="BJ503" s="15" t="s">
        <v>186</v>
      </c>
      <c r="BK503" s="15" t="s">
        <v>187</v>
      </c>
      <c r="BL503" s="15" t="s">
        <v>188</v>
      </c>
      <c r="BM503" s="15" t="s">
        <v>189</v>
      </c>
      <c r="BN503" s="15" t="s">
        <v>190</v>
      </c>
      <c r="BO503" s="15" t="s">
        <v>191</v>
      </c>
      <c r="BR503" s="15" t="s">
        <v>192</v>
      </c>
      <c r="BS503" s="15" t="s">
        <v>193</v>
      </c>
      <c r="BT503" s="15" t="s">
        <v>194</v>
      </c>
      <c r="BU503" s="15" t="s">
        <v>195</v>
      </c>
      <c r="BV503" s="15" t="s">
        <v>196</v>
      </c>
      <c r="BW503" s="15" t="s">
        <v>193</v>
      </c>
      <c r="CB503" s="15" t="s">
        <v>129</v>
      </c>
      <c r="CC503" s="15">
        <v>1</v>
      </c>
      <c r="CN503" s="15" t="s">
        <v>1643</v>
      </c>
      <c r="CW503" s="10">
        <v>2</v>
      </c>
      <c r="CX503" s="15" t="s">
        <v>1779</v>
      </c>
    </row>
    <row r="504" spans="1:102" s="15" customFormat="1" x14ac:dyDescent="0.3">
      <c r="A504" s="11" t="s">
        <v>126</v>
      </c>
      <c r="B504" s="10" t="s">
        <v>1780</v>
      </c>
      <c r="C504" s="12" t="s">
        <v>1781</v>
      </c>
      <c r="D504" s="10">
        <v>12</v>
      </c>
      <c r="E504" s="13">
        <v>1000000</v>
      </c>
      <c r="F504" s="14" t="s">
        <v>210</v>
      </c>
      <c r="G504" s="14" t="s">
        <v>210</v>
      </c>
      <c r="H504" s="15" t="s">
        <v>312</v>
      </c>
      <c r="I504" s="8"/>
      <c r="J504" s="10"/>
      <c r="AW504" s="15" t="s">
        <v>128</v>
      </c>
      <c r="AX504" s="15" t="s">
        <v>1711</v>
      </c>
      <c r="BH504" s="15" t="s">
        <v>184</v>
      </c>
      <c r="BI504" s="15" t="s">
        <v>185</v>
      </c>
      <c r="BJ504" s="15" t="s">
        <v>186</v>
      </c>
      <c r="BK504" s="15" t="s">
        <v>187</v>
      </c>
      <c r="BL504" s="15" t="s">
        <v>188</v>
      </c>
      <c r="BM504" s="15" t="s">
        <v>189</v>
      </c>
      <c r="BN504" s="15" t="s">
        <v>190</v>
      </c>
      <c r="BO504" s="15" t="s">
        <v>191</v>
      </c>
      <c r="BR504" s="15" t="s">
        <v>192</v>
      </c>
      <c r="BS504" s="15" t="s">
        <v>193</v>
      </c>
      <c r="BT504" s="15" t="s">
        <v>194</v>
      </c>
      <c r="BU504" s="15" t="s">
        <v>195</v>
      </c>
      <c r="BV504" s="15" t="s">
        <v>196</v>
      </c>
      <c r="BW504" s="15" t="s">
        <v>193</v>
      </c>
      <c r="CB504" s="15" t="s">
        <v>128</v>
      </c>
      <c r="CC504" s="15">
        <v>1</v>
      </c>
      <c r="CN504" s="15" t="s">
        <v>503</v>
      </c>
      <c r="CW504" s="10">
        <v>2</v>
      </c>
      <c r="CX504" s="15" t="s">
        <v>1782</v>
      </c>
    </row>
    <row r="505" spans="1:102" s="15" customFormat="1" x14ac:dyDescent="0.3">
      <c r="A505" s="11" t="s">
        <v>126</v>
      </c>
      <c r="B505" s="10" t="s">
        <v>1783</v>
      </c>
      <c r="C505" s="12" t="s">
        <v>1784</v>
      </c>
      <c r="D505" s="10">
        <v>12</v>
      </c>
      <c r="E505" s="13">
        <v>1000000</v>
      </c>
      <c r="F505" s="14" t="s">
        <v>210</v>
      </c>
      <c r="G505" s="14" t="s">
        <v>210</v>
      </c>
      <c r="H505" s="15" t="s">
        <v>312</v>
      </c>
      <c r="I505" s="8"/>
      <c r="J505" s="10"/>
      <c r="AW505" s="15" t="s">
        <v>128</v>
      </c>
      <c r="AX505" s="15" t="s">
        <v>1711</v>
      </c>
      <c r="BH505" s="15" t="s">
        <v>184</v>
      </c>
      <c r="BI505" s="15" t="s">
        <v>185</v>
      </c>
      <c r="BJ505" s="15" t="s">
        <v>186</v>
      </c>
      <c r="BK505" s="15" t="s">
        <v>187</v>
      </c>
      <c r="BL505" s="15" t="s">
        <v>188</v>
      </c>
      <c r="BM505" s="15" t="s">
        <v>189</v>
      </c>
      <c r="BN505" s="15" t="s">
        <v>190</v>
      </c>
      <c r="BO505" s="15" t="s">
        <v>191</v>
      </c>
      <c r="BR505" s="15" t="s">
        <v>192</v>
      </c>
      <c r="BS505" s="15" t="s">
        <v>193</v>
      </c>
      <c r="BT505" s="15" t="s">
        <v>194</v>
      </c>
      <c r="BU505" s="15" t="s">
        <v>195</v>
      </c>
      <c r="BV505" s="15" t="s">
        <v>196</v>
      </c>
      <c r="BW505" s="15" t="s">
        <v>193</v>
      </c>
      <c r="CB505" s="15" t="s">
        <v>128</v>
      </c>
      <c r="CC505" s="15">
        <v>1</v>
      </c>
      <c r="CN505" s="15" t="s">
        <v>503</v>
      </c>
      <c r="CW505" s="10">
        <v>2</v>
      </c>
      <c r="CX505" s="15" t="s">
        <v>1785</v>
      </c>
    </row>
    <row r="506" spans="1:102" s="15" customFormat="1" x14ac:dyDescent="0.3">
      <c r="A506" s="11" t="s">
        <v>126</v>
      </c>
      <c r="B506" s="10" t="s">
        <v>1786</v>
      </c>
      <c r="C506" s="12" t="s">
        <v>1789</v>
      </c>
      <c r="D506" s="10">
        <v>12</v>
      </c>
      <c r="E506" s="13">
        <v>1000000</v>
      </c>
      <c r="F506" s="14" t="s">
        <v>269</v>
      </c>
      <c r="G506" s="14" t="s">
        <v>210</v>
      </c>
      <c r="H506" s="15" t="s">
        <v>312</v>
      </c>
      <c r="I506" s="8"/>
      <c r="J506" s="10"/>
      <c r="AV506" s="15" t="s">
        <v>212</v>
      </c>
      <c r="AW506" s="15" t="s">
        <v>213</v>
      </c>
      <c r="AX506" s="15" t="s">
        <v>1714</v>
      </c>
      <c r="BH506" s="15" t="s">
        <v>184</v>
      </c>
      <c r="BI506" s="15" t="s">
        <v>185</v>
      </c>
      <c r="BJ506" s="15" t="s">
        <v>186</v>
      </c>
      <c r="BK506" s="15" t="s">
        <v>187</v>
      </c>
      <c r="BL506" s="15" t="s">
        <v>188</v>
      </c>
      <c r="BM506" s="15" t="s">
        <v>189</v>
      </c>
      <c r="BN506" s="15" t="s">
        <v>190</v>
      </c>
      <c r="BO506" s="15" t="s">
        <v>191</v>
      </c>
      <c r="BR506" s="15" t="s">
        <v>192</v>
      </c>
      <c r="BS506" s="15" t="s">
        <v>193</v>
      </c>
      <c r="BT506" s="15" t="s">
        <v>194</v>
      </c>
      <c r="BU506" s="15" t="s">
        <v>195</v>
      </c>
      <c r="BV506" s="15" t="s">
        <v>196</v>
      </c>
      <c r="BW506" s="15" t="s">
        <v>193</v>
      </c>
      <c r="CB506" s="15" t="s">
        <v>129</v>
      </c>
      <c r="CC506" s="15">
        <v>1</v>
      </c>
      <c r="CN506" s="15" t="s">
        <v>1643</v>
      </c>
      <c r="CW506" s="10">
        <v>2</v>
      </c>
      <c r="CX506" s="15" t="s">
        <v>1787</v>
      </c>
    </row>
    <row r="507" spans="1:102" s="15" customFormat="1" x14ac:dyDescent="0.3">
      <c r="A507" s="11" t="s">
        <v>126</v>
      </c>
      <c r="B507" s="10" t="s">
        <v>1788</v>
      </c>
      <c r="C507" s="12" t="s">
        <v>1789</v>
      </c>
      <c r="D507" s="10">
        <v>12</v>
      </c>
      <c r="E507" s="13">
        <v>1000000</v>
      </c>
      <c r="F507" s="14" t="s">
        <v>210</v>
      </c>
      <c r="G507" s="14" t="s">
        <v>210</v>
      </c>
      <c r="H507" s="15" t="s">
        <v>312</v>
      </c>
      <c r="I507" s="8"/>
      <c r="J507" s="10"/>
      <c r="AW507" s="15" t="s">
        <v>128</v>
      </c>
      <c r="AX507" s="15" t="s">
        <v>1714</v>
      </c>
      <c r="BH507" s="15" t="s">
        <v>184</v>
      </c>
      <c r="BI507" s="15" t="s">
        <v>185</v>
      </c>
      <c r="BJ507" s="15" t="s">
        <v>186</v>
      </c>
      <c r="BK507" s="15" t="s">
        <v>187</v>
      </c>
      <c r="BL507" s="15" t="s">
        <v>188</v>
      </c>
      <c r="BM507" s="15" t="s">
        <v>189</v>
      </c>
      <c r="BN507" s="15" t="s">
        <v>190</v>
      </c>
      <c r="BO507" s="15" t="s">
        <v>191</v>
      </c>
      <c r="BR507" s="15" t="s">
        <v>192</v>
      </c>
      <c r="BS507" s="15" t="s">
        <v>193</v>
      </c>
      <c r="BT507" s="15" t="s">
        <v>194</v>
      </c>
      <c r="BU507" s="15" t="s">
        <v>195</v>
      </c>
      <c r="BV507" s="15" t="s">
        <v>196</v>
      </c>
      <c r="BW507" s="15" t="s">
        <v>193</v>
      </c>
      <c r="CB507" s="15" t="s">
        <v>128</v>
      </c>
      <c r="CC507" s="15">
        <v>1</v>
      </c>
      <c r="CN507" s="15" t="s">
        <v>503</v>
      </c>
      <c r="CW507" s="10">
        <v>2</v>
      </c>
      <c r="CX507" s="15" t="s">
        <v>1790</v>
      </c>
    </row>
    <row r="508" spans="1:102" s="15" customFormat="1" x14ac:dyDescent="0.3">
      <c r="A508" s="11" t="s">
        <v>126</v>
      </c>
      <c r="B508" s="10" t="s">
        <v>1791</v>
      </c>
      <c r="C508" s="12" t="s">
        <v>1792</v>
      </c>
      <c r="D508" s="10">
        <v>12</v>
      </c>
      <c r="E508" s="13">
        <v>1000000</v>
      </c>
      <c r="F508" s="14" t="s">
        <v>210</v>
      </c>
      <c r="G508" s="14" t="s">
        <v>210</v>
      </c>
      <c r="H508" s="15" t="s">
        <v>312</v>
      </c>
      <c r="I508" s="8"/>
      <c r="J508" s="10"/>
      <c r="AW508" s="15" t="s">
        <v>128</v>
      </c>
      <c r="AX508" s="15" t="s">
        <v>1714</v>
      </c>
      <c r="BH508" s="15" t="s">
        <v>184</v>
      </c>
      <c r="BI508" s="15" t="s">
        <v>185</v>
      </c>
      <c r="BJ508" s="15" t="s">
        <v>186</v>
      </c>
      <c r="BK508" s="15" t="s">
        <v>187</v>
      </c>
      <c r="BL508" s="15" t="s">
        <v>188</v>
      </c>
      <c r="BM508" s="15" t="s">
        <v>189</v>
      </c>
      <c r="BN508" s="15" t="s">
        <v>190</v>
      </c>
      <c r="BO508" s="15" t="s">
        <v>191</v>
      </c>
      <c r="BR508" s="15" t="s">
        <v>192</v>
      </c>
      <c r="BS508" s="15" t="s">
        <v>193</v>
      </c>
      <c r="BT508" s="15" t="s">
        <v>194</v>
      </c>
      <c r="BU508" s="15" t="s">
        <v>195</v>
      </c>
      <c r="BV508" s="15" t="s">
        <v>196</v>
      </c>
      <c r="BW508" s="15" t="s">
        <v>193</v>
      </c>
      <c r="CB508" s="15" t="s">
        <v>128</v>
      </c>
      <c r="CC508" s="15">
        <v>1</v>
      </c>
      <c r="CN508" s="15" t="s">
        <v>503</v>
      </c>
      <c r="CW508" s="10">
        <v>2</v>
      </c>
      <c r="CX508" s="15" t="s">
        <v>1793</v>
      </c>
    </row>
    <row r="509" spans="1:102" s="15" customFormat="1" x14ac:dyDescent="0.3">
      <c r="A509" s="11" t="s">
        <v>126</v>
      </c>
      <c r="B509" s="10" t="s">
        <v>1794</v>
      </c>
      <c r="C509" s="12" t="s">
        <v>1797</v>
      </c>
      <c r="D509" s="10">
        <v>12</v>
      </c>
      <c r="E509" s="13">
        <v>1000000</v>
      </c>
      <c r="F509" s="14" t="s">
        <v>269</v>
      </c>
      <c r="G509" s="14" t="s">
        <v>210</v>
      </c>
      <c r="H509" s="15" t="s">
        <v>312</v>
      </c>
      <c r="I509" s="8"/>
      <c r="J509" s="10"/>
      <c r="AV509" s="15" t="s">
        <v>212</v>
      </c>
      <c r="AW509" s="15" t="s">
        <v>213</v>
      </c>
      <c r="AX509" s="15" t="s">
        <v>1717</v>
      </c>
      <c r="BH509" s="15" t="s">
        <v>184</v>
      </c>
      <c r="BI509" s="15" t="s">
        <v>185</v>
      </c>
      <c r="BJ509" s="15" t="s">
        <v>186</v>
      </c>
      <c r="BK509" s="15" t="s">
        <v>187</v>
      </c>
      <c r="BL509" s="15" t="s">
        <v>188</v>
      </c>
      <c r="BM509" s="15" t="s">
        <v>189</v>
      </c>
      <c r="BN509" s="15" t="s">
        <v>190</v>
      </c>
      <c r="BO509" s="15" t="s">
        <v>191</v>
      </c>
      <c r="BR509" s="15" t="s">
        <v>192</v>
      </c>
      <c r="BS509" s="15" t="s">
        <v>193</v>
      </c>
      <c r="BT509" s="15" t="s">
        <v>194</v>
      </c>
      <c r="BU509" s="15" t="s">
        <v>195</v>
      </c>
      <c r="BV509" s="15" t="s">
        <v>196</v>
      </c>
      <c r="BW509" s="15" t="s">
        <v>193</v>
      </c>
      <c r="CB509" s="15" t="s">
        <v>129</v>
      </c>
      <c r="CC509" s="15">
        <v>1</v>
      </c>
      <c r="CN509" s="15" t="s">
        <v>1643</v>
      </c>
      <c r="CW509" s="10">
        <v>2</v>
      </c>
      <c r="CX509" s="15" t="s">
        <v>1795</v>
      </c>
    </row>
    <row r="510" spans="1:102" s="15" customFormat="1" x14ac:dyDescent="0.3">
      <c r="A510" s="11" t="s">
        <v>126</v>
      </c>
      <c r="B510" s="10" t="s">
        <v>1796</v>
      </c>
      <c r="C510" s="12" t="s">
        <v>1797</v>
      </c>
      <c r="D510" s="10">
        <v>12</v>
      </c>
      <c r="E510" s="13">
        <v>1000000</v>
      </c>
      <c r="F510" s="14" t="s">
        <v>210</v>
      </c>
      <c r="G510" s="14" t="s">
        <v>210</v>
      </c>
      <c r="H510" s="15" t="s">
        <v>312</v>
      </c>
      <c r="I510" s="8"/>
      <c r="J510" s="10"/>
      <c r="AW510" s="15" t="s">
        <v>128</v>
      </c>
      <c r="AX510" s="15" t="s">
        <v>1717</v>
      </c>
      <c r="BH510" s="15" t="s">
        <v>184</v>
      </c>
      <c r="BI510" s="15" t="s">
        <v>185</v>
      </c>
      <c r="BJ510" s="15" t="s">
        <v>186</v>
      </c>
      <c r="BK510" s="15" t="s">
        <v>187</v>
      </c>
      <c r="BL510" s="15" t="s">
        <v>188</v>
      </c>
      <c r="BM510" s="15" t="s">
        <v>189</v>
      </c>
      <c r="BN510" s="15" t="s">
        <v>190</v>
      </c>
      <c r="BO510" s="15" t="s">
        <v>191</v>
      </c>
      <c r="BR510" s="15" t="s">
        <v>192</v>
      </c>
      <c r="BS510" s="15" t="s">
        <v>193</v>
      </c>
      <c r="BT510" s="15" t="s">
        <v>194</v>
      </c>
      <c r="BU510" s="15" t="s">
        <v>195</v>
      </c>
      <c r="BV510" s="15" t="s">
        <v>196</v>
      </c>
      <c r="BW510" s="15" t="s">
        <v>193</v>
      </c>
      <c r="CB510" s="15" t="s">
        <v>128</v>
      </c>
      <c r="CC510" s="15">
        <v>1</v>
      </c>
      <c r="CN510" s="15" t="s">
        <v>503</v>
      </c>
      <c r="CW510" s="10">
        <v>2</v>
      </c>
      <c r="CX510" s="15" t="s">
        <v>1798</v>
      </c>
    </row>
    <row r="511" spans="1:102" s="15" customFormat="1" x14ac:dyDescent="0.3">
      <c r="A511" s="11" t="s">
        <v>126</v>
      </c>
      <c r="B511" s="10" t="s">
        <v>1799</v>
      </c>
      <c r="C511" s="12" t="s">
        <v>1800</v>
      </c>
      <c r="D511" s="10">
        <v>12</v>
      </c>
      <c r="E511" s="13">
        <v>1000000</v>
      </c>
      <c r="F511" s="14" t="s">
        <v>210</v>
      </c>
      <c r="G511" s="14" t="s">
        <v>210</v>
      </c>
      <c r="H511" s="15" t="s">
        <v>312</v>
      </c>
      <c r="I511" s="8"/>
      <c r="J511" s="10"/>
      <c r="AW511" s="15" t="s">
        <v>128</v>
      </c>
      <c r="AX511" s="15" t="s">
        <v>1717</v>
      </c>
      <c r="BH511" s="15" t="s">
        <v>184</v>
      </c>
      <c r="BI511" s="15" t="s">
        <v>185</v>
      </c>
      <c r="BJ511" s="15" t="s">
        <v>186</v>
      </c>
      <c r="BK511" s="15" t="s">
        <v>187</v>
      </c>
      <c r="BL511" s="15" t="s">
        <v>188</v>
      </c>
      <c r="BM511" s="15" t="s">
        <v>189</v>
      </c>
      <c r="BN511" s="15" t="s">
        <v>190</v>
      </c>
      <c r="BO511" s="15" t="s">
        <v>191</v>
      </c>
      <c r="BR511" s="15" t="s">
        <v>192</v>
      </c>
      <c r="BS511" s="15" t="s">
        <v>193</v>
      </c>
      <c r="BT511" s="15" t="s">
        <v>194</v>
      </c>
      <c r="BU511" s="15" t="s">
        <v>195</v>
      </c>
      <c r="BV511" s="15" t="s">
        <v>196</v>
      </c>
      <c r="BW511" s="15" t="s">
        <v>193</v>
      </c>
      <c r="CB511" s="15" t="s">
        <v>128</v>
      </c>
      <c r="CC511" s="15">
        <v>1</v>
      </c>
      <c r="CN511" s="15" t="s">
        <v>503</v>
      </c>
      <c r="CW511" s="10">
        <v>2</v>
      </c>
      <c r="CX511" s="15" t="s">
        <v>1801</v>
      </c>
    </row>
    <row r="512" spans="1:102" s="15" customFormat="1" x14ac:dyDescent="0.3">
      <c r="A512" s="11" t="s">
        <v>126</v>
      </c>
      <c r="B512" s="10" t="s">
        <v>1802</v>
      </c>
      <c r="C512" s="12" t="s">
        <v>1805</v>
      </c>
      <c r="D512" s="10">
        <v>12</v>
      </c>
      <c r="E512" s="13">
        <v>1000000</v>
      </c>
      <c r="F512" s="14" t="s">
        <v>269</v>
      </c>
      <c r="G512" s="14" t="s">
        <v>210</v>
      </c>
      <c r="H512" s="15" t="s">
        <v>312</v>
      </c>
      <c r="I512" s="8"/>
      <c r="J512" s="10"/>
      <c r="AV512" s="15" t="s">
        <v>212</v>
      </c>
      <c r="AW512" s="15" t="s">
        <v>213</v>
      </c>
      <c r="AX512" s="15" t="s">
        <v>1720</v>
      </c>
      <c r="BH512" s="15" t="s">
        <v>184</v>
      </c>
      <c r="BI512" s="15" t="s">
        <v>185</v>
      </c>
      <c r="BJ512" s="15" t="s">
        <v>186</v>
      </c>
      <c r="BK512" s="15" t="s">
        <v>187</v>
      </c>
      <c r="BL512" s="15" t="s">
        <v>188</v>
      </c>
      <c r="BM512" s="15" t="s">
        <v>189</v>
      </c>
      <c r="BN512" s="15" t="s">
        <v>190</v>
      </c>
      <c r="BO512" s="15" t="s">
        <v>191</v>
      </c>
      <c r="BR512" s="15" t="s">
        <v>192</v>
      </c>
      <c r="BS512" s="15" t="s">
        <v>193</v>
      </c>
      <c r="BT512" s="15" t="s">
        <v>194</v>
      </c>
      <c r="BU512" s="15" t="s">
        <v>195</v>
      </c>
      <c r="BV512" s="15" t="s">
        <v>196</v>
      </c>
      <c r="BW512" s="15" t="s">
        <v>193</v>
      </c>
      <c r="CB512" s="15" t="s">
        <v>129</v>
      </c>
      <c r="CC512" s="15">
        <v>1</v>
      </c>
      <c r="CN512" s="15" t="s">
        <v>1643</v>
      </c>
      <c r="CW512" s="10">
        <v>2</v>
      </c>
      <c r="CX512" s="15" t="s">
        <v>1803</v>
      </c>
    </row>
    <row r="513" spans="1:102" s="15" customFormat="1" x14ac:dyDescent="0.3">
      <c r="A513" s="11" t="s">
        <v>126</v>
      </c>
      <c r="B513" s="10" t="s">
        <v>1804</v>
      </c>
      <c r="C513" s="12" t="s">
        <v>1805</v>
      </c>
      <c r="D513" s="10">
        <v>12</v>
      </c>
      <c r="E513" s="13">
        <v>1000000</v>
      </c>
      <c r="F513" s="14" t="s">
        <v>210</v>
      </c>
      <c r="G513" s="14" t="s">
        <v>210</v>
      </c>
      <c r="H513" s="15" t="s">
        <v>312</v>
      </c>
      <c r="I513" s="8"/>
      <c r="J513" s="10"/>
      <c r="AW513" s="15" t="s">
        <v>128</v>
      </c>
      <c r="AX513" s="15" t="s">
        <v>1720</v>
      </c>
      <c r="BH513" s="15" t="s">
        <v>184</v>
      </c>
      <c r="BI513" s="15" t="s">
        <v>185</v>
      </c>
      <c r="BJ513" s="15" t="s">
        <v>186</v>
      </c>
      <c r="BK513" s="15" t="s">
        <v>187</v>
      </c>
      <c r="BL513" s="15" t="s">
        <v>188</v>
      </c>
      <c r="BM513" s="15" t="s">
        <v>189</v>
      </c>
      <c r="BN513" s="15" t="s">
        <v>190</v>
      </c>
      <c r="BO513" s="15" t="s">
        <v>191</v>
      </c>
      <c r="BR513" s="15" t="s">
        <v>192</v>
      </c>
      <c r="BS513" s="15" t="s">
        <v>193</v>
      </c>
      <c r="BT513" s="15" t="s">
        <v>194</v>
      </c>
      <c r="BU513" s="15" t="s">
        <v>195</v>
      </c>
      <c r="BV513" s="15" t="s">
        <v>196</v>
      </c>
      <c r="BW513" s="15" t="s">
        <v>193</v>
      </c>
      <c r="CB513" s="15" t="s">
        <v>128</v>
      </c>
      <c r="CC513" s="15">
        <v>1</v>
      </c>
      <c r="CN513" s="15" t="s">
        <v>503</v>
      </c>
      <c r="CW513" s="10">
        <v>2</v>
      </c>
      <c r="CX513" s="15" t="s">
        <v>1806</v>
      </c>
    </row>
    <row r="514" spans="1:102" s="15" customFormat="1" x14ac:dyDescent="0.3">
      <c r="A514" s="11" t="s">
        <v>126</v>
      </c>
      <c r="B514" s="10" t="s">
        <v>1807</v>
      </c>
      <c r="C514" s="12" t="s">
        <v>1808</v>
      </c>
      <c r="D514" s="10">
        <v>12</v>
      </c>
      <c r="E514" s="13">
        <v>1000000</v>
      </c>
      <c r="F514" s="14" t="s">
        <v>210</v>
      </c>
      <c r="G514" s="14" t="s">
        <v>210</v>
      </c>
      <c r="H514" s="15" t="s">
        <v>312</v>
      </c>
      <c r="I514" s="8"/>
      <c r="J514" s="10"/>
      <c r="AW514" s="15" t="s">
        <v>128</v>
      </c>
      <c r="AX514" s="15" t="s">
        <v>1720</v>
      </c>
      <c r="BH514" s="15" t="s">
        <v>184</v>
      </c>
      <c r="BI514" s="15" t="s">
        <v>185</v>
      </c>
      <c r="BJ514" s="15" t="s">
        <v>186</v>
      </c>
      <c r="BK514" s="15" t="s">
        <v>187</v>
      </c>
      <c r="BL514" s="15" t="s">
        <v>188</v>
      </c>
      <c r="BM514" s="15" t="s">
        <v>189</v>
      </c>
      <c r="BN514" s="15" t="s">
        <v>190</v>
      </c>
      <c r="BO514" s="15" t="s">
        <v>191</v>
      </c>
      <c r="BR514" s="15" t="s">
        <v>192</v>
      </c>
      <c r="BS514" s="15" t="s">
        <v>193</v>
      </c>
      <c r="BT514" s="15" t="s">
        <v>194</v>
      </c>
      <c r="BU514" s="15" t="s">
        <v>195</v>
      </c>
      <c r="BV514" s="15" t="s">
        <v>196</v>
      </c>
      <c r="BW514" s="15" t="s">
        <v>193</v>
      </c>
      <c r="CB514" s="15" t="s">
        <v>128</v>
      </c>
      <c r="CC514" s="15">
        <v>1</v>
      </c>
      <c r="CN514" s="15" t="s">
        <v>503</v>
      </c>
      <c r="CW514" s="10">
        <v>2</v>
      </c>
      <c r="CX514" s="15" t="s">
        <v>1809</v>
      </c>
    </row>
    <row r="515" spans="1:102" s="15" customFormat="1" x14ac:dyDescent="0.3">
      <c r="A515" s="11" t="s">
        <v>126</v>
      </c>
      <c r="B515" s="10" t="s">
        <v>1810</v>
      </c>
      <c r="C515" s="12" t="s">
        <v>1811</v>
      </c>
      <c r="D515" s="10">
        <v>12</v>
      </c>
      <c r="E515" s="13">
        <v>1000000</v>
      </c>
      <c r="F515" s="14" t="s">
        <v>210</v>
      </c>
      <c r="G515" s="14" t="s">
        <v>210</v>
      </c>
      <c r="H515" s="15" t="s">
        <v>254</v>
      </c>
      <c r="I515" s="8"/>
      <c r="J515" s="10"/>
      <c r="AW515" s="15" t="s">
        <v>128</v>
      </c>
      <c r="AX515" s="15" t="s">
        <v>271</v>
      </c>
      <c r="BH515" s="15" t="s">
        <v>184</v>
      </c>
      <c r="BI515" s="15" t="s">
        <v>185</v>
      </c>
      <c r="BJ515" s="15" t="s">
        <v>186</v>
      </c>
      <c r="BK515" s="15" t="s">
        <v>187</v>
      </c>
      <c r="BL515" s="15" t="s">
        <v>188</v>
      </c>
      <c r="BM515" s="15" t="s">
        <v>189</v>
      </c>
      <c r="BN515" s="15" t="s">
        <v>190</v>
      </c>
      <c r="BO515" s="15" t="s">
        <v>191</v>
      </c>
      <c r="BR515" s="15" t="s">
        <v>192</v>
      </c>
      <c r="BS515" s="15" t="s">
        <v>193</v>
      </c>
      <c r="BT515" s="15" t="s">
        <v>194</v>
      </c>
      <c r="BU515" s="15" t="s">
        <v>195</v>
      </c>
      <c r="BV515" s="15" t="s">
        <v>196</v>
      </c>
      <c r="BW515" s="15" t="s">
        <v>272</v>
      </c>
      <c r="CB515" s="15" t="s">
        <v>128</v>
      </c>
      <c r="CC515" s="15">
        <v>1</v>
      </c>
      <c r="CN515" s="15" t="s">
        <v>273</v>
      </c>
      <c r="CW515" s="10">
        <v>2</v>
      </c>
      <c r="CX515" s="15" t="s">
        <v>1812</v>
      </c>
    </row>
    <row r="516" spans="1:102" s="15" customFormat="1" x14ac:dyDescent="0.3">
      <c r="A516" s="11" t="s">
        <v>126</v>
      </c>
      <c r="B516" s="10" t="s">
        <v>1813</v>
      </c>
      <c r="C516" s="12" t="s">
        <v>1814</v>
      </c>
      <c r="D516" s="10">
        <v>12</v>
      </c>
      <c r="E516" s="13">
        <v>1000000</v>
      </c>
      <c r="F516" s="14" t="s">
        <v>210</v>
      </c>
      <c r="G516" s="14" t="s">
        <v>210</v>
      </c>
      <c r="H516" s="15" t="s">
        <v>254</v>
      </c>
      <c r="I516" s="8"/>
      <c r="J516" s="10"/>
      <c r="AW516" s="15" t="s">
        <v>128</v>
      </c>
      <c r="AX516" s="15" t="s">
        <v>276</v>
      </c>
      <c r="BH516" s="15" t="s">
        <v>184</v>
      </c>
      <c r="BI516" s="15" t="s">
        <v>185</v>
      </c>
      <c r="BJ516" s="15" t="s">
        <v>186</v>
      </c>
      <c r="BK516" s="15" t="s">
        <v>187</v>
      </c>
      <c r="BL516" s="15" t="s">
        <v>188</v>
      </c>
      <c r="BM516" s="15" t="s">
        <v>189</v>
      </c>
      <c r="BN516" s="15" t="s">
        <v>190</v>
      </c>
      <c r="BO516" s="15" t="s">
        <v>191</v>
      </c>
      <c r="BR516" s="15" t="s">
        <v>192</v>
      </c>
      <c r="BS516" s="15" t="s">
        <v>193</v>
      </c>
      <c r="BT516" s="15" t="s">
        <v>194</v>
      </c>
      <c r="BU516" s="15" t="s">
        <v>195</v>
      </c>
      <c r="BV516" s="15" t="s">
        <v>196</v>
      </c>
      <c r="BW516" s="15" t="s">
        <v>272</v>
      </c>
      <c r="CB516" s="15" t="s">
        <v>128</v>
      </c>
      <c r="CC516" s="15">
        <v>1</v>
      </c>
      <c r="CN516" s="15" t="s">
        <v>273</v>
      </c>
      <c r="CW516" s="10">
        <v>2</v>
      </c>
      <c r="CX516" s="15" t="s">
        <v>1815</v>
      </c>
    </row>
    <row r="517" spans="1:102" s="15" customFormat="1" x14ac:dyDescent="0.3">
      <c r="A517" s="11" t="s">
        <v>126</v>
      </c>
      <c r="B517" s="10" t="s">
        <v>1816</v>
      </c>
      <c r="C517" s="12" t="s">
        <v>1817</v>
      </c>
      <c r="D517" s="10">
        <v>12</v>
      </c>
      <c r="E517" s="13">
        <v>500000</v>
      </c>
      <c r="F517" s="14" t="s">
        <v>244</v>
      </c>
      <c r="G517" s="14" t="s">
        <v>244</v>
      </c>
      <c r="H517" s="15" t="s">
        <v>254</v>
      </c>
      <c r="I517" s="8"/>
      <c r="J517" s="10"/>
      <c r="AW517" s="15" t="s">
        <v>128</v>
      </c>
      <c r="AX517" s="15" t="s">
        <v>762</v>
      </c>
      <c r="BH517" s="15" t="s">
        <v>184</v>
      </c>
      <c r="BI517" s="15" t="s">
        <v>185</v>
      </c>
      <c r="BJ517" s="15" t="s">
        <v>186</v>
      </c>
      <c r="BK517" s="15" t="s">
        <v>187</v>
      </c>
      <c r="BL517" s="15" t="s">
        <v>188</v>
      </c>
      <c r="BM517" s="15" t="s">
        <v>189</v>
      </c>
      <c r="BN517" s="15" t="s">
        <v>190</v>
      </c>
      <c r="BO517" s="15" t="s">
        <v>191</v>
      </c>
      <c r="BR517" s="15" t="s">
        <v>192</v>
      </c>
      <c r="BS517" s="15" t="s">
        <v>193</v>
      </c>
      <c r="BT517" s="15" t="s">
        <v>194</v>
      </c>
      <c r="BU517" s="15" t="s">
        <v>195</v>
      </c>
      <c r="BV517" s="15" t="s">
        <v>196</v>
      </c>
      <c r="BW517" s="15" t="s">
        <v>272</v>
      </c>
      <c r="CB517" s="15" t="s">
        <v>128</v>
      </c>
      <c r="CC517" s="15">
        <v>1</v>
      </c>
      <c r="CN517" s="15" t="s">
        <v>273</v>
      </c>
      <c r="CW517" s="10">
        <v>2</v>
      </c>
      <c r="CX517" s="15" t="s">
        <v>1818</v>
      </c>
    </row>
    <row r="518" spans="1:102" s="15" customFormat="1" x14ac:dyDescent="0.3">
      <c r="A518" s="11" t="s">
        <v>126</v>
      </c>
      <c r="B518" s="10" t="s">
        <v>1819</v>
      </c>
      <c r="C518" s="12" t="s">
        <v>3939</v>
      </c>
      <c r="D518" s="10">
        <v>12</v>
      </c>
      <c r="E518" s="13">
        <v>20000</v>
      </c>
      <c r="F518" s="14" t="s">
        <v>243</v>
      </c>
      <c r="G518" s="14" t="s">
        <v>244</v>
      </c>
      <c r="H518" s="15" t="s">
        <v>254</v>
      </c>
      <c r="I518" s="8"/>
      <c r="J518" s="10"/>
      <c r="AV518" s="15" t="s">
        <v>181</v>
      </c>
      <c r="AW518" s="15" t="s">
        <v>182</v>
      </c>
      <c r="AX518" s="15" t="s">
        <v>984</v>
      </c>
      <c r="BH518" s="15" t="s">
        <v>184</v>
      </c>
      <c r="BI518" s="15" t="s">
        <v>185</v>
      </c>
      <c r="BJ518" s="15" t="s">
        <v>186</v>
      </c>
      <c r="BK518" s="15" t="s">
        <v>187</v>
      </c>
      <c r="BL518" s="15" t="s">
        <v>188</v>
      </c>
      <c r="BM518" s="15" t="s">
        <v>189</v>
      </c>
      <c r="BN518" s="15" t="s">
        <v>190</v>
      </c>
      <c r="BO518" s="15" t="s">
        <v>191</v>
      </c>
      <c r="BR518" s="15" t="s">
        <v>192</v>
      </c>
      <c r="BS518" s="15" t="s">
        <v>193</v>
      </c>
      <c r="BT518" s="15" t="s">
        <v>194</v>
      </c>
      <c r="BU518" s="15" t="s">
        <v>195</v>
      </c>
      <c r="BV518" s="15" t="s">
        <v>196</v>
      </c>
      <c r="BW518" s="15" t="s">
        <v>272</v>
      </c>
      <c r="CB518" s="15" t="s">
        <v>129</v>
      </c>
      <c r="CC518" s="15">
        <v>1</v>
      </c>
      <c r="CN518" s="15" t="s">
        <v>198</v>
      </c>
      <c r="CW518" s="10">
        <v>2</v>
      </c>
      <c r="CX518" s="15" t="s">
        <v>1820</v>
      </c>
    </row>
    <row r="519" spans="1:102" s="15" customFormat="1" x14ac:dyDescent="0.3">
      <c r="A519" s="11" t="s">
        <v>126</v>
      </c>
      <c r="B519" s="10" t="s">
        <v>1821</v>
      </c>
      <c r="C519" s="12" t="s">
        <v>3940</v>
      </c>
      <c r="D519" s="10">
        <v>12</v>
      </c>
      <c r="E519" s="13">
        <v>100000</v>
      </c>
      <c r="F519" s="14" t="s">
        <v>243</v>
      </c>
      <c r="G519" s="14" t="s">
        <v>244</v>
      </c>
      <c r="H519" s="15" t="s">
        <v>254</v>
      </c>
      <c r="I519" s="8"/>
      <c r="J519" s="10"/>
      <c r="AV519" s="15" t="s">
        <v>181</v>
      </c>
      <c r="AW519" s="15" t="s">
        <v>182</v>
      </c>
      <c r="AX519" s="15" t="s">
        <v>988</v>
      </c>
      <c r="BH519" s="15" t="s">
        <v>184</v>
      </c>
      <c r="BI519" s="15" t="s">
        <v>185</v>
      </c>
      <c r="BJ519" s="15" t="s">
        <v>186</v>
      </c>
      <c r="BK519" s="15" t="s">
        <v>187</v>
      </c>
      <c r="BL519" s="15" t="s">
        <v>188</v>
      </c>
      <c r="BM519" s="15" t="s">
        <v>189</v>
      </c>
      <c r="BN519" s="15" t="s">
        <v>190</v>
      </c>
      <c r="BO519" s="15" t="s">
        <v>191</v>
      </c>
      <c r="BR519" s="15" t="s">
        <v>192</v>
      </c>
      <c r="BS519" s="15" t="s">
        <v>193</v>
      </c>
      <c r="BT519" s="15" t="s">
        <v>194</v>
      </c>
      <c r="BU519" s="15" t="s">
        <v>195</v>
      </c>
      <c r="BV519" s="15" t="s">
        <v>196</v>
      </c>
      <c r="BW519" s="15" t="s">
        <v>272</v>
      </c>
      <c r="CB519" s="15" t="s">
        <v>129</v>
      </c>
      <c r="CC519" s="15">
        <v>1</v>
      </c>
      <c r="CN519" s="15" t="s">
        <v>198</v>
      </c>
      <c r="CW519" s="10">
        <v>2</v>
      </c>
      <c r="CX519" s="15" t="s">
        <v>1822</v>
      </c>
    </row>
    <row r="520" spans="1:102" s="15" customFormat="1" x14ac:dyDescent="0.3">
      <c r="A520" s="11" t="s">
        <v>126</v>
      </c>
      <c r="B520" s="10" t="s">
        <v>1823</v>
      </c>
      <c r="C520" s="12" t="s">
        <v>1824</v>
      </c>
      <c r="D520" s="10">
        <v>12</v>
      </c>
      <c r="E520" s="13">
        <v>100000</v>
      </c>
      <c r="F520" s="14" t="s">
        <v>244</v>
      </c>
      <c r="G520" s="14" t="s">
        <v>244</v>
      </c>
      <c r="H520" s="15" t="s">
        <v>254</v>
      </c>
      <c r="I520" s="8" t="s">
        <v>1255</v>
      </c>
      <c r="J520" s="10" t="s">
        <v>1256</v>
      </c>
      <c r="AW520" s="15" t="s">
        <v>128</v>
      </c>
      <c r="AX520" s="15" t="s">
        <v>1257</v>
      </c>
      <c r="AY520" s="15" t="s">
        <v>1258</v>
      </c>
      <c r="AZ520" s="15" t="s">
        <v>1259</v>
      </c>
      <c r="BH520" s="15" t="s">
        <v>184</v>
      </c>
      <c r="BI520" s="15" t="s">
        <v>185</v>
      </c>
      <c r="BJ520" s="15" t="s">
        <v>186</v>
      </c>
      <c r="BK520" s="15" t="s">
        <v>187</v>
      </c>
      <c r="BL520" s="15" t="s">
        <v>188</v>
      </c>
      <c r="BM520" s="15" t="s">
        <v>189</v>
      </c>
      <c r="BN520" s="15" t="s">
        <v>190</v>
      </c>
      <c r="BO520" s="15" t="s">
        <v>191</v>
      </c>
      <c r="BR520" s="15" t="s">
        <v>192</v>
      </c>
      <c r="BS520" s="15" t="s">
        <v>193</v>
      </c>
      <c r="BT520" s="15" t="s">
        <v>194</v>
      </c>
      <c r="BU520" s="15" t="s">
        <v>195</v>
      </c>
      <c r="BV520" s="15" t="s">
        <v>196</v>
      </c>
      <c r="BW520" s="15" t="s">
        <v>272</v>
      </c>
      <c r="CB520" s="15" t="s">
        <v>128</v>
      </c>
      <c r="CC520" s="15">
        <v>1</v>
      </c>
      <c r="CN520" s="15" t="s">
        <v>198</v>
      </c>
      <c r="CW520" s="10">
        <v>2</v>
      </c>
      <c r="CX520" s="15" t="s">
        <v>1825</v>
      </c>
    </row>
    <row r="521" spans="1:102" s="15" customFormat="1" x14ac:dyDescent="0.3">
      <c r="A521" s="11" t="s">
        <v>126</v>
      </c>
      <c r="B521" s="10" t="s">
        <v>1826</v>
      </c>
      <c r="C521" s="12" t="s">
        <v>1827</v>
      </c>
      <c r="D521" s="10">
        <v>12</v>
      </c>
      <c r="E521" s="13">
        <v>100000</v>
      </c>
      <c r="F521" s="14" t="s">
        <v>244</v>
      </c>
      <c r="G521" s="14" t="s">
        <v>244</v>
      </c>
      <c r="H521" s="15" t="s">
        <v>1572</v>
      </c>
      <c r="I521" s="8"/>
      <c r="J521" s="10"/>
      <c r="AW521" s="15" t="s">
        <v>128</v>
      </c>
      <c r="AX521" s="15" t="s">
        <v>1263</v>
      </c>
      <c r="AY521" s="15" t="s">
        <v>1264</v>
      </c>
      <c r="AZ521" s="15" t="s">
        <v>1265</v>
      </c>
      <c r="BA521" s="15" t="s">
        <v>1266</v>
      </c>
      <c r="BB521" s="15" t="s">
        <v>1267</v>
      </c>
      <c r="BC521" s="15" t="s">
        <v>1268</v>
      </c>
      <c r="BD521" s="15" t="s">
        <v>1269</v>
      </c>
      <c r="BE521" s="15" t="s">
        <v>1270</v>
      </c>
      <c r="BF521" s="15" t="s">
        <v>1271</v>
      </c>
      <c r="BH521" s="15" t="s">
        <v>184</v>
      </c>
      <c r="BI521" s="15" t="s">
        <v>185</v>
      </c>
      <c r="BJ521" s="15" t="s">
        <v>186</v>
      </c>
      <c r="BK521" s="15" t="s">
        <v>187</v>
      </c>
      <c r="BL521" s="15" t="s">
        <v>188</v>
      </c>
      <c r="BM521" s="15" t="s">
        <v>189</v>
      </c>
      <c r="BN521" s="15" t="s">
        <v>190</v>
      </c>
      <c r="BO521" s="15" t="s">
        <v>191</v>
      </c>
      <c r="BR521" s="15" t="s">
        <v>192</v>
      </c>
      <c r="BS521" s="15" t="s">
        <v>193</v>
      </c>
      <c r="BT521" s="15" t="s">
        <v>194</v>
      </c>
      <c r="BU521" s="15" t="s">
        <v>195</v>
      </c>
      <c r="BV521" s="15" t="s">
        <v>196</v>
      </c>
      <c r="BW521" s="15" t="s">
        <v>272</v>
      </c>
      <c r="CB521" s="15" t="s">
        <v>128</v>
      </c>
      <c r="CC521" s="15">
        <v>1</v>
      </c>
      <c r="CN521" s="15" t="s">
        <v>273</v>
      </c>
      <c r="CW521" s="10">
        <v>2</v>
      </c>
      <c r="CX521" s="15" t="s">
        <v>1828</v>
      </c>
    </row>
    <row r="522" spans="1:102" s="15" customFormat="1" x14ac:dyDescent="0.3">
      <c r="A522" s="11" t="s">
        <v>126</v>
      </c>
      <c r="B522" s="10" t="s">
        <v>1829</v>
      </c>
      <c r="C522" s="12" t="s">
        <v>1839</v>
      </c>
      <c r="D522" s="10">
        <v>12</v>
      </c>
      <c r="E522" s="13">
        <v>1000000</v>
      </c>
      <c r="F522" s="14" t="s">
        <v>1830</v>
      </c>
      <c r="G522" s="14" t="s">
        <v>1831</v>
      </c>
      <c r="H522" s="15" t="s">
        <v>1832</v>
      </c>
      <c r="I522" s="8"/>
      <c r="J522" s="10"/>
      <c r="AB522" s="15" t="s">
        <v>1833</v>
      </c>
      <c r="AV522" s="15" t="s">
        <v>1834</v>
      </c>
      <c r="AW522" s="15" t="s">
        <v>1835</v>
      </c>
      <c r="AX522" s="15" t="s">
        <v>468</v>
      </c>
      <c r="AY522" s="15" t="s">
        <v>467</v>
      </c>
      <c r="AZ522" s="15" t="s">
        <v>813</v>
      </c>
      <c r="BA522" s="15" t="s">
        <v>814</v>
      </c>
      <c r="BH522" s="15" t="s">
        <v>184</v>
      </c>
      <c r="BI522" s="15" t="s">
        <v>185</v>
      </c>
      <c r="BJ522" s="15" t="s">
        <v>186</v>
      </c>
      <c r="BK522" s="15" t="s">
        <v>187</v>
      </c>
      <c r="BL522" s="15" t="s">
        <v>188</v>
      </c>
      <c r="BM522" s="15" t="s">
        <v>189</v>
      </c>
      <c r="BN522" s="15" t="s">
        <v>190</v>
      </c>
      <c r="BO522" s="15" t="s">
        <v>191</v>
      </c>
      <c r="BR522" s="15" t="s">
        <v>192</v>
      </c>
      <c r="BS522" s="15" t="s">
        <v>193</v>
      </c>
      <c r="BT522" s="15" t="s">
        <v>194</v>
      </c>
      <c r="BU522" s="15" t="s">
        <v>195</v>
      </c>
      <c r="BV522" s="15" t="s">
        <v>196</v>
      </c>
      <c r="CB522" s="15" t="s">
        <v>129</v>
      </c>
      <c r="CC522" s="15">
        <v>1</v>
      </c>
      <c r="CN522" s="15" t="s">
        <v>1836</v>
      </c>
      <c r="CW522" s="10">
        <v>2</v>
      </c>
      <c r="CX522" s="15" t="s">
        <v>1837</v>
      </c>
    </row>
    <row r="523" spans="1:102" s="15" customFormat="1" x14ac:dyDescent="0.3">
      <c r="A523" s="11" t="s">
        <v>126</v>
      </c>
      <c r="B523" s="10" t="s">
        <v>1838</v>
      </c>
      <c r="C523" s="12" t="s">
        <v>1839</v>
      </c>
      <c r="D523" s="10">
        <v>12</v>
      </c>
      <c r="E523" s="13">
        <v>1000000</v>
      </c>
      <c r="F523" s="14" t="s">
        <v>1831</v>
      </c>
      <c r="G523" s="14" t="s">
        <v>1831</v>
      </c>
      <c r="H523" s="15" t="s">
        <v>1832</v>
      </c>
      <c r="I523" s="8"/>
      <c r="J523" s="10"/>
      <c r="AB523" s="15" t="s">
        <v>1833</v>
      </c>
      <c r="AW523" s="15" t="s">
        <v>128</v>
      </c>
      <c r="AX523" s="15" t="s">
        <v>468</v>
      </c>
      <c r="AY523" s="15" t="s">
        <v>467</v>
      </c>
      <c r="AZ523" s="15" t="s">
        <v>813</v>
      </c>
      <c r="BA523" s="15" t="s">
        <v>814</v>
      </c>
      <c r="BH523" s="15" t="s">
        <v>184</v>
      </c>
      <c r="BI523" s="15" t="s">
        <v>185</v>
      </c>
      <c r="BJ523" s="15" t="s">
        <v>186</v>
      </c>
      <c r="BK523" s="15" t="s">
        <v>187</v>
      </c>
      <c r="BL523" s="15" t="s">
        <v>188</v>
      </c>
      <c r="BM523" s="15" t="s">
        <v>189</v>
      </c>
      <c r="BN523" s="15" t="s">
        <v>190</v>
      </c>
      <c r="BO523" s="15" t="s">
        <v>191</v>
      </c>
      <c r="BR523" s="15" t="s">
        <v>192</v>
      </c>
      <c r="BS523" s="15" t="s">
        <v>193</v>
      </c>
      <c r="BT523" s="15" t="s">
        <v>194</v>
      </c>
      <c r="BU523" s="15" t="s">
        <v>195</v>
      </c>
      <c r="BV523" s="15" t="s">
        <v>196</v>
      </c>
      <c r="CB523" s="15" t="s">
        <v>128</v>
      </c>
      <c r="CC523" s="15">
        <v>1</v>
      </c>
      <c r="CN523" s="15" t="s">
        <v>1836</v>
      </c>
      <c r="CW523" s="10">
        <v>2</v>
      </c>
      <c r="CX523" s="15" t="s">
        <v>1840</v>
      </c>
    </row>
    <row r="524" spans="1:102" s="15" customFormat="1" x14ac:dyDescent="0.3">
      <c r="A524" s="11" t="s">
        <v>126</v>
      </c>
      <c r="B524" s="10" t="s">
        <v>1841</v>
      </c>
      <c r="C524" s="12" t="s">
        <v>1850</v>
      </c>
      <c r="D524" s="10">
        <v>12</v>
      </c>
      <c r="E524" s="13">
        <v>1000000</v>
      </c>
      <c r="F524" s="14" t="s">
        <v>1842</v>
      </c>
      <c r="G524" s="14" t="s">
        <v>1843</v>
      </c>
      <c r="H524" s="15" t="s">
        <v>1844</v>
      </c>
      <c r="I524" s="8"/>
      <c r="J524" s="10"/>
      <c r="AB524" s="15" t="s">
        <v>1845</v>
      </c>
      <c r="AV524" s="15" t="s">
        <v>1846</v>
      </c>
      <c r="AW524" s="15" t="s">
        <v>1847</v>
      </c>
      <c r="AX524" s="15" t="s">
        <v>468</v>
      </c>
      <c r="AY524" s="15" t="s">
        <v>467</v>
      </c>
      <c r="AZ524" s="15" t="s">
        <v>813</v>
      </c>
      <c r="BA524" s="15" t="s">
        <v>814</v>
      </c>
      <c r="BH524" s="15" t="s">
        <v>184</v>
      </c>
      <c r="BI524" s="15" t="s">
        <v>185</v>
      </c>
      <c r="BJ524" s="15" t="s">
        <v>186</v>
      </c>
      <c r="BK524" s="15" t="s">
        <v>187</v>
      </c>
      <c r="BL524" s="15" t="s">
        <v>188</v>
      </c>
      <c r="BM524" s="15" t="s">
        <v>189</v>
      </c>
      <c r="BN524" s="15" t="s">
        <v>190</v>
      </c>
      <c r="BO524" s="15" t="s">
        <v>191</v>
      </c>
      <c r="BR524" s="15" t="s">
        <v>192</v>
      </c>
      <c r="BS524" s="15" t="s">
        <v>193</v>
      </c>
      <c r="BT524" s="15" t="s">
        <v>194</v>
      </c>
      <c r="BU524" s="15" t="s">
        <v>195</v>
      </c>
      <c r="BV524" s="15" t="s">
        <v>196</v>
      </c>
      <c r="CB524" s="15" t="s">
        <v>129</v>
      </c>
      <c r="CC524" s="15">
        <v>1</v>
      </c>
      <c r="CN524" s="15" t="s">
        <v>198</v>
      </c>
      <c r="CW524" s="10">
        <v>2</v>
      </c>
      <c r="CX524" s="15" t="s">
        <v>1848</v>
      </c>
    </row>
    <row r="525" spans="1:102" s="15" customFormat="1" x14ac:dyDescent="0.3">
      <c r="A525" s="11" t="s">
        <v>126</v>
      </c>
      <c r="B525" s="10" t="s">
        <v>1849</v>
      </c>
      <c r="C525" s="12" t="s">
        <v>1850</v>
      </c>
      <c r="D525" s="10">
        <v>12</v>
      </c>
      <c r="E525" s="13">
        <v>1000000</v>
      </c>
      <c r="F525" s="14" t="s">
        <v>1843</v>
      </c>
      <c r="G525" s="14" t="s">
        <v>1843</v>
      </c>
      <c r="H525" s="15" t="s">
        <v>1844</v>
      </c>
      <c r="I525" s="8"/>
      <c r="J525" s="10"/>
      <c r="AB525" s="15" t="s">
        <v>1845</v>
      </c>
      <c r="AW525" s="15" t="s">
        <v>128</v>
      </c>
      <c r="AX525" s="15" t="s">
        <v>468</v>
      </c>
      <c r="AY525" s="15" t="s">
        <v>467</v>
      </c>
      <c r="AZ525" s="15" t="s">
        <v>813</v>
      </c>
      <c r="BA525" s="15" t="s">
        <v>814</v>
      </c>
      <c r="BH525" s="15" t="s">
        <v>184</v>
      </c>
      <c r="BI525" s="15" t="s">
        <v>185</v>
      </c>
      <c r="BJ525" s="15" t="s">
        <v>186</v>
      </c>
      <c r="BK525" s="15" t="s">
        <v>187</v>
      </c>
      <c r="BL525" s="15" t="s">
        <v>188</v>
      </c>
      <c r="BM525" s="15" t="s">
        <v>189</v>
      </c>
      <c r="BN525" s="15" t="s">
        <v>190</v>
      </c>
      <c r="BO525" s="15" t="s">
        <v>191</v>
      </c>
      <c r="BR525" s="15" t="s">
        <v>192</v>
      </c>
      <c r="BS525" s="15" t="s">
        <v>193</v>
      </c>
      <c r="BT525" s="15" t="s">
        <v>194</v>
      </c>
      <c r="BU525" s="15" t="s">
        <v>195</v>
      </c>
      <c r="BV525" s="15" t="s">
        <v>196</v>
      </c>
      <c r="CB525" s="15" t="s">
        <v>128</v>
      </c>
      <c r="CC525" s="15">
        <v>1</v>
      </c>
      <c r="CN525" s="15" t="s">
        <v>198</v>
      </c>
      <c r="CW525" s="10">
        <v>2</v>
      </c>
      <c r="CX525" s="15" t="s">
        <v>1851</v>
      </c>
    </row>
    <row r="526" spans="1:102" s="15" customFormat="1" x14ac:dyDescent="0.3">
      <c r="A526" s="11" t="s">
        <v>126</v>
      </c>
      <c r="B526" s="10" t="s">
        <v>1852</v>
      </c>
      <c r="C526" s="12" t="s">
        <v>1862</v>
      </c>
      <c r="D526" s="10">
        <v>12</v>
      </c>
      <c r="E526" s="13">
        <v>1000000</v>
      </c>
      <c r="F526" s="14" t="s">
        <v>1853</v>
      </c>
      <c r="G526" s="14" t="s">
        <v>1854</v>
      </c>
      <c r="H526" s="15" t="s">
        <v>1855</v>
      </c>
      <c r="I526" s="8"/>
      <c r="J526" s="10"/>
      <c r="AB526" s="15" t="s">
        <v>1856</v>
      </c>
      <c r="AV526" s="15" t="s">
        <v>1857</v>
      </c>
      <c r="AW526" s="15" t="s">
        <v>1858</v>
      </c>
      <c r="AX526" s="15" t="s">
        <v>468</v>
      </c>
      <c r="AY526" s="15" t="s">
        <v>467</v>
      </c>
      <c r="AZ526" s="15" t="s">
        <v>813</v>
      </c>
      <c r="BA526" s="15" t="s">
        <v>814</v>
      </c>
      <c r="BH526" s="15" t="s">
        <v>184</v>
      </c>
      <c r="BI526" s="15" t="s">
        <v>185</v>
      </c>
      <c r="BJ526" s="15" t="s">
        <v>186</v>
      </c>
      <c r="BK526" s="15" t="s">
        <v>187</v>
      </c>
      <c r="BL526" s="15" t="s">
        <v>188</v>
      </c>
      <c r="BM526" s="15" t="s">
        <v>189</v>
      </c>
      <c r="BN526" s="15" t="s">
        <v>190</v>
      </c>
      <c r="BO526" s="15" t="s">
        <v>191</v>
      </c>
      <c r="BR526" s="15" t="s">
        <v>192</v>
      </c>
      <c r="BS526" s="15" t="s">
        <v>193</v>
      </c>
      <c r="BT526" s="15" t="s">
        <v>194</v>
      </c>
      <c r="BU526" s="15" t="s">
        <v>195</v>
      </c>
      <c r="BV526" s="15" t="s">
        <v>196</v>
      </c>
      <c r="CB526" s="15" t="s">
        <v>129</v>
      </c>
      <c r="CC526" s="15">
        <v>1</v>
      </c>
      <c r="CN526" s="15" t="s">
        <v>1859</v>
      </c>
      <c r="CW526" s="10">
        <v>2</v>
      </c>
      <c r="CX526" s="15" t="s">
        <v>1860</v>
      </c>
    </row>
    <row r="527" spans="1:102" s="15" customFormat="1" x14ac:dyDescent="0.3">
      <c r="A527" s="11" t="s">
        <v>126</v>
      </c>
      <c r="B527" s="10" t="s">
        <v>1861</v>
      </c>
      <c r="C527" s="12" t="s">
        <v>1862</v>
      </c>
      <c r="D527" s="10">
        <v>12</v>
      </c>
      <c r="E527" s="13">
        <v>1000000</v>
      </c>
      <c r="F527" s="14" t="s">
        <v>1854</v>
      </c>
      <c r="G527" s="14" t="s">
        <v>1854</v>
      </c>
      <c r="H527" s="15" t="s">
        <v>1855</v>
      </c>
      <c r="I527" s="8"/>
      <c r="J527" s="10"/>
      <c r="AB527" s="15" t="s">
        <v>1856</v>
      </c>
      <c r="AW527" s="15" t="s">
        <v>128</v>
      </c>
      <c r="AX527" s="15" t="s">
        <v>468</v>
      </c>
      <c r="AY527" s="15" t="s">
        <v>467</v>
      </c>
      <c r="AZ527" s="15" t="s">
        <v>813</v>
      </c>
      <c r="BA527" s="15" t="s">
        <v>814</v>
      </c>
      <c r="BH527" s="15" t="s">
        <v>184</v>
      </c>
      <c r="BI527" s="15" t="s">
        <v>185</v>
      </c>
      <c r="BJ527" s="15" t="s">
        <v>186</v>
      </c>
      <c r="BK527" s="15" t="s">
        <v>187</v>
      </c>
      <c r="BL527" s="15" t="s">
        <v>188</v>
      </c>
      <c r="BM527" s="15" t="s">
        <v>189</v>
      </c>
      <c r="BN527" s="15" t="s">
        <v>190</v>
      </c>
      <c r="BO527" s="15" t="s">
        <v>191</v>
      </c>
      <c r="BR527" s="15" t="s">
        <v>192</v>
      </c>
      <c r="BS527" s="15" t="s">
        <v>193</v>
      </c>
      <c r="BT527" s="15" t="s">
        <v>194</v>
      </c>
      <c r="BU527" s="15" t="s">
        <v>195</v>
      </c>
      <c r="BV527" s="15" t="s">
        <v>196</v>
      </c>
      <c r="CB527" s="15" t="s">
        <v>128</v>
      </c>
      <c r="CC527" s="15">
        <v>1</v>
      </c>
      <c r="CN527" s="15" t="s">
        <v>1859</v>
      </c>
      <c r="CW527" s="10">
        <v>2</v>
      </c>
      <c r="CX527" s="15" t="s">
        <v>1863</v>
      </c>
    </row>
    <row r="528" spans="1:102" s="15" customFormat="1" x14ac:dyDescent="0.3">
      <c r="A528" s="11" t="s">
        <v>126</v>
      </c>
      <c r="B528" s="10" t="s">
        <v>1864</v>
      </c>
      <c r="C528" s="12" t="s">
        <v>1873</v>
      </c>
      <c r="D528" s="10">
        <v>12</v>
      </c>
      <c r="E528" s="13">
        <v>1000000</v>
      </c>
      <c r="F528" s="14" t="s">
        <v>1865</v>
      </c>
      <c r="G528" s="14" t="s">
        <v>1866</v>
      </c>
      <c r="H528" s="15" t="s">
        <v>1867</v>
      </c>
      <c r="I528" s="8"/>
      <c r="J528" s="10"/>
      <c r="AB528" s="15" t="s">
        <v>1868</v>
      </c>
      <c r="AV528" s="15" t="s">
        <v>1869</v>
      </c>
      <c r="AW528" s="15" t="s">
        <v>1870</v>
      </c>
      <c r="AX528" s="15" t="s">
        <v>468</v>
      </c>
      <c r="AY528" s="15" t="s">
        <v>467</v>
      </c>
      <c r="AZ528" s="15" t="s">
        <v>813</v>
      </c>
      <c r="BA528" s="15" t="s">
        <v>814</v>
      </c>
      <c r="BH528" s="15" t="s">
        <v>184</v>
      </c>
      <c r="BI528" s="15" t="s">
        <v>185</v>
      </c>
      <c r="BJ528" s="15" t="s">
        <v>186</v>
      </c>
      <c r="BK528" s="15" t="s">
        <v>187</v>
      </c>
      <c r="BL528" s="15" t="s">
        <v>188</v>
      </c>
      <c r="BM528" s="15" t="s">
        <v>189</v>
      </c>
      <c r="BN528" s="15" t="s">
        <v>190</v>
      </c>
      <c r="BO528" s="15" t="s">
        <v>191</v>
      </c>
      <c r="BR528" s="15" t="s">
        <v>192</v>
      </c>
      <c r="BS528" s="15" t="s">
        <v>193</v>
      </c>
      <c r="BT528" s="15" t="s">
        <v>194</v>
      </c>
      <c r="BU528" s="15" t="s">
        <v>195</v>
      </c>
      <c r="BV528" s="15" t="s">
        <v>196</v>
      </c>
      <c r="CB528" s="15" t="s">
        <v>129</v>
      </c>
      <c r="CC528" s="15">
        <v>1</v>
      </c>
      <c r="CN528" s="15" t="s">
        <v>198</v>
      </c>
      <c r="CW528" s="10">
        <v>2</v>
      </c>
      <c r="CX528" s="15" t="s">
        <v>1871</v>
      </c>
    </row>
    <row r="529" spans="1:102" s="15" customFormat="1" x14ac:dyDescent="0.3">
      <c r="A529" s="11" t="s">
        <v>126</v>
      </c>
      <c r="B529" s="10" t="s">
        <v>1872</v>
      </c>
      <c r="C529" s="12" t="s">
        <v>1873</v>
      </c>
      <c r="D529" s="10">
        <v>12</v>
      </c>
      <c r="E529" s="13">
        <v>1000000</v>
      </c>
      <c r="F529" s="14" t="s">
        <v>1866</v>
      </c>
      <c r="G529" s="14" t="s">
        <v>1866</v>
      </c>
      <c r="H529" s="15" t="s">
        <v>1867</v>
      </c>
      <c r="I529" s="8"/>
      <c r="J529" s="10"/>
      <c r="AB529" s="15" t="s">
        <v>1868</v>
      </c>
      <c r="AW529" s="15" t="s">
        <v>128</v>
      </c>
      <c r="AX529" s="15" t="s">
        <v>468</v>
      </c>
      <c r="AY529" s="15" t="s">
        <v>467</v>
      </c>
      <c r="AZ529" s="15" t="s">
        <v>813</v>
      </c>
      <c r="BA529" s="15" t="s">
        <v>814</v>
      </c>
      <c r="BH529" s="15" t="s">
        <v>184</v>
      </c>
      <c r="BI529" s="15" t="s">
        <v>185</v>
      </c>
      <c r="BJ529" s="15" t="s">
        <v>186</v>
      </c>
      <c r="BK529" s="15" t="s">
        <v>187</v>
      </c>
      <c r="BL529" s="15" t="s">
        <v>188</v>
      </c>
      <c r="BM529" s="15" t="s">
        <v>189</v>
      </c>
      <c r="BN529" s="15" t="s">
        <v>190</v>
      </c>
      <c r="BO529" s="15" t="s">
        <v>191</v>
      </c>
      <c r="BR529" s="15" t="s">
        <v>192</v>
      </c>
      <c r="BS529" s="15" t="s">
        <v>193</v>
      </c>
      <c r="BT529" s="15" t="s">
        <v>194</v>
      </c>
      <c r="BU529" s="15" t="s">
        <v>195</v>
      </c>
      <c r="BV529" s="15" t="s">
        <v>196</v>
      </c>
      <c r="CB529" s="15" t="s">
        <v>128</v>
      </c>
      <c r="CC529" s="15">
        <v>1</v>
      </c>
      <c r="CN529" s="15" t="s">
        <v>198</v>
      </c>
      <c r="CW529" s="10">
        <v>2</v>
      </c>
      <c r="CX529" s="15" t="s">
        <v>1874</v>
      </c>
    </row>
    <row r="530" spans="1:102" s="15" customFormat="1" x14ac:dyDescent="0.3">
      <c r="A530" s="11" t="s">
        <v>126</v>
      </c>
      <c r="B530" s="10" t="s">
        <v>1875</v>
      </c>
      <c r="C530" s="12" t="s">
        <v>1881</v>
      </c>
      <c r="D530" s="10">
        <v>12</v>
      </c>
      <c r="E530" s="13">
        <v>1000000</v>
      </c>
      <c r="F530" s="14" t="s">
        <v>1876</v>
      </c>
      <c r="G530" s="14" t="s">
        <v>1854</v>
      </c>
      <c r="H530" s="15" t="s">
        <v>1877</v>
      </c>
      <c r="I530" s="8"/>
      <c r="J530" s="10"/>
      <c r="AV530" s="15" t="s">
        <v>1857</v>
      </c>
      <c r="AW530" s="15" t="s">
        <v>1858</v>
      </c>
      <c r="AX530" s="15" t="s">
        <v>191</v>
      </c>
      <c r="AY530" s="15" t="s">
        <v>468</v>
      </c>
      <c r="AZ530" s="15" t="s">
        <v>467</v>
      </c>
      <c r="BH530" s="15" t="s">
        <v>184</v>
      </c>
      <c r="BI530" s="15" t="s">
        <v>185</v>
      </c>
      <c r="BJ530" s="15" t="s">
        <v>186</v>
      </c>
      <c r="BK530" s="15" t="s">
        <v>187</v>
      </c>
      <c r="BL530" s="15" t="s">
        <v>188</v>
      </c>
      <c r="BM530" s="15" t="s">
        <v>189</v>
      </c>
      <c r="BN530" s="15" t="s">
        <v>190</v>
      </c>
      <c r="BO530" s="15" t="s">
        <v>191</v>
      </c>
      <c r="BR530" s="15" t="s">
        <v>192</v>
      </c>
      <c r="BS530" s="15" t="s">
        <v>193</v>
      </c>
      <c r="BT530" s="15" t="s">
        <v>194</v>
      </c>
      <c r="BU530" s="15" t="s">
        <v>195</v>
      </c>
      <c r="BV530" s="15" t="s">
        <v>196</v>
      </c>
      <c r="CB530" s="15" t="s">
        <v>129</v>
      </c>
      <c r="CC530" s="15">
        <v>1</v>
      </c>
      <c r="CM530" s="15" t="s">
        <v>1878</v>
      </c>
      <c r="CN530" s="15" t="s">
        <v>273</v>
      </c>
      <c r="CW530" s="10">
        <v>2</v>
      </c>
      <c r="CX530" s="15" t="s">
        <v>1879</v>
      </c>
    </row>
    <row r="531" spans="1:102" s="15" customFormat="1" x14ac:dyDescent="0.3">
      <c r="A531" s="11" t="s">
        <v>126</v>
      </c>
      <c r="B531" s="10" t="s">
        <v>1880</v>
      </c>
      <c r="C531" s="12" t="s">
        <v>1881</v>
      </c>
      <c r="D531" s="10">
        <v>12</v>
      </c>
      <c r="E531" s="13">
        <v>1000000</v>
      </c>
      <c r="F531" s="14" t="s">
        <v>1854</v>
      </c>
      <c r="G531" s="14" t="s">
        <v>1854</v>
      </c>
      <c r="H531" s="15" t="s">
        <v>1882</v>
      </c>
      <c r="I531" s="8"/>
      <c r="J531" s="10"/>
      <c r="AW531" s="15" t="s">
        <v>128</v>
      </c>
      <c r="AX531" s="15" t="s">
        <v>191</v>
      </c>
      <c r="AY531" s="15" t="s">
        <v>468</v>
      </c>
      <c r="AZ531" s="15" t="s">
        <v>467</v>
      </c>
      <c r="BH531" s="15" t="s">
        <v>184</v>
      </c>
      <c r="BI531" s="15" t="s">
        <v>185</v>
      </c>
      <c r="BJ531" s="15" t="s">
        <v>186</v>
      </c>
      <c r="BK531" s="15" t="s">
        <v>187</v>
      </c>
      <c r="BL531" s="15" t="s">
        <v>188</v>
      </c>
      <c r="BM531" s="15" t="s">
        <v>189</v>
      </c>
      <c r="BN531" s="15" t="s">
        <v>190</v>
      </c>
      <c r="BO531" s="15" t="s">
        <v>191</v>
      </c>
      <c r="BR531" s="15" t="s">
        <v>192</v>
      </c>
      <c r="BS531" s="15" t="s">
        <v>193</v>
      </c>
      <c r="BT531" s="15" t="s">
        <v>194</v>
      </c>
      <c r="BU531" s="15" t="s">
        <v>195</v>
      </c>
      <c r="BV531" s="15" t="s">
        <v>196</v>
      </c>
      <c r="CC531" s="15">
        <v>1</v>
      </c>
      <c r="CM531" s="15" t="s">
        <v>1883</v>
      </c>
      <c r="CW531" s="10">
        <v>2</v>
      </c>
      <c r="CX531" s="15" t="s">
        <v>1884</v>
      </c>
    </row>
    <row r="532" spans="1:102" s="15" customFormat="1" x14ac:dyDescent="0.3">
      <c r="A532" s="11" t="s">
        <v>126</v>
      </c>
      <c r="B532" s="10" t="s">
        <v>1885</v>
      </c>
      <c r="C532" s="12" t="s">
        <v>1890</v>
      </c>
      <c r="D532" s="10">
        <v>12</v>
      </c>
      <c r="E532" s="13">
        <v>1000000</v>
      </c>
      <c r="F532" s="14">
        <v>1</v>
      </c>
      <c r="G532" s="14">
        <v>1</v>
      </c>
      <c r="H532" s="15" t="s">
        <v>1886</v>
      </c>
      <c r="I532" s="8"/>
      <c r="J532" s="10"/>
      <c r="AW532" s="15" t="s">
        <v>128</v>
      </c>
      <c r="AX532" s="15" t="s">
        <v>1887</v>
      </c>
      <c r="BH532" s="15" t="s">
        <v>191</v>
      </c>
      <c r="BI532" s="15" t="s">
        <v>468</v>
      </c>
      <c r="BJ532" s="15" t="s">
        <v>467</v>
      </c>
      <c r="BR532" s="15" t="s">
        <v>272</v>
      </c>
      <c r="BS532" s="15" t="s">
        <v>193</v>
      </c>
      <c r="CW532" s="10">
        <v>2</v>
      </c>
      <c r="CX532" s="15" t="s">
        <v>1888</v>
      </c>
    </row>
    <row r="533" spans="1:102" s="15" customFormat="1" x14ac:dyDescent="0.3">
      <c r="A533" s="11" t="s">
        <v>126</v>
      </c>
      <c r="B533" s="10" t="s">
        <v>1889</v>
      </c>
      <c r="C533" s="12" t="s">
        <v>1890</v>
      </c>
      <c r="D533" s="10">
        <v>12</v>
      </c>
      <c r="E533" s="13">
        <v>1000000</v>
      </c>
      <c r="F533" s="14">
        <v>1</v>
      </c>
      <c r="G533" s="14">
        <v>1</v>
      </c>
      <c r="H533" s="15" t="s">
        <v>1886</v>
      </c>
      <c r="I533" s="8"/>
      <c r="J533" s="10"/>
      <c r="AW533" s="15" t="s">
        <v>128</v>
      </c>
      <c r="AX533" s="15" t="s">
        <v>1887</v>
      </c>
      <c r="BH533" s="15" t="s">
        <v>191</v>
      </c>
      <c r="BI533" s="15" t="s">
        <v>468</v>
      </c>
      <c r="BJ533" s="15" t="s">
        <v>467</v>
      </c>
      <c r="BR533" s="15" t="s">
        <v>272</v>
      </c>
      <c r="BS533" s="15" t="s">
        <v>193</v>
      </c>
      <c r="CW533" s="10">
        <v>2</v>
      </c>
      <c r="CX533" s="15" t="s">
        <v>1891</v>
      </c>
    </row>
    <row r="534" spans="1:102" s="15" customFormat="1" x14ac:dyDescent="0.3">
      <c r="A534" s="11" t="s">
        <v>126</v>
      </c>
      <c r="B534" s="10" t="s">
        <v>1892</v>
      </c>
      <c r="C534" s="12" t="s">
        <v>1902</v>
      </c>
      <c r="D534" s="10">
        <v>12</v>
      </c>
      <c r="E534" s="13">
        <v>1000000</v>
      </c>
      <c r="F534" s="14" t="s">
        <v>1893</v>
      </c>
      <c r="G534" s="14" t="s">
        <v>1894</v>
      </c>
      <c r="H534" s="15" t="s">
        <v>1895</v>
      </c>
      <c r="I534" s="8"/>
      <c r="J534" s="10"/>
      <c r="AV534" s="15" t="s">
        <v>1896</v>
      </c>
      <c r="AW534" s="15" t="s">
        <v>1897</v>
      </c>
      <c r="AX534" s="15" t="s">
        <v>191</v>
      </c>
      <c r="AY534" s="15" t="s">
        <v>468</v>
      </c>
      <c r="AZ534" s="15" t="s">
        <v>467</v>
      </c>
      <c r="BH534" s="15" t="s">
        <v>184</v>
      </c>
      <c r="BI534" s="15" t="s">
        <v>185</v>
      </c>
      <c r="BJ534" s="15" t="s">
        <v>186</v>
      </c>
      <c r="BK534" s="15" t="s">
        <v>187</v>
      </c>
      <c r="BL534" s="15" t="s">
        <v>188</v>
      </c>
      <c r="BM534" s="15" t="s">
        <v>189</v>
      </c>
      <c r="BN534" s="15" t="s">
        <v>190</v>
      </c>
      <c r="BO534" s="15" t="s">
        <v>191</v>
      </c>
      <c r="BR534" s="15" t="s">
        <v>192</v>
      </c>
      <c r="BS534" s="15" t="s">
        <v>193</v>
      </c>
      <c r="BT534" s="15" t="s">
        <v>194</v>
      </c>
      <c r="BU534" s="15" t="s">
        <v>195</v>
      </c>
      <c r="BV534" s="15" t="s">
        <v>196</v>
      </c>
      <c r="CB534" s="15" t="s">
        <v>129</v>
      </c>
      <c r="CC534" s="15">
        <v>1</v>
      </c>
      <c r="CM534" s="15" t="s">
        <v>1898</v>
      </c>
      <c r="CN534" s="15" t="s">
        <v>1899</v>
      </c>
      <c r="CW534" s="10">
        <v>2</v>
      </c>
      <c r="CX534" s="15" t="s">
        <v>1900</v>
      </c>
    </row>
    <row r="535" spans="1:102" s="15" customFormat="1" x14ac:dyDescent="0.3">
      <c r="A535" s="11" t="s">
        <v>126</v>
      </c>
      <c r="B535" s="10" t="s">
        <v>1901</v>
      </c>
      <c r="C535" s="12" t="s">
        <v>1902</v>
      </c>
      <c r="D535" s="10">
        <v>12</v>
      </c>
      <c r="E535" s="13">
        <v>1000000</v>
      </c>
      <c r="F535" s="14" t="s">
        <v>1894</v>
      </c>
      <c r="G535" s="14" t="s">
        <v>1894</v>
      </c>
      <c r="H535" s="15" t="s">
        <v>1903</v>
      </c>
      <c r="I535" s="8"/>
      <c r="J535" s="10"/>
      <c r="AW535" s="15" t="s">
        <v>128</v>
      </c>
      <c r="AX535" s="15" t="s">
        <v>191</v>
      </c>
      <c r="AY535" s="15" t="s">
        <v>468</v>
      </c>
      <c r="AZ535" s="15" t="s">
        <v>467</v>
      </c>
      <c r="BH535" s="15" t="s">
        <v>184</v>
      </c>
      <c r="BI535" s="15" t="s">
        <v>185</v>
      </c>
      <c r="BJ535" s="15" t="s">
        <v>186</v>
      </c>
      <c r="BK535" s="15" t="s">
        <v>187</v>
      </c>
      <c r="BL535" s="15" t="s">
        <v>188</v>
      </c>
      <c r="BM535" s="15" t="s">
        <v>189</v>
      </c>
      <c r="BN535" s="15" t="s">
        <v>190</v>
      </c>
      <c r="BO535" s="15" t="s">
        <v>191</v>
      </c>
      <c r="BR535" s="15" t="s">
        <v>192</v>
      </c>
      <c r="BS535" s="15" t="s">
        <v>193</v>
      </c>
      <c r="BT535" s="15" t="s">
        <v>194</v>
      </c>
      <c r="BU535" s="15" t="s">
        <v>195</v>
      </c>
      <c r="BV535" s="15" t="s">
        <v>196</v>
      </c>
      <c r="CC535" s="15">
        <v>1</v>
      </c>
      <c r="CM535" s="15" t="s">
        <v>1904</v>
      </c>
      <c r="CW535" s="10">
        <v>2</v>
      </c>
      <c r="CX535" s="15" t="s">
        <v>1905</v>
      </c>
    </row>
    <row r="536" spans="1:102" s="15" customFormat="1" x14ac:dyDescent="0.3">
      <c r="A536" s="11" t="s">
        <v>126</v>
      </c>
      <c r="B536" s="10" t="s">
        <v>1906</v>
      </c>
      <c r="C536" s="12" t="s">
        <v>1911</v>
      </c>
      <c r="D536" s="10">
        <v>12</v>
      </c>
      <c r="E536" s="13">
        <v>1000000</v>
      </c>
      <c r="F536" s="14">
        <v>1</v>
      </c>
      <c r="G536" s="14">
        <v>1</v>
      </c>
      <c r="H536" s="15" t="s">
        <v>1907</v>
      </c>
      <c r="I536" s="8"/>
      <c r="J536" s="10"/>
      <c r="AW536" s="15" t="s">
        <v>128</v>
      </c>
      <c r="AX536" s="15" t="s">
        <v>1908</v>
      </c>
      <c r="BH536" s="15" t="s">
        <v>191</v>
      </c>
      <c r="BI536" s="15" t="s">
        <v>468</v>
      </c>
      <c r="BJ536" s="15" t="s">
        <v>467</v>
      </c>
      <c r="BR536" s="15" t="s">
        <v>272</v>
      </c>
      <c r="BS536" s="15" t="s">
        <v>193</v>
      </c>
      <c r="CW536" s="10">
        <v>2</v>
      </c>
      <c r="CX536" s="15" t="s">
        <v>1909</v>
      </c>
    </row>
    <row r="537" spans="1:102" s="15" customFormat="1" x14ac:dyDescent="0.3">
      <c r="A537" s="11" t="s">
        <v>126</v>
      </c>
      <c r="B537" s="10" t="s">
        <v>1910</v>
      </c>
      <c r="C537" s="12" t="s">
        <v>1911</v>
      </c>
      <c r="D537" s="10">
        <v>12</v>
      </c>
      <c r="E537" s="13">
        <v>1000000</v>
      </c>
      <c r="F537" s="14">
        <v>1</v>
      </c>
      <c r="G537" s="14">
        <v>1</v>
      </c>
      <c r="H537" s="15" t="s">
        <v>1907</v>
      </c>
      <c r="I537" s="8"/>
      <c r="J537" s="10"/>
      <c r="AW537" s="15" t="s">
        <v>128</v>
      </c>
      <c r="AX537" s="15" t="s">
        <v>1908</v>
      </c>
      <c r="BH537" s="15" t="s">
        <v>191</v>
      </c>
      <c r="BI537" s="15" t="s">
        <v>468</v>
      </c>
      <c r="BJ537" s="15" t="s">
        <v>467</v>
      </c>
      <c r="BR537" s="15" t="s">
        <v>272</v>
      </c>
      <c r="BS537" s="15" t="s">
        <v>193</v>
      </c>
      <c r="CW537" s="10">
        <v>2</v>
      </c>
      <c r="CX537" s="15" t="s">
        <v>1912</v>
      </c>
    </row>
    <row r="538" spans="1:102" s="15" customFormat="1" x14ac:dyDescent="0.3">
      <c r="A538" s="11" t="s">
        <v>126</v>
      </c>
      <c r="B538" s="10" t="s">
        <v>1913</v>
      </c>
      <c r="C538" s="12" t="s">
        <v>1917</v>
      </c>
      <c r="D538" s="10">
        <v>12</v>
      </c>
      <c r="E538" s="13">
        <v>1000000</v>
      </c>
      <c r="F538" s="14" t="s">
        <v>1893</v>
      </c>
      <c r="G538" s="14" t="s">
        <v>1894</v>
      </c>
      <c r="H538" s="15" t="s">
        <v>1895</v>
      </c>
      <c r="I538" s="8"/>
      <c r="J538" s="10"/>
      <c r="AV538" s="15" t="s">
        <v>1896</v>
      </c>
      <c r="AW538" s="15" t="s">
        <v>1897</v>
      </c>
      <c r="AX538" s="15" t="s">
        <v>191</v>
      </c>
      <c r="AY538" s="15" t="s">
        <v>468</v>
      </c>
      <c r="AZ538" s="15" t="s">
        <v>467</v>
      </c>
      <c r="BH538" s="15" t="s">
        <v>184</v>
      </c>
      <c r="BI538" s="15" t="s">
        <v>185</v>
      </c>
      <c r="BJ538" s="15" t="s">
        <v>186</v>
      </c>
      <c r="BK538" s="15" t="s">
        <v>187</v>
      </c>
      <c r="BL538" s="15" t="s">
        <v>188</v>
      </c>
      <c r="BM538" s="15" t="s">
        <v>189</v>
      </c>
      <c r="BN538" s="15" t="s">
        <v>190</v>
      </c>
      <c r="BO538" s="15" t="s">
        <v>191</v>
      </c>
      <c r="BR538" s="15" t="s">
        <v>192</v>
      </c>
      <c r="BS538" s="15" t="s">
        <v>193</v>
      </c>
      <c r="BT538" s="15" t="s">
        <v>194</v>
      </c>
      <c r="BU538" s="15" t="s">
        <v>195</v>
      </c>
      <c r="BV538" s="15" t="s">
        <v>196</v>
      </c>
      <c r="CB538" s="15" t="s">
        <v>129</v>
      </c>
      <c r="CC538" s="15">
        <v>1</v>
      </c>
      <c r="CM538" s="15" t="s">
        <v>1914</v>
      </c>
      <c r="CN538" s="15" t="s">
        <v>1899</v>
      </c>
      <c r="CW538" s="10">
        <v>2</v>
      </c>
      <c r="CX538" s="15" t="s">
        <v>1915</v>
      </c>
    </row>
    <row r="539" spans="1:102" s="15" customFormat="1" x14ac:dyDescent="0.3">
      <c r="A539" s="11" t="s">
        <v>126</v>
      </c>
      <c r="B539" s="10" t="s">
        <v>1916</v>
      </c>
      <c r="C539" s="12" t="s">
        <v>1917</v>
      </c>
      <c r="D539" s="10">
        <v>12</v>
      </c>
      <c r="E539" s="13">
        <v>1000000</v>
      </c>
      <c r="F539" s="14" t="s">
        <v>1894</v>
      </c>
      <c r="G539" s="14" t="s">
        <v>1894</v>
      </c>
      <c r="H539" s="15" t="s">
        <v>1903</v>
      </c>
      <c r="I539" s="8"/>
      <c r="J539" s="10"/>
      <c r="AW539" s="15" t="s">
        <v>128</v>
      </c>
      <c r="AX539" s="15" t="s">
        <v>191</v>
      </c>
      <c r="AY539" s="15" t="s">
        <v>468</v>
      </c>
      <c r="AZ539" s="15" t="s">
        <v>467</v>
      </c>
      <c r="BH539" s="15" t="s">
        <v>184</v>
      </c>
      <c r="BI539" s="15" t="s">
        <v>185</v>
      </c>
      <c r="BJ539" s="15" t="s">
        <v>186</v>
      </c>
      <c r="BK539" s="15" t="s">
        <v>187</v>
      </c>
      <c r="BL539" s="15" t="s">
        <v>188</v>
      </c>
      <c r="BM539" s="15" t="s">
        <v>189</v>
      </c>
      <c r="BN539" s="15" t="s">
        <v>190</v>
      </c>
      <c r="BO539" s="15" t="s">
        <v>191</v>
      </c>
      <c r="BR539" s="15" t="s">
        <v>192</v>
      </c>
      <c r="BS539" s="15" t="s">
        <v>193</v>
      </c>
      <c r="BT539" s="15" t="s">
        <v>194</v>
      </c>
      <c r="BU539" s="15" t="s">
        <v>195</v>
      </c>
      <c r="BV539" s="15" t="s">
        <v>196</v>
      </c>
      <c r="CC539" s="15">
        <v>1</v>
      </c>
      <c r="CM539" s="15" t="s">
        <v>1918</v>
      </c>
      <c r="CW539" s="10">
        <v>2</v>
      </c>
      <c r="CX539" s="15" t="s">
        <v>1919</v>
      </c>
    </row>
    <row r="540" spans="1:102" s="15" customFormat="1" x14ac:dyDescent="0.3">
      <c r="A540" s="11" t="s">
        <v>126</v>
      </c>
      <c r="B540" s="10" t="s">
        <v>1920</v>
      </c>
      <c r="C540" s="12" t="s">
        <v>1924</v>
      </c>
      <c r="D540" s="10">
        <v>12</v>
      </c>
      <c r="E540" s="13">
        <v>1000000</v>
      </c>
      <c r="F540" s="14">
        <v>1</v>
      </c>
      <c r="G540" s="14">
        <v>1</v>
      </c>
      <c r="H540" s="15" t="s">
        <v>1907</v>
      </c>
      <c r="I540" s="8"/>
      <c r="J540" s="10"/>
      <c r="AW540" s="15" t="s">
        <v>128</v>
      </c>
      <c r="AX540" s="15" t="s">
        <v>1921</v>
      </c>
      <c r="BH540" s="15" t="s">
        <v>191</v>
      </c>
      <c r="BI540" s="15" t="s">
        <v>468</v>
      </c>
      <c r="BJ540" s="15" t="s">
        <v>467</v>
      </c>
      <c r="BR540" s="15" t="s">
        <v>272</v>
      </c>
      <c r="BS540" s="15" t="s">
        <v>193</v>
      </c>
      <c r="CW540" s="10">
        <v>2</v>
      </c>
      <c r="CX540" s="15" t="s">
        <v>1922</v>
      </c>
    </row>
    <row r="541" spans="1:102" s="15" customFormat="1" x14ac:dyDescent="0.3">
      <c r="A541" s="11" t="s">
        <v>126</v>
      </c>
      <c r="B541" s="10" t="s">
        <v>1923</v>
      </c>
      <c r="C541" s="12" t="s">
        <v>1924</v>
      </c>
      <c r="D541" s="10">
        <v>1</v>
      </c>
      <c r="E541" s="13">
        <v>1000000</v>
      </c>
      <c r="F541" s="14">
        <v>1</v>
      </c>
      <c r="G541" s="14">
        <v>1</v>
      </c>
      <c r="H541" s="15" t="s">
        <v>1907</v>
      </c>
      <c r="I541" s="8"/>
      <c r="J541" s="10"/>
      <c r="AW541" s="15" t="s">
        <v>128</v>
      </c>
      <c r="AX541" s="15" t="s">
        <v>1921</v>
      </c>
      <c r="BH541" s="15" t="s">
        <v>191</v>
      </c>
      <c r="BI541" s="15" t="s">
        <v>468</v>
      </c>
      <c r="BJ541" s="15" t="s">
        <v>467</v>
      </c>
      <c r="BR541" s="15" t="s">
        <v>272</v>
      </c>
      <c r="BS541" s="15" t="s">
        <v>193</v>
      </c>
      <c r="CW541" s="10">
        <v>2</v>
      </c>
      <c r="CX541" s="15" t="s">
        <v>1925</v>
      </c>
    </row>
    <row r="542" spans="1:102" s="15" customFormat="1" x14ac:dyDescent="0.3">
      <c r="A542" s="11" t="s">
        <v>126</v>
      </c>
      <c r="B542" s="10" t="s">
        <v>1926</v>
      </c>
      <c r="C542" s="12" t="s">
        <v>1930</v>
      </c>
      <c r="D542" s="10">
        <v>12</v>
      </c>
      <c r="E542" s="13">
        <v>1000000</v>
      </c>
      <c r="F542" s="14" t="s">
        <v>1893</v>
      </c>
      <c r="G542" s="14" t="s">
        <v>1894</v>
      </c>
      <c r="H542" s="15" t="s">
        <v>1895</v>
      </c>
      <c r="I542" s="8"/>
      <c r="J542" s="10"/>
      <c r="AV542" s="15" t="s">
        <v>1896</v>
      </c>
      <c r="AW542" s="15" t="s">
        <v>1897</v>
      </c>
      <c r="AX542" s="15" t="s">
        <v>191</v>
      </c>
      <c r="AY542" s="15" t="s">
        <v>468</v>
      </c>
      <c r="AZ542" s="15" t="s">
        <v>467</v>
      </c>
      <c r="BH542" s="15" t="s">
        <v>184</v>
      </c>
      <c r="BI542" s="15" t="s">
        <v>185</v>
      </c>
      <c r="BJ542" s="15" t="s">
        <v>186</v>
      </c>
      <c r="BK542" s="15" t="s">
        <v>187</v>
      </c>
      <c r="BL542" s="15" t="s">
        <v>188</v>
      </c>
      <c r="BM542" s="15" t="s">
        <v>189</v>
      </c>
      <c r="BN542" s="15" t="s">
        <v>190</v>
      </c>
      <c r="BO542" s="15" t="s">
        <v>191</v>
      </c>
      <c r="BR542" s="15" t="s">
        <v>192</v>
      </c>
      <c r="BS542" s="15" t="s">
        <v>193</v>
      </c>
      <c r="BT542" s="15" t="s">
        <v>194</v>
      </c>
      <c r="BU542" s="15" t="s">
        <v>195</v>
      </c>
      <c r="BV542" s="15" t="s">
        <v>196</v>
      </c>
      <c r="CB542" s="15" t="s">
        <v>129</v>
      </c>
      <c r="CC542" s="15">
        <v>1</v>
      </c>
      <c r="CM542" s="15" t="s">
        <v>1927</v>
      </c>
      <c r="CN542" s="15" t="s">
        <v>1899</v>
      </c>
      <c r="CW542" s="10">
        <v>2</v>
      </c>
      <c r="CX542" s="15" t="s">
        <v>1928</v>
      </c>
    </row>
    <row r="543" spans="1:102" s="15" customFormat="1" x14ac:dyDescent="0.3">
      <c r="A543" s="11" t="s">
        <v>126</v>
      </c>
      <c r="B543" s="10" t="s">
        <v>1929</v>
      </c>
      <c r="C543" s="12" t="s">
        <v>1930</v>
      </c>
      <c r="D543" s="10">
        <v>12</v>
      </c>
      <c r="E543" s="13">
        <v>1000000</v>
      </c>
      <c r="F543" s="14" t="s">
        <v>1894</v>
      </c>
      <c r="G543" s="14" t="s">
        <v>1894</v>
      </c>
      <c r="H543" s="15" t="s">
        <v>1903</v>
      </c>
      <c r="I543" s="8"/>
      <c r="J543" s="10"/>
      <c r="AW543" s="15" t="s">
        <v>128</v>
      </c>
      <c r="AX543" s="15" t="s">
        <v>191</v>
      </c>
      <c r="AY543" s="15" t="s">
        <v>468</v>
      </c>
      <c r="AZ543" s="15" t="s">
        <v>467</v>
      </c>
      <c r="BH543" s="15" t="s">
        <v>184</v>
      </c>
      <c r="BI543" s="15" t="s">
        <v>185</v>
      </c>
      <c r="BJ543" s="15" t="s">
        <v>186</v>
      </c>
      <c r="BK543" s="15" t="s">
        <v>187</v>
      </c>
      <c r="BL543" s="15" t="s">
        <v>188</v>
      </c>
      <c r="BM543" s="15" t="s">
        <v>189</v>
      </c>
      <c r="BN543" s="15" t="s">
        <v>190</v>
      </c>
      <c r="BO543" s="15" t="s">
        <v>191</v>
      </c>
      <c r="BR543" s="15" t="s">
        <v>192</v>
      </c>
      <c r="BS543" s="15" t="s">
        <v>193</v>
      </c>
      <c r="BT543" s="15" t="s">
        <v>194</v>
      </c>
      <c r="BU543" s="15" t="s">
        <v>195</v>
      </c>
      <c r="BV543" s="15" t="s">
        <v>196</v>
      </c>
      <c r="CC543" s="15">
        <v>1</v>
      </c>
      <c r="CM543" s="15" t="s">
        <v>1931</v>
      </c>
      <c r="CW543" s="10">
        <v>2</v>
      </c>
      <c r="CX543" s="15" t="s">
        <v>1932</v>
      </c>
    </row>
    <row r="544" spans="1:102" s="15" customFormat="1" x14ac:dyDescent="0.3">
      <c r="A544" s="11" t="s">
        <v>126</v>
      </c>
      <c r="B544" s="10" t="s">
        <v>1933</v>
      </c>
      <c r="C544" s="12" t="s">
        <v>1937</v>
      </c>
      <c r="D544" s="10">
        <v>12</v>
      </c>
      <c r="E544" s="13">
        <v>1000000</v>
      </c>
      <c r="F544" s="14">
        <v>1</v>
      </c>
      <c r="G544" s="14">
        <v>1</v>
      </c>
      <c r="H544" s="15" t="s">
        <v>1907</v>
      </c>
      <c r="I544" s="8"/>
      <c r="J544" s="10"/>
      <c r="AW544" s="15" t="s">
        <v>128</v>
      </c>
      <c r="AX544" s="15" t="s">
        <v>1934</v>
      </c>
      <c r="BH544" s="15" t="s">
        <v>191</v>
      </c>
      <c r="BI544" s="15" t="s">
        <v>468</v>
      </c>
      <c r="BJ544" s="15" t="s">
        <v>467</v>
      </c>
      <c r="BR544" s="15" t="s">
        <v>272</v>
      </c>
      <c r="BS544" s="15" t="s">
        <v>193</v>
      </c>
      <c r="CW544" s="10">
        <v>2</v>
      </c>
      <c r="CX544" s="15" t="s">
        <v>1935</v>
      </c>
    </row>
    <row r="545" spans="1:102" s="15" customFormat="1" x14ac:dyDescent="0.3">
      <c r="A545" s="11" t="s">
        <v>126</v>
      </c>
      <c r="B545" s="10" t="s">
        <v>1936</v>
      </c>
      <c r="C545" s="12" t="s">
        <v>1937</v>
      </c>
      <c r="D545" s="10">
        <v>12</v>
      </c>
      <c r="E545" s="13">
        <v>1000000</v>
      </c>
      <c r="F545" s="14">
        <v>1</v>
      </c>
      <c r="G545" s="14">
        <v>1</v>
      </c>
      <c r="H545" s="15" t="s">
        <v>1907</v>
      </c>
      <c r="I545" s="8"/>
      <c r="J545" s="10"/>
      <c r="AW545" s="15" t="s">
        <v>128</v>
      </c>
      <c r="AX545" s="15" t="s">
        <v>1934</v>
      </c>
      <c r="BH545" s="15" t="s">
        <v>191</v>
      </c>
      <c r="BI545" s="15" t="s">
        <v>468</v>
      </c>
      <c r="BJ545" s="15" t="s">
        <v>467</v>
      </c>
      <c r="BR545" s="15" t="s">
        <v>272</v>
      </c>
      <c r="BS545" s="15" t="s">
        <v>193</v>
      </c>
      <c r="CW545" s="10">
        <v>2</v>
      </c>
      <c r="CX545" s="15" t="s">
        <v>1938</v>
      </c>
    </row>
    <row r="546" spans="1:102" s="15" customFormat="1" x14ac:dyDescent="0.3">
      <c r="A546" s="11" t="s">
        <v>126</v>
      </c>
      <c r="B546" s="10" t="s">
        <v>1939</v>
      </c>
      <c r="C546" s="12" t="s">
        <v>1943</v>
      </c>
      <c r="D546" s="10">
        <v>12</v>
      </c>
      <c r="E546" s="13">
        <v>1000000</v>
      </c>
      <c r="F546" s="14" t="s">
        <v>1893</v>
      </c>
      <c r="G546" s="14" t="s">
        <v>1894</v>
      </c>
      <c r="H546" s="15" t="s">
        <v>1895</v>
      </c>
      <c r="I546" s="8"/>
      <c r="J546" s="10"/>
      <c r="AV546" s="15" t="s">
        <v>1896</v>
      </c>
      <c r="AW546" s="15" t="s">
        <v>1897</v>
      </c>
      <c r="AX546" s="15" t="s">
        <v>191</v>
      </c>
      <c r="AY546" s="15" t="s">
        <v>468</v>
      </c>
      <c r="AZ546" s="15" t="s">
        <v>467</v>
      </c>
      <c r="BH546" s="15" t="s">
        <v>184</v>
      </c>
      <c r="BI546" s="15" t="s">
        <v>185</v>
      </c>
      <c r="BJ546" s="15" t="s">
        <v>186</v>
      </c>
      <c r="BK546" s="15" t="s">
        <v>187</v>
      </c>
      <c r="BL546" s="15" t="s">
        <v>188</v>
      </c>
      <c r="BM546" s="15" t="s">
        <v>189</v>
      </c>
      <c r="BN546" s="15" t="s">
        <v>190</v>
      </c>
      <c r="BO546" s="15" t="s">
        <v>191</v>
      </c>
      <c r="BR546" s="15" t="s">
        <v>192</v>
      </c>
      <c r="BS546" s="15" t="s">
        <v>193</v>
      </c>
      <c r="BT546" s="15" t="s">
        <v>194</v>
      </c>
      <c r="BU546" s="15" t="s">
        <v>195</v>
      </c>
      <c r="BV546" s="15" t="s">
        <v>196</v>
      </c>
      <c r="CB546" s="15" t="s">
        <v>129</v>
      </c>
      <c r="CC546" s="15">
        <v>1</v>
      </c>
      <c r="CM546" s="15" t="s">
        <v>1940</v>
      </c>
      <c r="CN546" s="15" t="s">
        <v>1899</v>
      </c>
      <c r="CW546" s="10">
        <v>2</v>
      </c>
      <c r="CX546" s="15" t="s">
        <v>1941</v>
      </c>
    </row>
    <row r="547" spans="1:102" s="15" customFormat="1" x14ac:dyDescent="0.3">
      <c r="A547" s="11" t="s">
        <v>126</v>
      </c>
      <c r="B547" s="10" t="s">
        <v>1942</v>
      </c>
      <c r="C547" s="12" t="s">
        <v>1943</v>
      </c>
      <c r="D547" s="10">
        <v>12</v>
      </c>
      <c r="E547" s="13">
        <v>1000000</v>
      </c>
      <c r="F547" s="14" t="s">
        <v>1894</v>
      </c>
      <c r="G547" s="14" t="s">
        <v>1894</v>
      </c>
      <c r="H547" s="15" t="s">
        <v>1903</v>
      </c>
      <c r="I547" s="8"/>
      <c r="J547" s="10"/>
      <c r="AW547" s="15" t="s">
        <v>128</v>
      </c>
      <c r="AX547" s="15" t="s">
        <v>191</v>
      </c>
      <c r="AY547" s="15" t="s">
        <v>468</v>
      </c>
      <c r="AZ547" s="15" t="s">
        <v>467</v>
      </c>
      <c r="BH547" s="15" t="s">
        <v>184</v>
      </c>
      <c r="BI547" s="15" t="s">
        <v>185</v>
      </c>
      <c r="BJ547" s="15" t="s">
        <v>186</v>
      </c>
      <c r="BK547" s="15" t="s">
        <v>187</v>
      </c>
      <c r="BL547" s="15" t="s">
        <v>188</v>
      </c>
      <c r="BM547" s="15" t="s">
        <v>189</v>
      </c>
      <c r="BN547" s="15" t="s">
        <v>190</v>
      </c>
      <c r="BO547" s="15" t="s">
        <v>191</v>
      </c>
      <c r="BR547" s="15" t="s">
        <v>192</v>
      </c>
      <c r="BS547" s="15" t="s">
        <v>193</v>
      </c>
      <c r="BT547" s="15" t="s">
        <v>194</v>
      </c>
      <c r="BU547" s="15" t="s">
        <v>195</v>
      </c>
      <c r="BV547" s="15" t="s">
        <v>196</v>
      </c>
      <c r="CC547" s="15">
        <v>1</v>
      </c>
      <c r="CM547" s="15" t="s">
        <v>1944</v>
      </c>
      <c r="CW547" s="10">
        <v>2</v>
      </c>
      <c r="CX547" s="15" t="s">
        <v>1945</v>
      </c>
    </row>
    <row r="548" spans="1:102" s="15" customFormat="1" x14ac:dyDescent="0.3">
      <c r="A548" s="11" t="s">
        <v>126</v>
      </c>
      <c r="B548" s="10" t="s">
        <v>1946</v>
      </c>
      <c r="C548" s="12" t="s">
        <v>1950</v>
      </c>
      <c r="D548" s="10">
        <v>12</v>
      </c>
      <c r="E548" s="13">
        <v>1000000</v>
      </c>
      <c r="F548" s="14">
        <v>1</v>
      </c>
      <c r="G548" s="14">
        <v>1</v>
      </c>
      <c r="H548" s="15" t="s">
        <v>1907</v>
      </c>
      <c r="I548" s="8"/>
      <c r="J548" s="10"/>
      <c r="AW548" s="15" t="s">
        <v>128</v>
      </c>
      <c r="AX548" s="15" t="s">
        <v>1947</v>
      </c>
      <c r="BH548" s="15" t="s">
        <v>191</v>
      </c>
      <c r="BI548" s="15" t="s">
        <v>468</v>
      </c>
      <c r="BJ548" s="15" t="s">
        <v>467</v>
      </c>
      <c r="BR548" s="15" t="s">
        <v>272</v>
      </c>
      <c r="BS548" s="15" t="s">
        <v>193</v>
      </c>
      <c r="CW548" s="10">
        <v>2</v>
      </c>
      <c r="CX548" s="15" t="s">
        <v>1948</v>
      </c>
    </row>
    <row r="549" spans="1:102" s="15" customFormat="1" x14ac:dyDescent="0.3">
      <c r="A549" s="11" t="s">
        <v>126</v>
      </c>
      <c r="B549" s="10" t="s">
        <v>1949</v>
      </c>
      <c r="C549" s="12" t="s">
        <v>1950</v>
      </c>
      <c r="D549" s="10">
        <v>12</v>
      </c>
      <c r="E549" s="13">
        <v>1000000</v>
      </c>
      <c r="F549" s="14">
        <v>1</v>
      </c>
      <c r="G549" s="14">
        <v>1</v>
      </c>
      <c r="H549" s="15" t="s">
        <v>1907</v>
      </c>
      <c r="I549" s="8"/>
      <c r="J549" s="10"/>
      <c r="AW549" s="15" t="s">
        <v>128</v>
      </c>
      <c r="AX549" s="15" t="s">
        <v>1947</v>
      </c>
      <c r="BH549" s="15" t="s">
        <v>191</v>
      </c>
      <c r="BI549" s="15" t="s">
        <v>468</v>
      </c>
      <c r="BJ549" s="15" t="s">
        <v>467</v>
      </c>
      <c r="BR549" s="15" t="s">
        <v>272</v>
      </c>
      <c r="BS549" s="15" t="s">
        <v>193</v>
      </c>
      <c r="CW549" s="10">
        <v>2</v>
      </c>
      <c r="CX549" s="15" t="s">
        <v>1951</v>
      </c>
    </row>
    <row r="550" spans="1:102" s="15" customFormat="1" x14ac:dyDescent="0.3">
      <c r="A550" s="11" t="s">
        <v>126</v>
      </c>
      <c r="B550" s="10" t="s">
        <v>1952</v>
      </c>
      <c r="C550" s="12" t="s">
        <v>1956</v>
      </c>
      <c r="D550" s="10">
        <v>12</v>
      </c>
      <c r="E550" s="13">
        <v>1000000</v>
      </c>
      <c r="F550" s="14" t="s">
        <v>1893</v>
      </c>
      <c r="G550" s="14" t="s">
        <v>1894</v>
      </c>
      <c r="H550" s="15" t="s">
        <v>1895</v>
      </c>
      <c r="I550" s="8"/>
      <c r="J550" s="10"/>
      <c r="AV550" s="15" t="s">
        <v>1896</v>
      </c>
      <c r="AW550" s="15" t="s">
        <v>1897</v>
      </c>
      <c r="AX550" s="15" t="s">
        <v>191</v>
      </c>
      <c r="AY550" s="15" t="s">
        <v>468</v>
      </c>
      <c r="AZ550" s="15" t="s">
        <v>467</v>
      </c>
      <c r="BH550" s="15" t="s">
        <v>184</v>
      </c>
      <c r="BI550" s="15" t="s">
        <v>185</v>
      </c>
      <c r="BJ550" s="15" t="s">
        <v>186</v>
      </c>
      <c r="BK550" s="15" t="s">
        <v>187</v>
      </c>
      <c r="BL550" s="15" t="s">
        <v>188</v>
      </c>
      <c r="BM550" s="15" t="s">
        <v>189</v>
      </c>
      <c r="BN550" s="15" t="s">
        <v>190</v>
      </c>
      <c r="BO550" s="15" t="s">
        <v>191</v>
      </c>
      <c r="BR550" s="15" t="s">
        <v>192</v>
      </c>
      <c r="BS550" s="15" t="s">
        <v>193</v>
      </c>
      <c r="BT550" s="15" t="s">
        <v>194</v>
      </c>
      <c r="BU550" s="15" t="s">
        <v>195</v>
      </c>
      <c r="BV550" s="15" t="s">
        <v>196</v>
      </c>
      <c r="CB550" s="15" t="s">
        <v>129</v>
      </c>
      <c r="CC550" s="15">
        <v>1</v>
      </c>
      <c r="CM550" s="15" t="s">
        <v>1953</v>
      </c>
      <c r="CN550" s="15" t="s">
        <v>1899</v>
      </c>
      <c r="CW550" s="10">
        <v>2</v>
      </c>
      <c r="CX550" s="15" t="s">
        <v>1954</v>
      </c>
    </row>
    <row r="551" spans="1:102" s="15" customFormat="1" x14ac:dyDescent="0.3">
      <c r="A551" s="11" t="s">
        <v>126</v>
      </c>
      <c r="B551" s="10" t="s">
        <v>1955</v>
      </c>
      <c r="C551" s="12" t="s">
        <v>1956</v>
      </c>
      <c r="D551" s="10">
        <v>12</v>
      </c>
      <c r="E551" s="13">
        <v>1000000</v>
      </c>
      <c r="F551" s="14" t="s">
        <v>1894</v>
      </c>
      <c r="G551" s="14" t="s">
        <v>1894</v>
      </c>
      <c r="H551" s="15" t="s">
        <v>1903</v>
      </c>
      <c r="I551" s="8"/>
      <c r="J551" s="10"/>
      <c r="AW551" s="15" t="s">
        <v>128</v>
      </c>
      <c r="AX551" s="15" t="s">
        <v>191</v>
      </c>
      <c r="AY551" s="15" t="s">
        <v>468</v>
      </c>
      <c r="AZ551" s="15" t="s">
        <v>467</v>
      </c>
      <c r="BH551" s="15" t="s">
        <v>184</v>
      </c>
      <c r="BI551" s="15" t="s">
        <v>185</v>
      </c>
      <c r="BJ551" s="15" t="s">
        <v>186</v>
      </c>
      <c r="BK551" s="15" t="s">
        <v>187</v>
      </c>
      <c r="BL551" s="15" t="s">
        <v>188</v>
      </c>
      <c r="BM551" s="15" t="s">
        <v>189</v>
      </c>
      <c r="BN551" s="15" t="s">
        <v>190</v>
      </c>
      <c r="BO551" s="15" t="s">
        <v>191</v>
      </c>
      <c r="BR551" s="15" t="s">
        <v>192</v>
      </c>
      <c r="BS551" s="15" t="s">
        <v>193</v>
      </c>
      <c r="BT551" s="15" t="s">
        <v>194</v>
      </c>
      <c r="BU551" s="15" t="s">
        <v>195</v>
      </c>
      <c r="BV551" s="15" t="s">
        <v>196</v>
      </c>
      <c r="CC551" s="15">
        <v>1</v>
      </c>
      <c r="CM551" s="15" t="s">
        <v>1957</v>
      </c>
      <c r="CW551" s="10">
        <v>2</v>
      </c>
      <c r="CX551" s="15" t="s">
        <v>1958</v>
      </c>
    </row>
    <row r="552" spans="1:102" s="15" customFormat="1" x14ac:dyDescent="0.3">
      <c r="A552" s="11" t="s">
        <v>126</v>
      </c>
      <c r="B552" s="10" t="s">
        <v>1959</v>
      </c>
      <c r="C552" s="12" t="s">
        <v>1963</v>
      </c>
      <c r="D552" s="10">
        <v>12</v>
      </c>
      <c r="E552" s="13">
        <v>1000000</v>
      </c>
      <c r="F552" s="14">
        <v>1</v>
      </c>
      <c r="G552" s="14">
        <v>1</v>
      </c>
      <c r="H552" s="15" t="s">
        <v>1907</v>
      </c>
      <c r="I552" s="8"/>
      <c r="J552" s="10"/>
      <c r="AW552" s="15" t="s">
        <v>128</v>
      </c>
      <c r="AX552" s="15" t="s">
        <v>1960</v>
      </c>
      <c r="BH552" s="15" t="s">
        <v>191</v>
      </c>
      <c r="BI552" s="15" t="s">
        <v>468</v>
      </c>
      <c r="BJ552" s="15" t="s">
        <v>467</v>
      </c>
      <c r="BR552" s="15" t="s">
        <v>272</v>
      </c>
      <c r="BS552" s="15" t="s">
        <v>193</v>
      </c>
      <c r="CW552" s="10">
        <v>2</v>
      </c>
      <c r="CX552" s="15" t="s">
        <v>1961</v>
      </c>
    </row>
    <row r="553" spans="1:102" s="15" customFormat="1" x14ac:dyDescent="0.3">
      <c r="A553" s="11" t="s">
        <v>126</v>
      </c>
      <c r="B553" s="10" t="s">
        <v>1962</v>
      </c>
      <c r="C553" s="12" t="s">
        <v>1963</v>
      </c>
      <c r="D553" s="10">
        <v>12</v>
      </c>
      <c r="E553" s="13">
        <v>1000000</v>
      </c>
      <c r="F553" s="14">
        <v>1</v>
      </c>
      <c r="G553" s="14">
        <v>1</v>
      </c>
      <c r="H553" s="15" t="s">
        <v>1907</v>
      </c>
      <c r="I553" s="8"/>
      <c r="J553" s="10"/>
      <c r="AW553" s="15" t="s">
        <v>128</v>
      </c>
      <c r="AX553" s="15" t="s">
        <v>1960</v>
      </c>
      <c r="BH553" s="15" t="s">
        <v>191</v>
      </c>
      <c r="BI553" s="15" t="s">
        <v>468</v>
      </c>
      <c r="BJ553" s="15" t="s">
        <v>467</v>
      </c>
      <c r="BR553" s="15" t="s">
        <v>272</v>
      </c>
      <c r="BS553" s="15" t="s">
        <v>193</v>
      </c>
      <c r="CW553" s="10">
        <v>2</v>
      </c>
      <c r="CX553" s="15" t="s">
        <v>1964</v>
      </c>
    </row>
    <row r="554" spans="1:102" s="15" customFormat="1" x14ac:dyDescent="0.3">
      <c r="A554" s="11" t="s">
        <v>126</v>
      </c>
      <c r="B554" s="10" t="s">
        <v>1965</v>
      </c>
      <c r="C554" s="12" t="s">
        <v>1969</v>
      </c>
      <c r="D554" s="10">
        <v>12</v>
      </c>
      <c r="E554" s="13">
        <v>1000000</v>
      </c>
      <c r="F554" s="14" t="s">
        <v>1893</v>
      </c>
      <c r="G554" s="14" t="s">
        <v>1894</v>
      </c>
      <c r="H554" s="15" t="s">
        <v>1895</v>
      </c>
      <c r="I554" s="8"/>
      <c r="J554" s="10"/>
      <c r="AV554" s="15" t="s">
        <v>1896</v>
      </c>
      <c r="AW554" s="15" t="s">
        <v>1897</v>
      </c>
      <c r="AX554" s="15" t="s">
        <v>191</v>
      </c>
      <c r="AY554" s="15" t="s">
        <v>468</v>
      </c>
      <c r="AZ554" s="15" t="s">
        <v>467</v>
      </c>
      <c r="BH554" s="15" t="s">
        <v>184</v>
      </c>
      <c r="BI554" s="15" t="s">
        <v>185</v>
      </c>
      <c r="BJ554" s="15" t="s">
        <v>186</v>
      </c>
      <c r="BK554" s="15" t="s">
        <v>187</v>
      </c>
      <c r="BL554" s="15" t="s">
        <v>188</v>
      </c>
      <c r="BM554" s="15" t="s">
        <v>189</v>
      </c>
      <c r="BN554" s="15" t="s">
        <v>190</v>
      </c>
      <c r="BO554" s="15" t="s">
        <v>191</v>
      </c>
      <c r="BR554" s="15" t="s">
        <v>192</v>
      </c>
      <c r="BS554" s="15" t="s">
        <v>193</v>
      </c>
      <c r="BT554" s="15" t="s">
        <v>194</v>
      </c>
      <c r="BU554" s="15" t="s">
        <v>195</v>
      </c>
      <c r="BV554" s="15" t="s">
        <v>196</v>
      </c>
      <c r="CB554" s="15" t="s">
        <v>129</v>
      </c>
      <c r="CC554" s="15">
        <v>1</v>
      </c>
      <c r="CM554" s="15" t="s">
        <v>1966</v>
      </c>
      <c r="CN554" s="15" t="s">
        <v>1899</v>
      </c>
      <c r="CW554" s="10">
        <v>2</v>
      </c>
      <c r="CX554" s="15" t="s">
        <v>1967</v>
      </c>
    </row>
    <row r="555" spans="1:102" s="15" customFormat="1" x14ac:dyDescent="0.3">
      <c r="A555" s="11" t="s">
        <v>126</v>
      </c>
      <c r="B555" s="10" t="s">
        <v>1968</v>
      </c>
      <c r="C555" s="12" t="s">
        <v>1969</v>
      </c>
      <c r="D555" s="10">
        <v>12</v>
      </c>
      <c r="E555" s="13">
        <v>1000000</v>
      </c>
      <c r="F555" s="14" t="s">
        <v>1894</v>
      </c>
      <c r="G555" s="14" t="s">
        <v>1894</v>
      </c>
      <c r="H555" s="15" t="s">
        <v>1903</v>
      </c>
      <c r="I555" s="8"/>
      <c r="J555" s="10"/>
      <c r="AW555" s="15" t="s">
        <v>128</v>
      </c>
      <c r="AX555" s="15" t="s">
        <v>191</v>
      </c>
      <c r="AY555" s="15" t="s">
        <v>468</v>
      </c>
      <c r="AZ555" s="15" t="s">
        <v>467</v>
      </c>
      <c r="BH555" s="15" t="s">
        <v>184</v>
      </c>
      <c r="BI555" s="15" t="s">
        <v>185</v>
      </c>
      <c r="BJ555" s="15" t="s">
        <v>186</v>
      </c>
      <c r="BK555" s="15" t="s">
        <v>187</v>
      </c>
      <c r="BL555" s="15" t="s">
        <v>188</v>
      </c>
      <c r="BM555" s="15" t="s">
        <v>189</v>
      </c>
      <c r="BN555" s="15" t="s">
        <v>190</v>
      </c>
      <c r="BO555" s="15" t="s">
        <v>191</v>
      </c>
      <c r="BR555" s="15" t="s">
        <v>192</v>
      </c>
      <c r="BS555" s="15" t="s">
        <v>193</v>
      </c>
      <c r="BT555" s="15" t="s">
        <v>194</v>
      </c>
      <c r="BU555" s="15" t="s">
        <v>195</v>
      </c>
      <c r="BV555" s="15" t="s">
        <v>196</v>
      </c>
      <c r="CC555" s="15">
        <v>1</v>
      </c>
      <c r="CM555" s="15" t="s">
        <v>1970</v>
      </c>
      <c r="CW555" s="10">
        <v>2</v>
      </c>
      <c r="CX555" s="15" t="s">
        <v>1971</v>
      </c>
    </row>
    <row r="556" spans="1:102" s="15" customFormat="1" x14ac:dyDescent="0.3">
      <c r="A556" s="11" t="s">
        <v>126</v>
      </c>
      <c r="B556" s="10" t="s">
        <v>1972</v>
      </c>
      <c r="C556" s="12" t="s">
        <v>1976</v>
      </c>
      <c r="D556" s="10">
        <v>12</v>
      </c>
      <c r="E556" s="13">
        <v>1000000</v>
      </c>
      <c r="F556" s="14">
        <v>1</v>
      </c>
      <c r="G556" s="14">
        <v>1</v>
      </c>
      <c r="H556" s="15" t="s">
        <v>1907</v>
      </c>
      <c r="I556" s="8"/>
      <c r="J556" s="10"/>
      <c r="AW556" s="15" t="s">
        <v>128</v>
      </c>
      <c r="AX556" s="15" t="s">
        <v>1973</v>
      </c>
      <c r="BH556" s="15" t="s">
        <v>191</v>
      </c>
      <c r="BI556" s="15" t="s">
        <v>468</v>
      </c>
      <c r="BJ556" s="15" t="s">
        <v>467</v>
      </c>
      <c r="BR556" s="15" t="s">
        <v>272</v>
      </c>
      <c r="BS556" s="15" t="s">
        <v>193</v>
      </c>
      <c r="CW556" s="10">
        <v>2</v>
      </c>
      <c r="CX556" s="15" t="s">
        <v>1974</v>
      </c>
    </row>
    <row r="557" spans="1:102" s="15" customFormat="1" x14ac:dyDescent="0.3">
      <c r="A557" s="11" t="s">
        <v>126</v>
      </c>
      <c r="B557" s="10" t="s">
        <v>1975</v>
      </c>
      <c r="C557" s="12" t="s">
        <v>1976</v>
      </c>
      <c r="D557" s="10">
        <v>12</v>
      </c>
      <c r="E557" s="13">
        <v>1000000</v>
      </c>
      <c r="F557" s="14">
        <v>1</v>
      </c>
      <c r="G557" s="14">
        <v>1</v>
      </c>
      <c r="H557" s="15" t="s">
        <v>1907</v>
      </c>
      <c r="I557" s="8"/>
      <c r="J557" s="10"/>
      <c r="AW557" s="15" t="s">
        <v>128</v>
      </c>
      <c r="AX557" s="15" t="s">
        <v>1973</v>
      </c>
      <c r="BH557" s="15" t="s">
        <v>191</v>
      </c>
      <c r="BI557" s="15" t="s">
        <v>468</v>
      </c>
      <c r="BJ557" s="15" t="s">
        <v>467</v>
      </c>
      <c r="BR557" s="15" t="s">
        <v>272</v>
      </c>
      <c r="BS557" s="15" t="s">
        <v>193</v>
      </c>
      <c r="CW557" s="10">
        <v>2</v>
      </c>
      <c r="CX557" s="15" t="s">
        <v>1977</v>
      </c>
    </row>
    <row r="558" spans="1:102" s="15" customFormat="1" x14ac:dyDescent="0.3">
      <c r="A558" s="11" t="s">
        <v>126</v>
      </c>
      <c r="B558" s="10" t="s">
        <v>1978</v>
      </c>
      <c r="C558" s="12" t="s">
        <v>1982</v>
      </c>
      <c r="D558" s="10">
        <v>12</v>
      </c>
      <c r="E558" s="13">
        <v>1000000</v>
      </c>
      <c r="F558" s="14" t="s">
        <v>1893</v>
      </c>
      <c r="G558" s="14" t="s">
        <v>1894</v>
      </c>
      <c r="H558" s="15" t="s">
        <v>1895</v>
      </c>
      <c r="I558" s="8"/>
      <c r="J558" s="10"/>
      <c r="AV558" s="15" t="s">
        <v>1896</v>
      </c>
      <c r="AW558" s="15" t="s">
        <v>1897</v>
      </c>
      <c r="AX558" s="15" t="s">
        <v>191</v>
      </c>
      <c r="AY558" s="15" t="s">
        <v>468</v>
      </c>
      <c r="AZ558" s="15" t="s">
        <v>467</v>
      </c>
      <c r="BH558" s="15" t="s">
        <v>184</v>
      </c>
      <c r="BI558" s="15" t="s">
        <v>185</v>
      </c>
      <c r="BJ558" s="15" t="s">
        <v>186</v>
      </c>
      <c r="BK558" s="15" t="s">
        <v>187</v>
      </c>
      <c r="BL558" s="15" t="s">
        <v>188</v>
      </c>
      <c r="BM558" s="15" t="s">
        <v>189</v>
      </c>
      <c r="BN558" s="15" t="s">
        <v>190</v>
      </c>
      <c r="BO558" s="15" t="s">
        <v>191</v>
      </c>
      <c r="BR558" s="15" t="s">
        <v>192</v>
      </c>
      <c r="BS558" s="15" t="s">
        <v>193</v>
      </c>
      <c r="BT558" s="15" t="s">
        <v>194</v>
      </c>
      <c r="BU558" s="15" t="s">
        <v>195</v>
      </c>
      <c r="BV558" s="15" t="s">
        <v>196</v>
      </c>
      <c r="CB558" s="15" t="s">
        <v>129</v>
      </c>
      <c r="CC558" s="15">
        <v>1</v>
      </c>
      <c r="CM558" s="15" t="s">
        <v>1979</v>
      </c>
      <c r="CN558" s="15" t="s">
        <v>1899</v>
      </c>
      <c r="CW558" s="10">
        <v>2</v>
      </c>
      <c r="CX558" s="15" t="s">
        <v>1980</v>
      </c>
    </row>
    <row r="559" spans="1:102" s="15" customFormat="1" x14ac:dyDescent="0.3">
      <c r="A559" s="11" t="s">
        <v>126</v>
      </c>
      <c r="B559" s="10" t="s">
        <v>1981</v>
      </c>
      <c r="C559" s="12" t="s">
        <v>1982</v>
      </c>
      <c r="D559" s="10">
        <v>12</v>
      </c>
      <c r="E559" s="13">
        <v>1000000</v>
      </c>
      <c r="F559" s="14" t="s">
        <v>1894</v>
      </c>
      <c r="G559" s="14" t="s">
        <v>1894</v>
      </c>
      <c r="H559" s="15" t="s">
        <v>1903</v>
      </c>
      <c r="I559" s="8"/>
      <c r="J559" s="10"/>
      <c r="AW559" s="15" t="s">
        <v>128</v>
      </c>
      <c r="AX559" s="15" t="s">
        <v>191</v>
      </c>
      <c r="AY559" s="15" t="s">
        <v>468</v>
      </c>
      <c r="AZ559" s="15" t="s">
        <v>467</v>
      </c>
      <c r="BH559" s="15" t="s">
        <v>184</v>
      </c>
      <c r="BI559" s="15" t="s">
        <v>185</v>
      </c>
      <c r="BJ559" s="15" t="s">
        <v>186</v>
      </c>
      <c r="BK559" s="15" t="s">
        <v>187</v>
      </c>
      <c r="BL559" s="15" t="s">
        <v>188</v>
      </c>
      <c r="BM559" s="15" t="s">
        <v>189</v>
      </c>
      <c r="BN559" s="15" t="s">
        <v>190</v>
      </c>
      <c r="BO559" s="15" t="s">
        <v>191</v>
      </c>
      <c r="BR559" s="15" t="s">
        <v>192</v>
      </c>
      <c r="BS559" s="15" t="s">
        <v>193</v>
      </c>
      <c r="BT559" s="15" t="s">
        <v>194</v>
      </c>
      <c r="BU559" s="15" t="s">
        <v>195</v>
      </c>
      <c r="BV559" s="15" t="s">
        <v>196</v>
      </c>
      <c r="CC559" s="15">
        <v>1</v>
      </c>
      <c r="CM559" s="15" t="s">
        <v>1983</v>
      </c>
      <c r="CW559" s="10">
        <v>2</v>
      </c>
      <c r="CX559" s="15" t="s">
        <v>1984</v>
      </c>
    </row>
    <row r="560" spans="1:102" s="15" customFormat="1" x14ac:dyDescent="0.3">
      <c r="A560" s="11" t="s">
        <v>126</v>
      </c>
      <c r="B560" s="10" t="s">
        <v>1985</v>
      </c>
      <c r="C560" s="12" t="s">
        <v>1989</v>
      </c>
      <c r="D560" s="10">
        <v>12</v>
      </c>
      <c r="E560" s="13">
        <v>1000000</v>
      </c>
      <c r="F560" s="14">
        <v>1</v>
      </c>
      <c r="G560" s="14">
        <v>1</v>
      </c>
      <c r="H560" s="15" t="s">
        <v>1907</v>
      </c>
      <c r="I560" s="8"/>
      <c r="J560" s="10"/>
      <c r="AW560" s="15" t="s">
        <v>128</v>
      </c>
      <c r="AX560" s="15" t="s">
        <v>1986</v>
      </c>
      <c r="BH560" s="15" t="s">
        <v>191</v>
      </c>
      <c r="BI560" s="15" t="s">
        <v>468</v>
      </c>
      <c r="BJ560" s="15" t="s">
        <v>467</v>
      </c>
      <c r="BR560" s="15" t="s">
        <v>272</v>
      </c>
      <c r="BS560" s="15" t="s">
        <v>193</v>
      </c>
      <c r="CW560" s="10">
        <v>2</v>
      </c>
      <c r="CX560" s="15" t="s">
        <v>1987</v>
      </c>
    </row>
    <row r="561" spans="1:102" s="15" customFormat="1" x14ac:dyDescent="0.3">
      <c r="A561" s="11" t="s">
        <v>126</v>
      </c>
      <c r="B561" s="10" t="s">
        <v>1988</v>
      </c>
      <c r="C561" s="12" t="s">
        <v>1989</v>
      </c>
      <c r="D561" s="10">
        <v>12</v>
      </c>
      <c r="E561" s="13">
        <v>1000000</v>
      </c>
      <c r="F561" s="14">
        <v>1</v>
      </c>
      <c r="G561" s="14">
        <v>1</v>
      </c>
      <c r="H561" s="15" t="s">
        <v>1907</v>
      </c>
      <c r="I561" s="8"/>
      <c r="J561" s="10"/>
      <c r="AW561" s="15" t="s">
        <v>128</v>
      </c>
      <c r="AX561" s="15" t="s">
        <v>1986</v>
      </c>
      <c r="BH561" s="15" t="s">
        <v>191</v>
      </c>
      <c r="BI561" s="15" t="s">
        <v>468</v>
      </c>
      <c r="BJ561" s="15" t="s">
        <v>467</v>
      </c>
      <c r="BR561" s="15" t="s">
        <v>272</v>
      </c>
      <c r="BS561" s="15" t="s">
        <v>193</v>
      </c>
      <c r="CW561" s="10">
        <v>2</v>
      </c>
      <c r="CX561" s="15" t="s">
        <v>1990</v>
      </c>
    </row>
    <row r="562" spans="1:102" s="15" customFormat="1" x14ac:dyDescent="0.3">
      <c r="A562" s="11" t="s">
        <v>126</v>
      </c>
      <c r="B562" s="10" t="s">
        <v>1991</v>
      </c>
      <c r="C562" s="12" t="s">
        <v>1995</v>
      </c>
      <c r="D562" s="10">
        <v>12</v>
      </c>
      <c r="E562" s="13">
        <v>1000000</v>
      </c>
      <c r="F562" s="14" t="s">
        <v>1893</v>
      </c>
      <c r="G562" s="14" t="s">
        <v>1894</v>
      </c>
      <c r="H562" s="15" t="s">
        <v>1895</v>
      </c>
      <c r="I562" s="8"/>
      <c r="J562" s="10"/>
      <c r="AV562" s="15" t="s">
        <v>1896</v>
      </c>
      <c r="AW562" s="15" t="s">
        <v>1897</v>
      </c>
      <c r="AX562" s="15" t="s">
        <v>191</v>
      </c>
      <c r="AY562" s="15" t="s">
        <v>468</v>
      </c>
      <c r="AZ562" s="15" t="s">
        <v>467</v>
      </c>
      <c r="BH562" s="15" t="s">
        <v>184</v>
      </c>
      <c r="BI562" s="15" t="s">
        <v>185</v>
      </c>
      <c r="BJ562" s="15" t="s">
        <v>186</v>
      </c>
      <c r="BK562" s="15" t="s">
        <v>187</v>
      </c>
      <c r="BL562" s="15" t="s">
        <v>188</v>
      </c>
      <c r="BM562" s="15" t="s">
        <v>189</v>
      </c>
      <c r="BN562" s="15" t="s">
        <v>190</v>
      </c>
      <c r="BO562" s="15" t="s">
        <v>191</v>
      </c>
      <c r="BR562" s="15" t="s">
        <v>192</v>
      </c>
      <c r="BS562" s="15" t="s">
        <v>193</v>
      </c>
      <c r="BT562" s="15" t="s">
        <v>194</v>
      </c>
      <c r="BU562" s="15" t="s">
        <v>195</v>
      </c>
      <c r="BV562" s="15" t="s">
        <v>196</v>
      </c>
      <c r="CB562" s="15" t="s">
        <v>129</v>
      </c>
      <c r="CC562" s="15">
        <v>1</v>
      </c>
      <c r="CM562" s="15" t="s">
        <v>1992</v>
      </c>
      <c r="CN562" s="15" t="s">
        <v>1899</v>
      </c>
      <c r="CW562" s="10">
        <v>2</v>
      </c>
      <c r="CX562" s="15" t="s">
        <v>1993</v>
      </c>
    </row>
    <row r="563" spans="1:102" s="15" customFormat="1" x14ac:dyDescent="0.3">
      <c r="A563" s="11" t="s">
        <v>126</v>
      </c>
      <c r="B563" s="10" t="s">
        <v>1994</v>
      </c>
      <c r="C563" s="12" t="s">
        <v>1995</v>
      </c>
      <c r="D563" s="10">
        <v>12</v>
      </c>
      <c r="E563" s="13">
        <v>1000000</v>
      </c>
      <c r="F563" s="14" t="s">
        <v>1894</v>
      </c>
      <c r="G563" s="14" t="s">
        <v>1894</v>
      </c>
      <c r="H563" s="15" t="s">
        <v>1903</v>
      </c>
      <c r="I563" s="8"/>
      <c r="J563" s="10"/>
      <c r="AW563" s="15" t="s">
        <v>128</v>
      </c>
      <c r="AX563" s="15" t="s">
        <v>191</v>
      </c>
      <c r="AY563" s="15" t="s">
        <v>468</v>
      </c>
      <c r="AZ563" s="15" t="s">
        <v>467</v>
      </c>
      <c r="BH563" s="15" t="s">
        <v>184</v>
      </c>
      <c r="BI563" s="15" t="s">
        <v>185</v>
      </c>
      <c r="BJ563" s="15" t="s">
        <v>186</v>
      </c>
      <c r="BK563" s="15" t="s">
        <v>187</v>
      </c>
      <c r="BL563" s="15" t="s">
        <v>188</v>
      </c>
      <c r="BM563" s="15" t="s">
        <v>189</v>
      </c>
      <c r="BN563" s="15" t="s">
        <v>190</v>
      </c>
      <c r="BO563" s="15" t="s">
        <v>191</v>
      </c>
      <c r="BR563" s="15" t="s">
        <v>192</v>
      </c>
      <c r="BS563" s="15" t="s">
        <v>193</v>
      </c>
      <c r="BT563" s="15" t="s">
        <v>194</v>
      </c>
      <c r="BU563" s="15" t="s">
        <v>195</v>
      </c>
      <c r="BV563" s="15" t="s">
        <v>196</v>
      </c>
      <c r="CC563" s="15">
        <v>1</v>
      </c>
      <c r="CM563" s="15" t="s">
        <v>1996</v>
      </c>
      <c r="CW563" s="10">
        <v>2</v>
      </c>
      <c r="CX563" s="15" t="s">
        <v>1997</v>
      </c>
    </row>
    <row r="564" spans="1:102" s="15" customFormat="1" x14ac:dyDescent="0.3">
      <c r="A564" s="11" t="s">
        <v>126</v>
      </c>
      <c r="B564" s="10" t="s">
        <v>1998</v>
      </c>
      <c r="C564" s="12" t="s">
        <v>2002</v>
      </c>
      <c r="D564" s="10">
        <v>12</v>
      </c>
      <c r="E564" s="13">
        <v>1000000</v>
      </c>
      <c r="F564" s="14">
        <v>1</v>
      </c>
      <c r="G564" s="14">
        <v>1</v>
      </c>
      <c r="H564" s="15" t="s">
        <v>1907</v>
      </c>
      <c r="I564" s="8"/>
      <c r="J564" s="10"/>
      <c r="AW564" s="15" t="s">
        <v>128</v>
      </c>
      <c r="AX564" s="15" t="s">
        <v>1999</v>
      </c>
      <c r="BH564" s="15" t="s">
        <v>191</v>
      </c>
      <c r="BI564" s="15" t="s">
        <v>468</v>
      </c>
      <c r="BJ564" s="15" t="s">
        <v>467</v>
      </c>
      <c r="BR564" s="15" t="s">
        <v>272</v>
      </c>
      <c r="BS564" s="15" t="s">
        <v>193</v>
      </c>
      <c r="CW564" s="10">
        <v>2</v>
      </c>
      <c r="CX564" s="15" t="s">
        <v>2000</v>
      </c>
    </row>
    <row r="565" spans="1:102" s="15" customFormat="1" x14ac:dyDescent="0.3">
      <c r="A565" s="11" t="s">
        <v>126</v>
      </c>
      <c r="B565" s="10" t="s">
        <v>2001</v>
      </c>
      <c r="C565" s="12" t="s">
        <v>2002</v>
      </c>
      <c r="D565" s="10">
        <v>12</v>
      </c>
      <c r="E565" s="13">
        <v>1000000</v>
      </c>
      <c r="F565" s="14">
        <v>1</v>
      </c>
      <c r="G565" s="14">
        <v>1</v>
      </c>
      <c r="H565" s="15" t="s">
        <v>1907</v>
      </c>
      <c r="I565" s="8"/>
      <c r="J565" s="10"/>
      <c r="AW565" s="15" t="s">
        <v>128</v>
      </c>
      <c r="AX565" s="15" t="s">
        <v>1999</v>
      </c>
      <c r="BH565" s="15" t="s">
        <v>191</v>
      </c>
      <c r="BI565" s="15" t="s">
        <v>468</v>
      </c>
      <c r="BJ565" s="15" t="s">
        <v>467</v>
      </c>
      <c r="BR565" s="15" t="s">
        <v>272</v>
      </c>
      <c r="BS565" s="15" t="s">
        <v>193</v>
      </c>
      <c r="CW565" s="10">
        <v>2</v>
      </c>
      <c r="CX565" s="15" t="s">
        <v>2003</v>
      </c>
    </row>
    <row r="566" spans="1:102" s="15" customFormat="1" x14ac:dyDescent="0.3">
      <c r="A566" s="11" t="s">
        <v>126</v>
      </c>
      <c r="B566" s="10" t="s">
        <v>2004</v>
      </c>
      <c r="C566" s="12" t="s">
        <v>2008</v>
      </c>
      <c r="D566" s="10">
        <v>12</v>
      </c>
      <c r="E566" s="13">
        <v>1000000</v>
      </c>
      <c r="F566" s="14" t="s">
        <v>1893</v>
      </c>
      <c r="G566" s="14" t="s">
        <v>1894</v>
      </c>
      <c r="H566" s="15" t="s">
        <v>1895</v>
      </c>
      <c r="I566" s="8"/>
      <c r="J566" s="10"/>
      <c r="AV566" s="15" t="s">
        <v>1896</v>
      </c>
      <c r="AW566" s="15" t="s">
        <v>1897</v>
      </c>
      <c r="AX566" s="15" t="s">
        <v>191</v>
      </c>
      <c r="AY566" s="15" t="s">
        <v>468</v>
      </c>
      <c r="AZ566" s="15" t="s">
        <v>467</v>
      </c>
      <c r="BH566" s="15" t="s">
        <v>184</v>
      </c>
      <c r="BI566" s="15" t="s">
        <v>185</v>
      </c>
      <c r="BJ566" s="15" t="s">
        <v>186</v>
      </c>
      <c r="BK566" s="15" t="s">
        <v>187</v>
      </c>
      <c r="BL566" s="15" t="s">
        <v>188</v>
      </c>
      <c r="BM566" s="15" t="s">
        <v>189</v>
      </c>
      <c r="BN566" s="15" t="s">
        <v>190</v>
      </c>
      <c r="BO566" s="15" t="s">
        <v>191</v>
      </c>
      <c r="BR566" s="15" t="s">
        <v>192</v>
      </c>
      <c r="BS566" s="15" t="s">
        <v>193</v>
      </c>
      <c r="BT566" s="15" t="s">
        <v>194</v>
      </c>
      <c r="BU566" s="15" t="s">
        <v>195</v>
      </c>
      <c r="BV566" s="15" t="s">
        <v>196</v>
      </c>
      <c r="CB566" s="15" t="s">
        <v>129</v>
      </c>
      <c r="CC566" s="15">
        <v>1</v>
      </c>
      <c r="CM566" s="15" t="s">
        <v>2005</v>
      </c>
      <c r="CN566" s="15" t="s">
        <v>1899</v>
      </c>
      <c r="CW566" s="10">
        <v>2</v>
      </c>
      <c r="CX566" s="15" t="s">
        <v>2006</v>
      </c>
    </row>
    <row r="567" spans="1:102" s="15" customFormat="1" x14ac:dyDescent="0.3">
      <c r="A567" s="11" t="s">
        <v>126</v>
      </c>
      <c r="B567" s="10" t="s">
        <v>2007</v>
      </c>
      <c r="C567" s="12" t="s">
        <v>2008</v>
      </c>
      <c r="D567" s="10">
        <v>12</v>
      </c>
      <c r="E567" s="13">
        <v>1000000</v>
      </c>
      <c r="F567" s="14" t="s">
        <v>1894</v>
      </c>
      <c r="G567" s="14" t="s">
        <v>1894</v>
      </c>
      <c r="H567" s="15" t="s">
        <v>1903</v>
      </c>
      <c r="I567" s="8"/>
      <c r="J567" s="10"/>
      <c r="AW567" s="15" t="s">
        <v>128</v>
      </c>
      <c r="AX567" s="15" t="s">
        <v>191</v>
      </c>
      <c r="AY567" s="15" t="s">
        <v>468</v>
      </c>
      <c r="AZ567" s="15" t="s">
        <v>467</v>
      </c>
      <c r="BH567" s="15" t="s">
        <v>184</v>
      </c>
      <c r="BI567" s="15" t="s">
        <v>185</v>
      </c>
      <c r="BJ567" s="15" t="s">
        <v>186</v>
      </c>
      <c r="BK567" s="15" t="s">
        <v>187</v>
      </c>
      <c r="BL567" s="15" t="s">
        <v>188</v>
      </c>
      <c r="BM567" s="15" t="s">
        <v>189</v>
      </c>
      <c r="BN567" s="15" t="s">
        <v>190</v>
      </c>
      <c r="BO567" s="15" t="s">
        <v>191</v>
      </c>
      <c r="BR567" s="15" t="s">
        <v>192</v>
      </c>
      <c r="BS567" s="15" t="s">
        <v>193</v>
      </c>
      <c r="BT567" s="15" t="s">
        <v>194</v>
      </c>
      <c r="BU567" s="15" t="s">
        <v>195</v>
      </c>
      <c r="BV567" s="15" t="s">
        <v>196</v>
      </c>
      <c r="CC567" s="15">
        <v>1</v>
      </c>
      <c r="CM567" s="15" t="s">
        <v>2009</v>
      </c>
      <c r="CW567" s="10">
        <v>2</v>
      </c>
      <c r="CX567" s="15" t="s">
        <v>2010</v>
      </c>
    </row>
    <row r="568" spans="1:102" s="15" customFormat="1" x14ac:dyDescent="0.3">
      <c r="A568" s="11" t="s">
        <v>126</v>
      </c>
      <c r="B568" s="10" t="s">
        <v>2011</v>
      </c>
      <c r="C568" s="12" t="s">
        <v>2015</v>
      </c>
      <c r="D568" s="10">
        <v>12</v>
      </c>
      <c r="E568" s="13">
        <v>1000000</v>
      </c>
      <c r="F568" s="14">
        <v>1</v>
      </c>
      <c r="G568" s="14">
        <v>1</v>
      </c>
      <c r="H568" s="15" t="s">
        <v>1907</v>
      </c>
      <c r="I568" s="8"/>
      <c r="J568" s="10"/>
      <c r="AW568" s="15" t="s">
        <v>128</v>
      </c>
      <c r="AX568" s="15" t="s">
        <v>2012</v>
      </c>
      <c r="BH568" s="15" t="s">
        <v>191</v>
      </c>
      <c r="BI568" s="15" t="s">
        <v>468</v>
      </c>
      <c r="BJ568" s="15" t="s">
        <v>467</v>
      </c>
      <c r="BR568" s="15" t="s">
        <v>272</v>
      </c>
      <c r="BS568" s="15" t="s">
        <v>193</v>
      </c>
      <c r="CW568" s="10">
        <v>2</v>
      </c>
      <c r="CX568" s="15" t="s">
        <v>2013</v>
      </c>
    </row>
    <row r="569" spans="1:102" s="15" customFormat="1" x14ac:dyDescent="0.3">
      <c r="A569" s="11" t="s">
        <v>126</v>
      </c>
      <c r="B569" s="10" t="s">
        <v>2014</v>
      </c>
      <c r="C569" s="12" t="s">
        <v>2015</v>
      </c>
      <c r="D569" s="10">
        <v>12</v>
      </c>
      <c r="E569" s="13">
        <v>1000000</v>
      </c>
      <c r="F569" s="14">
        <v>1</v>
      </c>
      <c r="G569" s="14">
        <v>1</v>
      </c>
      <c r="H569" s="15" t="s">
        <v>1907</v>
      </c>
      <c r="I569" s="8"/>
      <c r="J569" s="10"/>
      <c r="AW569" s="15" t="s">
        <v>128</v>
      </c>
      <c r="AX569" s="15" t="s">
        <v>2012</v>
      </c>
      <c r="BH569" s="15" t="s">
        <v>191</v>
      </c>
      <c r="BI569" s="15" t="s">
        <v>468</v>
      </c>
      <c r="BJ569" s="15" t="s">
        <v>467</v>
      </c>
      <c r="BR569" s="15" t="s">
        <v>272</v>
      </c>
      <c r="BS569" s="15" t="s">
        <v>193</v>
      </c>
      <c r="CW569" s="10">
        <v>2</v>
      </c>
      <c r="CX569" s="15" t="s">
        <v>2016</v>
      </c>
    </row>
    <row r="570" spans="1:102" s="15" customFormat="1" x14ac:dyDescent="0.3">
      <c r="A570" s="11" t="s">
        <v>126</v>
      </c>
      <c r="B570" s="10" t="s">
        <v>2017</v>
      </c>
      <c r="C570" s="12" t="s">
        <v>2021</v>
      </c>
      <c r="D570" s="10">
        <v>12</v>
      </c>
      <c r="E570" s="13">
        <v>1000000</v>
      </c>
      <c r="F570" s="14" t="s">
        <v>1893</v>
      </c>
      <c r="G570" s="14" t="s">
        <v>1894</v>
      </c>
      <c r="H570" s="15" t="s">
        <v>1895</v>
      </c>
      <c r="I570" s="8"/>
      <c r="J570" s="10"/>
      <c r="AV570" s="15" t="s">
        <v>1896</v>
      </c>
      <c r="AW570" s="15" t="s">
        <v>1897</v>
      </c>
      <c r="AX570" s="15" t="s">
        <v>191</v>
      </c>
      <c r="AY570" s="15" t="s">
        <v>468</v>
      </c>
      <c r="AZ570" s="15" t="s">
        <v>467</v>
      </c>
      <c r="BH570" s="15" t="s">
        <v>184</v>
      </c>
      <c r="BI570" s="15" t="s">
        <v>185</v>
      </c>
      <c r="BJ570" s="15" t="s">
        <v>186</v>
      </c>
      <c r="BK570" s="15" t="s">
        <v>187</v>
      </c>
      <c r="BL570" s="15" t="s">
        <v>188</v>
      </c>
      <c r="BM570" s="15" t="s">
        <v>189</v>
      </c>
      <c r="BN570" s="15" t="s">
        <v>190</v>
      </c>
      <c r="BO570" s="15" t="s">
        <v>191</v>
      </c>
      <c r="BR570" s="15" t="s">
        <v>192</v>
      </c>
      <c r="BS570" s="15" t="s">
        <v>193</v>
      </c>
      <c r="BT570" s="15" t="s">
        <v>194</v>
      </c>
      <c r="BU570" s="15" t="s">
        <v>195</v>
      </c>
      <c r="BV570" s="15" t="s">
        <v>196</v>
      </c>
      <c r="BW570" s="15" t="s">
        <v>272</v>
      </c>
      <c r="CB570" s="15" t="s">
        <v>129</v>
      </c>
      <c r="CC570" s="15">
        <v>1</v>
      </c>
      <c r="CM570" s="15" t="s">
        <v>2018</v>
      </c>
      <c r="CN570" s="15" t="s">
        <v>1899</v>
      </c>
      <c r="CW570" s="10">
        <v>2</v>
      </c>
      <c r="CX570" s="15" t="s">
        <v>2019</v>
      </c>
    </row>
    <row r="571" spans="1:102" s="15" customFormat="1" x14ac:dyDescent="0.3">
      <c r="A571" s="11" t="s">
        <v>126</v>
      </c>
      <c r="B571" s="10" t="s">
        <v>2020</v>
      </c>
      <c r="C571" s="12" t="s">
        <v>2021</v>
      </c>
      <c r="D571" s="10">
        <v>12</v>
      </c>
      <c r="E571" s="13">
        <v>1000000</v>
      </c>
      <c r="F571" s="14" t="s">
        <v>1894</v>
      </c>
      <c r="G571" s="14" t="s">
        <v>1894</v>
      </c>
      <c r="H571" s="15" t="s">
        <v>1903</v>
      </c>
      <c r="I571" s="8"/>
      <c r="J571" s="10"/>
      <c r="AW571" s="15" t="s">
        <v>128</v>
      </c>
      <c r="AX571" s="15" t="s">
        <v>191</v>
      </c>
      <c r="AY571" s="15" t="s">
        <v>468</v>
      </c>
      <c r="AZ571" s="15" t="s">
        <v>467</v>
      </c>
      <c r="BH571" s="15" t="s">
        <v>184</v>
      </c>
      <c r="BI571" s="15" t="s">
        <v>185</v>
      </c>
      <c r="BJ571" s="15" t="s">
        <v>186</v>
      </c>
      <c r="BK571" s="15" t="s">
        <v>187</v>
      </c>
      <c r="BL571" s="15" t="s">
        <v>188</v>
      </c>
      <c r="BM571" s="15" t="s">
        <v>189</v>
      </c>
      <c r="BN571" s="15" t="s">
        <v>190</v>
      </c>
      <c r="BO571" s="15" t="s">
        <v>191</v>
      </c>
      <c r="BR571" s="15" t="s">
        <v>192</v>
      </c>
      <c r="BS571" s="15" t="s">
        <v>193</v>
      </c>
      <c r="BT571" s="15" t="s">
        <v>194</v>
      </c>
      <c r="BU571" s="15" t="s">
        <v>195</v>
      </c>
      <c r="BV571" s="15" t="s">
        <v>196</v>
      </c>
      <c r="BW571" s="15" t="s">
        <v>272</v>
      </c>
      <c r="CC571" s="15">
        <v>1</v>
      </c>
      <c r="CM571" s="15" t="s">
        <v>2022</v>
      </c>
      <c r="CW571" s="10">
        <v>2</v>
      </c>
      <c r="CX571" s="15" t="s">
        <v>2023</v>
      </c>
    </row>
    <row r="572" spans="1:102" s="15" customFormat="1" x14ac:dyDescent="0.3">
      <c r="A572" s="11" t="s">
        <v>126</v>
      </c>
      <c r="B572" s="10" t="s">
        <v>2024</v>
      </c>
      <c r="C572" s="12" t="s">
        <v>2028</v>
      </c>
      <c r="D572" s="10">
        <v>12</v>
      </c>
      <c r="E572" s="13">
        <v>1000000</v>
      </c>
      <c r="F572" s="14">
        <v>1</v>
      </c>
      <c r="G572" s="14">
        <v>1</v>
      </c>
      <c r="H572" s="15" t="s">
        <v>1907</v>
      </c>
      <c r="I572" s="8"/>
      <c r="J572" s="10"/>
      <c r="AW572" s="15" t="s">
        <v>128</v>
      </c>
      <c r="AX572" s="15" t="s">
        <v>2025</v>
      </c>
      <c r="BH572" s="15" t="s">
        <v>191</v>
      </c>
      <c r="BI572" s="15" t="s">
        <v>468</v>
      </c>
      <c r="BJ572" s="15" t="s">
        <v>467</v>
      </c>
      <c r="BR572" s="15" t="s">
        <v>272</v>
      </c>
      <c r="BS572" s="15" t="s">
        <v>193</v>
      </c>
      <c r="CW572" s="10">
        <v>2</v>
      </c>
      <c r="CX572" s="15" t="s">
        <v>2026</v>
      </c>
    </row>
    <row r="573" spans="1:102" s="15" customFormat="1" x14ac:dyDescent="0.3">
      <c r="A573" s="11" t="s">
        <v>126</v>
      </c>
      <c r="B573" s="10" t="s">
        <v>2027</v>
      </c>
      <c r="C573" s="12" t="s">
        <v>2028</v>
      </c>
      <c r="D573" s="10">
        <v>12</v>
      </c>
      <c r="E573" s="13">
        <v>1000000</v>
      </c>
      <c r="F573" s="14">
        <v>1</v>
      </c>
      <c r="G573" s="14">
        <v>1</v>
      </c>
      <c r="H573" s="15" t="s">
        <v>1907</v>
      </c>
      <c r="I573" s="8"/>
      <c r="J573" s="10"/>
      <c r="AW573" s="15" t="s">
        <v>128</v>
      </c>
      <c r="AX573" s="15" t="s">
        <v>2025</v>
      </c>
      <c r="BH573" s="15" t="s">
        <v>191</v>
      </c>
      <c r="BI573" s="15" t="s">
        <v>468</v>
      </c>
      <c r="BJ573" s="15" t="s">
        <v>467</v>
      </c>
      <c r="BR573" s="15" t="s">
        <v>272</v>
      </c>
      <c r="BS573" s="15" t="s">
        <v>193</v>
      </c>
      <c r="CW573" s="10">
        <v>2</v>
      </c>
      <c r="CX573" s="15" t="s">
        <v>2029</v>
      </c>
    </row>
    <row r="574" spans="1:102" s="15" customFormat="1" x14ac:dyDescent="0.3">
      <c r="A574" s="11" t="s">
        <v>126</v>
      </c>
      <c r="B574" s="10" t="s">
        <v>2030</v>
      </c>
      <c r="C574" s="12" t="s">
        <v>2037</v>
      </c>
      <c r="D574" s="10">
        <v>12</v>
      </c>
      <c r="E574" s="13">
        <v>1000000</v>
      </c>
      <c r="F574" s="14" t="s">
        <v>1830</v>
      </c>
      <c r="G574" s="14" t="s">
        <v>1831</v>
      </c>
      <c r="H574" s="15" t="s">
        <v>2031</v>
      </c>
      <c r="I574" s="8"/>
      <c r="J574" s="10"/>
      <c r="AB574" s="15" t="s">
        <v>1833</v>
      </c>
      <c r="AV574" s="15" t="s">
        <v>1834</v>
      </c>
      <c r="AW574" s="15" t="s">
        <v>1835</v>
      </c>
      <c r="AX574" s="15" t="s">
        <v>468</v>
      </c>
      <c r="AY574" s="15" t="s">
        <v>467</v>
      </c>
      <c r="AZ574" s="15" t="s">
        <v>813</v>
      </c>
      <c r="BA574" s="15" t="s">
        <v>814</v>
      </c>
      <c r="BH574" s="15" t="s">
        <v>184</v>
      </c>
      <c r="BI574" s="15" t="s">
        <v>185</v>
      </c>
      <c r="BJ574" s="15" t="s">
        <v>186</v>
      </c>
      <c r="BK574" s="15" t="s">
        <v>187</v>
      </c>
      <c r="BL574" s="15" t="s">
        <v>188</v>
      </c>
      <c r="BM574" s="15" t="s">
        <v>189</v>
      </c>
      <c r="BN574" s="15" t="s">
        <v>190</v>
      </c>
      <c r="BO574" s="15" t="s">
        <v>191</v>
      </c>
      <c r="BR574" s="15" t="s">
        <v>192</v>
      </c>
      <c r="BS574" s="15" t="s">
        <v>193</v>
      </c>
      <c r="BT574" s="15" t="s">
        <v>194</v>
      </c>
      <c r="BU574" s="15" t="s">
        <v>195</v>
      </c>
      <c r="BV574" s="15" t="s">
        <v>196</v>
      </c>
      <c r="CB574" s="15" t="s">
        <v>129</v>
      </c>
      <c r="CC574" s="15">
        <v>1</v>
      </c>
      <c r="CN574" s="15" t="s">
        <v>1836</v>
      </c>
      <c r="CW574" s="10">
        <v>2</v>
      </c>
      <c r="CX574" s="15" t="s">
        <v>2032</v>
      </c>
    </row>
    <row r="575" spans="1:102" s="15" customFormat="1" x14ac:dyDescent="0.3">
      <c r="A575" s="11" t="s">
        <v>126</v>
      </c>
      <c r="B575" s="10" t="s">
        <v>2033</v>
      </c>
      <c r="C575" s="12" t="s">
        <v>2034</v>
      </c>
      <c r="D575" s="10">
        <v>12</v>
      </c>
      <c r="E575" s="13">
        <v>1000000</v>
      </c>
      <c r="F575" s="14" t="s">
        <v>1831</v>
      </c>
      <c r="G575" s="14" t="s">
        <v>1831</v>
      </c>
      <c r="H575" s="15" t="s">
        <v>2031</v>
      </c>
      <c r="I575" s="8"/>
      <c r="J575" s="10"/>
      <c r="AB575" s="15" t="s">
        <v>1833</v>
      </c>
      <c r="AW575" s="15" t="s">
        <v>128</v>
      </c>
      <c r="AX575" s="15" t="s">
        <v>468</v>
      </c>
      <c r="AY575" s="15" t="s">
        <v>467</v>
      </c>
      <c r="AZ575" s="15" t="s">
        <v>813</v>
      </c>
      <c r="BA575" s="15" t="s">
        <v>814</v>
      </c>
      <c r="BH575" s="15" t="s">
        <v>184</v>
      </c>
      <c r="BI575" s="15" t="s">
        <v>185</v>
      </c>
      <c r="BJ575" s="15" t="s">
        <v>186</v>
      </c>
      <c r="BK575" s="15" t="s">
        <v>187</v>
      </c>
      <c r="BL575" s="15" t="s">
        <v>188</v>
      </c>
      <c r="BM575" s="15" t="s">
        <v>189</v>
      </c>
      <c r="BN575" s="15" t="s">
        <v>190</v>
      </c>
      <c r="BO575" s="15" t="s">
        <v>191</v>
      </c>
      <c r="BR575" s="15" t="s">
        <v>192</v>
      </c>
      <c r="BS575" s="15" t="s">
        <v>193</v>
      </c>
      <c r="BT575" s="15" t="s">
        <v>194</v>
      </c>
      <c r="BU575" s="15" t="s">
        <v>195</v>
      </c>
      <c r="BV575" s="15" t="s">
        <v>196</v>
      </c>
      <c r="CB575" s="15" t="s">
        <v>128</v>
      </c>
      <c r="CC575" s="15">
        <v>1</v>
      </c>
      <c r="CN575" s="15" t="s">
        <v>1836</v>
      </c>
      <c r="CW575" s="10">
        <v>2</v>
      </c>
      <c r="CX575" s="15" t="s">
        <v>2035</v>
      </c>
    </row>
    <row r="576" spans="1:102" s="15" customFormat="1" x14ac:dyDescent="0.3">
      <c r="A576" s="11" t="s">
        <v>126</v>
      </c>
      <c r="B576" s="10" t="s">
        <v>2036</v>
      </c>
      <c r="C576" s="12" t="s">
        <v>2037</v>
      </c>
      <c r="D576" s="10">
        <v>12</v>
      </c>
      <c r="E576" s="13">
        <v>1000000</v>
      </c>
      <c r="F576" s="14" t="s">
        <v>1831</v>
      </c>
      <c r="G576" s="14" t="s">
        <v>1831</v>
      </c>
      <c r="H576" s="15" t="s">
        <v>2031</v>
      </c>
      <c r="I576" s="8"/>
      <c r="J576" s="10"/>
      <c r="AB576" s="15" t="s">
        <v>1833</v>
      </c>
      <c r="AW576" s="15" t="s">
        <v>128</v>
      </c>
      <c r="AX576" s="15" t="s">
        <v>468</v>
      </c>
      <c r="AY576" s="15" t="s">
        <v>467</v>
      </c>
      <c r="AZ576" s="15" t="s">
        <v>813</v>
      </c>
      <c r="BA576" s="15" t="s">
        <v>814</v>
      </c>
      <c r="BH576" s="15" t="s">
        <v>184</v>
      </c>
      <c r="BI576" s="15" t="s">
        <v>185</v>
      </c>
      <c r="BJ576" s="15" t="s">
        <v>186</v>
      </c>
      <c r="BK576" s="15" t="s">
        <v>187</v>
      </c>
      <c r="BL576" s="15" t="s">
        <v>188</v>
      </c>
      <c r="BM576" s="15" t="s">
        <v>189</v>
      </c>
      <c r="BN576" s="15" t="s">
        <v>190</v>
      </c>
      <c r="BO576" s="15" t="s">
        <v>191</v>
      </c>
      <c r="BR576" s="15" t="s">
        <v>192</v>
      </c>
      <c r="BS576" s="15" t="s">
        <v>193</v>
      </c>
      <c r="BT576" s="15" t="s">
        <v>194</v>
      </c>
      <c r="BU576" s="15" t="s">
        <v>195</v>
      </c>
      <c r="BV576" s="15" t="s">
        <v>196</v>
      </c>
      <c r="CB576" s="15" t="s">
        <v>128</v>
      </c>
      <c r="CC576" s="15">
        <v>1</v>
      </c>
      <c r="CN576" s="15" t="s">
        <v>1836</v>
      </c>
      <c r="CW576" s="10">
        <v>2</v>
      </c>
      <c r="CX576" s="15" t="s">
        <v>2038</v>
      </c>
    </row>
    <row r="577" spans="1:102" s="15" customFormat="1" x14ac:dyDescent="0.3">
      <c r="A577" s="11" t="s">
        <v>126</v>
      </c>
      <c r="B577" s="10" t="s">
        <v>2039</v>
      </c>
      <c r="C577" s="12" t="s">
        <v>2046</v>
      </c>
      <c r="D577" s="10">
        <v>12</v>
      </c>
      <c r="E577" s="13">
        <v>1000000</v>
      </c>
      <c r="F577" s="14" t="s">
        <v>1842</v>
      </c>
      <c r="G577" s="14" t="s">
        <v>1843</v>
      </c>
      <c r="H577" s="15" t="s">
        <v>2040</v>
      </c>
      <c r="I577" s="8"/>
      <c r="J577" s="10"/>
      <c r="AB577" s="15" t="s">
        <v>1845</v>
      </c>
      <c r="AV577" s="15" t="s">
        <v>1846</v>
      </c>
      <c r="AW577" s="15" t="s">
        <v>1847</v>
      </c>
      <c r="AX577" s="15" t="s">
        <v>468</v>
      </c>
      <c r="AY577" s="15" t="s">
        <v>467</v>
      </c>
      <c r="AZ577" s="15" t="s">
        <v>813</v>
      </c>
      <c r="BA577" s="15" t="s">
        <v>814</v>
      </c>
      <c r="BH577" s="15" t="s">
        <v>184</v>
      </c>
      <c r="BI577" s="15" t="s">
        <v>185</v>
      </c>
      <c r="BJ577" s="15" t="s">
        <v>186</v>
      </c>
      <c r="BK577" s="15" t="s">
        <v>187</v>
      </c>
      <c r="BL577" s="15" t="s">
        <v>188</v>
      </c>
      <c r="BM577" s="15" t="s">
        <v>189</v>
      </c>
      <c r="BN577" s="15" t="s">
        <v>190</v>
      </c>
      <c r="BO577" s="15" t="s">
        <v>191</v>
      </c>
      <c r="BR577" s="15" t="s">
        <v>192</v>
      </c>
      <c r="BS577" s="15" t="s">
        <v>193</v>
      </c>
      <c r="BT577" s="15" t="s">
        <v>194</v>
      </c>
      <c r="BU577" s="15" t="s">
        <v>195</v>
      </c>
      <c r="BV577" s="15" t="s">
        <v>196</v>
      </c>
      <c r="CB577" s="15" t="s">
        <v>129</v>
      </c>
      <c r="CC577" s="15">
        <v>1</v>
      </c>
      <c r="CN577" s="15" t="s">
        <v>198</v>
      </c>
      <c r="CW577" s="10">
        <v>2</v>
      </c>
      <c r="CX577" s="15" t="s">
        <v>2041</v>
      </c>
    </row>
    <row r="578" spans="1:102" s="15" customFormat="1" x14ac:dyDescent="0.3">
      <c r="A578" s="11" t="s">
        <v>126</v>
      </c>
      <c r="B578" s="10" t="s">
        <v>2042</v>
      </c>
      <c r="C578" s="12" t="s">
        <v>2043</v>
      </c>
      <c r="D578" s="10">
        <v>12</v>
      </c>
      <c r="E578" s="13">
        <v>1000000</v>
      </c>
      <c r="F578" s="14" t="s">
        <v>1843</v>
      </c>
      <c r="G578" s="14" t="s">
        <v>1843</v>
      </c>
      <c r="H578" s="15" t="s">
        <v>2040</v>
      </c>
      <c r="I578" s="8"/>
      <c r="J578" s="10"/>
      <c r="AB578" s="15" t="s">
        <v>1845</v>
      </c>
      <c r="AW578" s="15" t="s">
        <v>128</v>
      </c>
      <c r="AX578" s="15" t="s">
        <v>468</v>
      </c>
      <c r="AY578" s="15" t="s">
        <v>467</v>
      </c>
      <c r="AZ578" s="15" t="s">
        <v>813</v>
      </c>
      <c r="BA578" s="15" t="s">
        <v>814</v>
      </c>
      <c r="BH578" s="15" t="s">
        <v>184</v>
      </c>
      <c r="BI578" s="15" t="s">
        <v>185</v>
      </c>
      <c r="BJ578" s="15" t="s">
        <v>186</v>
      </c>
      <c r="BK578" s="15" t="s">
        <v>187</v>
      </c>
      <c r="BL578" s="15" t="s">
        <v>188</v>
      </c>
      <c r="BM578" s="15" t="s">
        <v>189</v>
      </c>
      <c r="BN578" s="15" t="s">
        <v>190</v>
      </c>
      <c r="BO578" s="15" t="s">
        <v>191</v>
      </c>
      <c r="BR578" s="15" t="s">
        <v>192</v>
      </c>
      <c r="BS578" s="15" t="s">
        <v>193</v>
      </c>
      <c r="BT578" s="15" t="s">
        <v>194</v>
      </c>
      <c r="BU578" s="15" t="s">
        <v>195</v>
      </c>
      <c r="BV578" s="15" t="s">
        <v>196</v>
      </c>
      <c r="CB578" s="15" t="s">
        <v>128</v>
      </c>
      <c r="CC578" s="15">
        <v>1</v>
      </c>
      <c r="CN578" s="15" t="s">
        <v>198</v>
      </c>
      <c r="CW578" s="10">
        <v>2</v>
      </c>
      <c r="CX578" s="15" t="s">
        <v>2044</v>
      </c>
    </row>
    <row r="579" spans="1:102" s="15" customFormat="1" x14ac:dyDescent="0.3">
      <c r="A579" s="11" t="s">
        <v>126</v>
      </c>
      <c r="B579" s="10" t="s">
        <v>2045</v>
      </c>
      <c r="C579" s="12" t="s">
        <v>2046</v>
      </c>
      <c r="D579" s="10">
        <v>12</v>
      </c>
      <c r="E579" s="13">
        <v>1000000</v>
      </c>
      <c r="F579" s="14" t="s">
        <v>1843</v>
      </c>
      <c r="G579" s="14" t="s">
        <v>1843</v>
      </c>
      <c r="H579" s="15" t="s">
        <v>2040</v>
      </c>
      <c r="I579" s="8"/>
      <c r="J579" s="10"/>
      <c r="AB579" s="15" t="s">
        <v>1845</v>
      </c>
      <c r="AW579" s="15" t="s">
        <v>128</v>
      </c>
      <c r="AX579" s="15" t="s">
        <v>468</v>
      </c>
      <c r="AY579" s="15" t="s">
        <v>467</v>
      </c>
      <c r="AZ579" s="15" t="s">
        <v>813</v>
      </c>
      <c r="BA579" s="15" t="s">
        <v>814</v>
      </c>
      <c r="BH579" s="15" t="s">
        <v>184</v>
      </c>
      <c r="BI579" s="15" t="s">
        <v>185</v>
      </c>
      <c r="BJ579" s="15" t="s">
        <v>186</v>
      </c>
      <c r="BK579" s="15" t="s">
        <v>187</v>
      </c>
      <c r="BL579" s="15" t="s">
        <v>188</v>
      </c>
      <c r="BM579" s="15" t="s">
        <v>189</v>
      </c>
      <c r="BN579" s="15" t="s">
        <v>190</v>
      </c>
      <c r="BO579" s="15" t="s">
        <v>191</v>
      </c>
      <c r="BR579" s="15" t="s">
        <v>192</v>
      </c>
      <c r="BS579" s="15" t="s">
        <v>193</v>
      </c>
      <c r="BT579" s="15" t="s">
        <v>194</v>
      </c>
      <c r="BU579" s="15" t="s">
        <v>195</v>
      </c>
      <c r="BV579" s="15" t="s">
        <v>196</v>
      </c>
      <c r="CB579" s="15" t="s">
        <v>128</v>
      </c>
      <c r="CC579" s="15">
        <v>1</v>
      </c>
      <c r="CN579" s="15" t="s">
        <v>198</v>
      </c>
      <c r="CW579" s="10">
        <v>2</v>
      </c>
      <c r="CX579" s="15" t="s">
        <v>2047</v>
      </c>
    </row>
    <row r="580" spans="1:102" s="15" customFormat="1" x14ac:dyDescent="0.3">
      <c r="A580" s="11" t="s">
        <v>126</v>
      </c>
      <c r="B580" s="10" t="s">
        <v>2048</v>
      </c>
      <c r="C580" s="12" t="s">
        <v>2055</v>
      </c>
      <c r="D580" s="10">
        <v>12</v>
      </c>
      <c r="E580" s="13">
        <v>1000000</v>
      </c>
      <c r="F580" s="14" t="s">
        <v>1853</v>
      </c>
      <c r="G580" s="14" t="s">
        <v>1854</v>
      </c>
      <c r="H580" s="15" t="s">
        <v>2049</v>
      </c>
      <c r="I580" s="8"/>
      <c r="J580" s="10"/>
      <c r="AB580" s="15" t="s">
        <v>1856</v>
      </c>
      <c r="AV580" s="15" t="s">
        <v>1857</v>
      </c>
      <c r="AW580" s="15" t="s">
        <v>1858</v>
      </c>
      <c r="AX580" s="15" t="s">
        <v>468</v>
      </c>
      <c r="AY580" s="15" t="s">
        <v>467</v>
      </c>
      <c r="AZ580" s="15" t="s">
        <v>813</v>
      </c>
      <c r="BA580" s="15" t="s">
        <v>814</v>
      </c>
      <c r="BH580" s="15" t="s">
        <v>184</v>
      </c>
      <c r="BI580" s="15" t="s">
        <v>185</v>
      </c>
      <c r="BJ580" s="15" t="s">
        <v>186</v>
      </c>
      <c r="BK580" s="15" t="s">
        <v>187</v>
      </c>
      <c r="BL580" s="15" t="s">
        <v>188</v>
      </c>
      <c r="BM580" s="15" t="s">
        <v>189</v>
      </c>
      <c r="BN580" s="15" t="s">
        <v>190</v>
      </c>
      <c r="BO580" s="15" t="s">
        <v>191</v>
      </c>
      <c r="BR580" s="15" t="s">
        <v>192</v>
      </c>
      <c r="BS580" s="15" t="s">
        <v>193</v>
      </c>
      <c r="BT580" s="15" t="s">
        <v>194</v>
      </c>
      <c r="BU580" s="15" t="s">
        <v>195</v>
      </c>
      <c r="BV580" s="15" t="s">
        <v>196</v>
      </c>
      <c r="CB580" s="15" t="s">
        <v>129</v>
      </c>
      <c r="CC580" s="15">
        <v>1</v>
      </c>
      <c r="CN580" s="15" t="s">
        <v>1859</v>
      </c>
      <c r="CW580" s="10">
        <v>2</v>
      </c>
      <c r="CX580" s="15" t="s">
        <v>2050</v>
      </c>
    </row>
    <row r="581" spans="1:102" s="15" customFormat="1" x14ac:dyDescent="0.3">
      <c r="A581" s="11" t="s">
        <v>126</v>
      </c>
      <c r="B581" s="10" t="s">
        <v>2051</v>
      </c>
      <c r="C581" s="12" t="s">
        <v>2052</v>
      </c>
      <c r="D581" s="10">
        <v>12</v>
      </c>
      <c r="E581" s="13">
        <v>1000000</v>
      </c>
      <c r="F581" s="14" t="s">
        <v>1854</v>
      </c>
      <c r="G581" s="14" t="s">
        <v>1854</v>
      </c>
      <c r="H581" s="15" t="s">
        <v>2049</v>
      </c>
      <c r="I581" s="8"/>
      <c r="J581" s="10"/>
      <c r="AB581" s="15" t="s">
        <v>1856</v>
      </c>
      <c r="AW581" s="15" t="s">
        <v>128</v>
      </c>
      <c r="AX581" s="15" t="s">
        <v>468</v>
      </c>
      <c r="AY581" s="15" t="s">
        <v>467</v>
      </c>
      <c r="AZ581" s="15" t="s">
        <v>813</v>
      </c>
      <c r="BA581" s="15" t="s">
        <v>814</v>
      </c>
      <c r="BH581" s="15" t="s">
        <v>184</v>
      </c>
      <c r="BI581" s="15" t="s">
        <v>185</v>
      </c>
      <c r="BJ581" s="15" t="s">
        <v>186</v>
      </c>
      <c r="BK581" s="15" t="s">
        <v>187</v>
      </c>
      <c r="BL581" s="15" t="s">
        <v>188</v>
      </c>
      <c r="BM581" s="15" t="s">
        <v>189</v>
      </c>
      <c r="BN581" s="15" t="s">
        <v>190</v>
      </c>
      <c r="BO581" s="15" t="s">
        <v>191</v>
      </c>
      <c r="BR581" s="15" t="s">
        <v>192</v>
      </c>
      <c r="BS581" s="15" t="s">
        <v>193</v>
      </c>
      <c r="BT581" s="15" t="s">
        <v>194</v>
      </c>
      <c r="BU581" s="15" t="s">
        <v>195</v>
      </c>
      <c r="BV581" s="15" t="s">
        <v>196</v>
      </c>
      <c r="CB581" s="15" t="s">
        <v>128</v>
      </c>
      <c r="CC581" s="15">
        <v>1</v>
      </c>
      <c r="CN581" s="15" t="s">
        <v>1859</v>
      </c>
      <c r="CW581" s="10">
        <v>2</v>
      </c>
      <c r="CX581" s="15" t="s">
        <v>2053</v>
      </c>
    </row>
    <row r="582" spans="1:102" s="15" customFormat="1" x14ac:dyDescent="0.3">
      <c r="A582" s="11" t="s">
        <v>126</v>
      </c>
      <c r="B582" s="10" t="s">
        <v>2054</v>
      </c>
      <c r="C582" s="12" t="s">
        <v>2055</v>
      </c>
      <c r="D582" s="10">
        <v>12</v>
      </c>
      <c r="E582" s="13">
        <v>1000000</v>
      </c>
      <c r="F582" s="14" t="s">
        <v>1854</v>
      </c>
      <c r="G582" s="14" t="s">
        <v>1854</v>
      </c>
      <c r="H582" s="15" t="s">
        <v>2049</v>
      </c>
      <c r="I582" s="8"/>
      <c r="J582" s="10"/>
      <c r="AB582" s="15" t="s">
        <v>1856</v>
      </c>
      <c r="AW582" s="15" t="s">
        <v>128</v>
      </c>
      <c r="AX582" s="15" t="s">
        <v>468</v>
      </c>
      <c r="AY582" s="15" t="s">
        <v>467</v>
      </c>
      <c r="AZ582" s="15" t="s">
        <v>813</v>
      </c>
      <c r="BA582" s="15" t="s">
        <v>814</v>
      </c>
      <c r="BH582" s="15" t="s">
        <v>184</v>
      </c>
      <c r="BI582" s="15" t="s">
        <v>185</v>
      </c>
      <c r="BJ582" s="15" t="s">
        <v>186</v>
      </c>
      <c r="BK582" s="15" t="s">
        <v>187</v>
      </c>
      <c r="BL582" s="15" t="s">
        <v>188</v>
      </c>
      <c r="BM582" s="15" t="s">
        <v>189</v>
      </c>
      <c r="BN582" s="15" t="s">
        <v>190</v>
      </c>
      <c r="BO582" s="15" t="s">
        <v>191</v>
      </c>
      <c r="BR582" s="15" t="s">
        <v>192</v>
      </c>
      <c r="BS582" s="15" t="s">
        <v>193</v>
      </c>
      <c r="BT582" s="15" t="s">
        <v>194</v>
      </c>
      <c r="BU582" s="15" t="s">
        <v>195</v>
      </c>
      <c r="BV582" s="15" t="s">
        <v>196</v>
      </c>
      <c r="CB582" s="15" t="s">
        <v>128</v>
      </c>
      <c r="CC582" s="15">
        <v>1</v>
      </c>
      <c r="CN582" s="15" t="s">
        <v>1859</v>
      </c>
      <c r="CW582" s="10">
        <v>2</v>
      </c>
      <c r="CX582" s="15" t="s">
        <v>2056</v>
      </c>
    </row>
    <row r="583" spans="1:102" s="15" customFormat="1" x14ac:dyDescent="0.3">
      <c r="A583" s="11" t="s">
        <v>126</v>
      </c>
      <c r="B583" s="10" t="s">
        <v>2057</v>
      </c>
      <c r="C583" s="12" t="s">
        <v>2064</v>
      </c>
      <c r="D583" s="10">
        <v>12</v>
      </c>
      <c r="E583" s="13">
        <v>1000000</v>
      </c>
      <c r="F583" s="14" t="s">
        <v>1865</v>
      </c>
      <c r="G583" s="14" t="s">
        <v>1866</v>
      </c>
      <c r="H583" s="15" t="s">
        <v>2058</v>
      </c>
      <c r="I583" s="8"/>
      <c r="J583" s="10"/>
      <c r="AB583" s="15" t="s">
        <v>1868</v>
      </c>
      <c r="AV583" s="15" t="s">
        <v>1869</v>
      </c>
      <c r="AW583" s="15" t="s">
        <v>1870</v>
      </c>
      <c r="AX583" s="15" t="s">
        <v>468</v>
      </c>
      <c r="AY583" s="15" t="s">
        <v>467</v>
      </c>
      <c r="AZ583" s="15" t="s">
        <v>813</v>
      </c>
      <c r="BA583" s="15" t="s">
        <v>814</v>
      </c>
      <c r="BH583" s="15" t="s">
        <v>184</v>
      </c>
      <c r="BI583" s="15" t="s">
        <v>185</v>
      </c>
      <c r="BJ583" s="15" t="s">
        <v>186</v>
      </c>
      <c r="BK583" s="15" t="s">
        <v>187</v>
      </c>
      <c r="BL583" s="15" t="s">
        <v>188</v>
      </c>
      <c r="BM583" s="15" t="s">
        <v>189</v>
      </c>
      <c r="BN583" s="15" t="s">
        <v>190</v>
      </c>
      <c r="BO583" s="15" t="s">
        <v>191</v>
      </c>
      <c r="BR583" s="15" t="s">
        <v>192</v>
      </c>
      <c r="BS583" s="15" t="s">
        <v>193</v>
      </c>
      <c r="BT583" s="15" t="s">
        <v>194</v>
      </c>
      <c r="BU583" s="15" t="s">
        <v>195</v>
      </c>
      <c r="BV583" s="15" t="s">
        <v>196</v>
      </c>
      <c r="CB583" s="15" t="s">
        <v>129</v>
      </c>
      <c r="CC583" s="15">
        <v>1</v>
      </c>
      <c r="CN583" s="15" t="s">
        <v>198</v>
      </c>
      <c r="CW583" s="10">
        <v>2</v>
      </c>
      <c r="CX583" s="15" t="s">
        <v>2059</v>
      </c>
    </row>
    <row r="584" spans="1:102" s="15" customFormat="1" x14ac:dyDescent="0.3">
      <c r="A584" s="11" t="s">
        <v>126</v>
      </c>
      <c r="B584" s="10" t="s">
        <v>2060</v>
      </c>
      <c r="C584" s="12" t="s">
        <v>2061</v>
      </c>
      <c r="D584" s="10">
        <v>12</v>
      </c>
      <c r="E584" s="13">
        <v>1000000</v>
      </c>
      <c r="F584" s="14" t="s">
        <v>1866</v>
      </c>
      <c r="G584" s="14" t="s">
        <v>1866</v>
      </c>
      <c r="H584" s="15" t="s">
        <v>2058</v>
      </c>
      <c r="I584" s="8"/>
      <c r="J584" s="10"/>
      <c r="AB584" s="15" t="s">
        <v>1868</v>
      </c>
      <c r="AW584" s="15" t="s">
        <v>128</v>
      </c>
      <c r="AX584" s="15" t="s">
        <v>468</v>
      </c>
      <c r="AY584" s="15" t="s">
        <v>467</v>
      </c>
      <c r="AZ584" s="15" t="s">
        <v>813</v>
      </c>
      <c r="BA584" s="15" t="s">
        <v>814</v>
      </c>
      <c r="BH584" s="15" t="s">
        <v>184</v>
      </c>
      <c r="BI584" s="15" t="s">
        <v>185</v>
      </c>
      <c r="BJ584" s="15" t="s">
        <v>186</v>
      </c>
      <c r="BK584" s="15" t="s">
        <v>187</v>
      </c>
      <c r="BL584" s="15" t="s">
        <v>188</v>
      </c>
      <c r="BM584" s="15" t="s">
        <v>189</v>
      </c>
      <c r="BN584" s="15" t="s">
        <v>190</v>
      </c>
      <c r="BO584" s="15" t="s">
        <v>191</v>
      </c>
      <c r="BR584" s="15" t="s">
        <v>192</v>
      </c>
      <c r="BS584" s="15" t="s">
        <v>193</v>
      </c>
      <c r="BT584" s="15" t="s">
        <v>194</v>
      </c>
      <c r="BU584" s="15" t="s">
        <v>195</v>
      </c>
      <c r="BV584" s="15" t="s">
        <v>196</v>
      </c>
      <c r="CB584" s="15" t="s">
        <v>128</v>
      </c>
      <c r="CC584" s="15">
        <v>1</v>
      </c>
      <c r="CN584" s="15" t="s">
        <v>198</v>
      </c>
      <c r="CW584" s="10">
        <v>2</v>
      </c>
      <c r="CX584" s="15" t="s">
        <v>2062</v>
      </c>
    </row>
    <row r="585" spans="1:102" s="15" customFormat="1" x14ac:dyDescent="0.3">
      <c r="A585" s="11" t="s">
        <v>126</v>
      </c>
      <c r="B585" s="10" t="s">
        <v>2063</v>
      </c>
      <c r="C585" s="12" t="s">
        <v>2064</v>
      </c>
      <c r="D585" s="10">
        <v>12</v>
      </c>
      <c r="E585" s="13">
        <v>1000000</v>
      </c>
      <c r="F585" s="14" t="s">
        <v>1866</v>
      </c>
      <c r="G585" s="14" t="s">
        <v>1866</v>
      </c>
      <c r="H585" s="15" t="s">
        <v>2058</v>
      </c>
      <c r="I585" s="8"/>
      <c r="J585" s="10"/>
      <c r="AB585" s="15" t="s">
        <v>1868</v>
      </c>
      <c r="AW585" s="15" t="s">
        <v>128</v>
      </c>
      <c r="AX585" s="15" t="s">
        <v>468</v>
      </c>
      <c r="AY585" s="15" t="s">
        <v>467</v>
      </c>
      <c r="AZ585" s="15" t="s">
        <v>813</v>
      </c>
      <c r="BA585" s="15" t="s">
        <v>814</v>
      </c>
      <c r="BH585" s="15" t="s">
        <v>184</v>
      </c>
      <c r="BI585" s="15" t="s">
        <v>185</v>
      </c>
      <c r="BJ585" s="15" t="s">
        <v>186</v>
      </c>
      <c r="BK585" s="15" t="s">
        <v>187</v>
      </c>
      <c r="BL585" s="15" t="s">
        <v>188</v>
      </c>
      <c r="BM585" s="15" t="s">
        <v>189</v>
      </c>
      <c r="BN585" s="15" t="s">
        <v>190</v>
      </c>
      <c r="BO585" s="15" t="s">
        <v>191</v>
      </c>
      <c r="BR585" s="15" t="s">
        <v>192</v>
      </c>
      <c r="BS585" s="15" t="s">
        <v>193</v>
      </c>
      <c r="BT585" s="15" t="s">
        <v>194</v>
      </c>
      <c r="BU585" s="15" t="s">
        <v>195</v>
      </c>
      <c r="BV585" s="15" t="s">
        <v>196</v>
      </c>
      <c r="CB585" s="15" t="s">
        <v>128</v>
      </c>
      <c r="CC585" s="15">
        <v>1</v>
      </c>
      <c r="CN585" s="15" t="s">
        <v>198</v>
      </c>
      <c r="CW585" s="10">
        <v>2</v>
      </c>
      <c r="CX585" s="15" t="s">
        <v>2065</v>
      </c>
    </row>
    <row r="586" spans="1:102" s="15" customFormat="1" x14ac:dyDescent="0.3">
      <c r="A586" s="11" t="s">
        <v>126</v>
      </c>
      <c r="B586" s="10" t="s">
        <v>2066</v>
      </c>
      <c r="C586" s="12" t="s">
        <v>2070</v>
      </c>
      <c r="D586" s="10">
        <v>12</v>
      </c>
      <c r="E586" s="13">
        <v>150000</v>
      </c>
      <c r="F586" s="14" t="s">
        <v>243</v>
      </c>
      <c r="G586" s="14" t="s">
        <v>244</v>
      </c>
      <c r="H586" s="15" t="s">
        <v>254</v>
      </c>
      <c r="I586" s="8"/>
      <c r="J586" s="10"/>
      <c r="AV586" s="15" t="s">
        <v>181</v>
      </c>
      <c r="AW586" s="15" t="s">
        <v>182</v>
      </c>
      <c r="AX586" s="15" t="s">
        <v>2067</v>
      </c>
      <c r="BH586" s="15" t="s">
        <v>184</v>
      </c>
      <c r="BI586" s="15" t="s">
        <v>185</v>
      </c>
      <c r="BJ586" s="15" t="s">
        <v>186</v>
      </c>
      <c r="BK586" s="15" t="s">
        <v>187</v>
      </c>
      <c r="BL586" s="15" t="s">
        <v>188</v>
      </c>
      <c r="BM586" s="15" t="s">
        <v>189</v>
      </c>
      <c r="BN586" s="15" t="s">
        <v>190</v>
      </c>
      <c r="BO586" s="15" t="s">
        <v>191</v>
      </c>
      <c r="BR586" s="15" t="s">
        <v>192</v>
      </c>
      <c r="BS586" s="15" t="s">
        <v>193</v>
      </c>
      <c r="BT586" s="15" t="s">
        <v>194</v>
      </c>
      <c r="BU586" s="15" t="s">
        <v>195</v>
      </c>
      <c r="BV586" s="15" t="s">
        <v>196</v>
      </c>
      <c r="BW586" s="15" t="s">
        <v>205</v>
      </c>
      <c r="CB586" s="15" t="s">
        <v>129</v>
      </c>
      <c r="CC586" s="15">
        <v>1</v>
      </c>
      <c r="CN586" s="15" t="s">
        <v>198</v>
      </c>
      <c r="CW586" s="10">
        <v>2</v>
      </c>
      <c r="CX586" s="15" t="s">
        <v>2068</v>
      </c>
    </row>
    <row r="587" spans="1:102" s="15" customFormat="1" x14ac:dyDescent="0.3">
      <c r="A587" s="11" t="s">
        <v>126</v>
      </c>
      <c r="B587" s="10" t="s">
        <v>2069</v>
      </c>
      <c r="C587" s="12" t="s">
        <v>2070</v>
      </c>
      <c r="D587" s="10">
        <v>12</v>
      </c>
      <c r="E587" s="13">
        <v>150000</v>
      </c>
      <c r="F587" s="14" t="s">
        <v>244</v>
      </c>
      <c r="G587" s="14" t="s">
        <v>244</v>
      </c>
      <c r="H587" s="15" t="s">
        <v>254</v>
      </c>
      <c r="I587" s="8"/>
      <c r="J587" s="10"/>
      <c r="AW587" s="15" t="s">
        <v>128</v>
      </c>
      <c r="AX587" s="15" t="s">
        <v>2067</v>
      </c>
      <c r="BH587" s="15" t="s">
        <v>184</v>
      </c>
      <c r="BI587" s="15" t="s">
        <v>185</v>
      </c>
      <c r="BJ587" s="15" t="s">
        <v>186</v>
      </c>
      <c r="BK587" s="15" t="s">
        <v>187</v>
      </c>
      <c r="BL587" s="15" t="s">
        <v>188</v>
      </c>
      <c r="BM587" s="15" t="s">
        <v>189</v>
      </c>
      <c r="BN587" s="15" t="s">
        <v>190</v>
      </c>
      <c r="BO587" s="15" t="s">
        <v>191</v>
      </c>
      <c r="BR587" s="15" t="s">
        <v>192</v>
      </c>
      <c r="BS587" s="15" t="s">
        <v>193</v>
      </c>
      <c r="BT587" s="15" t="s">
        <v>194</v>
      </c>
      <c r="BU587" s="15" t="s">
        <v>195</v>
      </c>
      <c r="BV587" s="15" t="s">
        <v>196</v>
      </c>
      <c r="BW587" s="15" t="s">
        <v>205</v>
      </c>
      <c r="CB587" s="15" t="s">
        <v>128</v>
      </c>
      <c r="CC587" s="15">
        <v>1</v>
      </c>
      <c r="CN587" s="15" t="s">
        <v>198</v>
      </c>
      <c r="CW587" s="10">
        <v>2</v>
      </c>
      <c r="CX587" s="15" t="s">
        <v>2071</v>
      </c>
    </row>
    <row r="588" spans="1:102" s="15" customFormat="1" x14ac:dyDescent="0.3">
      <c r="A588" s="11" t="s">
        <v>126</v>
      </c>
      <c r="B588" s="10" t="s">
        <v>2072</v>
      </c>
      <c r="C588" s="12" t="s">
        <v>2076</v>
      </c>
      <c r="D588" s="10">
        <v>12</v>
      </c>
      <c r="E588" s="13">
        <v>150000</v>
      </c>
      <c r="F588" s="14" t="s">
        <v>243</v>
      </c>
      <c r="G588" s="14" t="s">
        <v>244</v>
      </c>
      <c r="H588" s="15" t="s">
        <v>254</v>
      </c>
      <c r="I588" s="8"/>
      <c r="J588" s="10"/>
      <c r="AV588" s="15" t="s">
        <v>181</v>
      </c>
      <c r="AW588" s="15" t="s">
        <v>182</v>
      </c>
      <c r="AX588" s="15" t="s">
        <v>2073</v>
      </c>
      <c r="BH588" s="15" t="s">
        <v>184</v>
      </c>
      <c r="BI588" s="15" t="s">
        <v>185</v>
      </c>
      <c r="BJ588" s="15" t="s">
        <v>186</v>
      </c>
      <c r="BK588" s="15" t="s">
        <v>187</v>
      </c>
      <c r="BL588" s="15" t="s">
        <v>188</v>
      </c>
      <c r="BM588" s="15" t="s">
        <v>189</v>
      </c>
      <c r="BN588" s="15" t="s">
        <v>190</v>
      </c>
      <c r="BO588" s="15" t="s">
        <v>191</v>
      </c>
      <c r="BR588" s="15" t="s">
        <v>192</v>
      </c>
      <c r="BS588" s="15" t="s">
        <v>193</v>
      </c>
      <c r="BT588" s="15" t="s">
        <v>194</v>
      </c>
      <c r="BU588" s="15" t="s">
        <v>195</v>
      </c>
      <c r="BV588" s="15" t="s">
        <v>196</v>
      </c>
      <c r="BW588" s="15" t="s">
        <v>205</v>
      </c>
      <c r="CB588" s="15" t="s">
        <v>129</v>
      </c>
      <c r="CC588" s="15">
        <v>1</v>
      </c>
      <c r="CN588" s="15" t="s">
        <v>198</v>
      </c>
      <c r="CW588" s="10">
        <v>2</v>
      </c>
      <c r="CX588" s="15" t="s">
        <v>2074</v>
      </c>
    </row>
    <row r="589" spans="1:102" s="15" customFormat="1" x14ac:dyDescent="0.3">
      <c r="A589" s="11" t="s">
        <v>126</v>
      </c>
      <c r="B589" s="10" t="s">
        <v>2075</v>
      </c>
      <c r="C589" s="12" t="s">
        <v>2076</v>
      </c>
      <c r="D589" s="10">
        <v>12</v>
      </c>
      <c r="E589" s="13">
        <v>150000</v>
      </c>
      <c r="F589" s="14" t="s">
        <v>244</v>
      </c>
      <c r="G589" s="14" t="s">
        <v>244</v>
      </c>
      <c r="H589" s="15" t="s">
        <v>254</v>
      </c>
      <c r="I589" s="8"/>
      <c r="J589" s="10"/>
      <c r="AW589" s="15" t="s">
        <v>128</v>
      </c>
      <c r="AX589" s="15" t="s">
        <v>2073</v>
      </c>
      <c r="BH589" s="15" t="s">
        <v>184</v>
      </c>
      <c r="BI589" s="15" t="s">
        <v>185</v>
      </c>
      <c r="BJ589" s="15" t="s">
        <v>186</v>
      </c>
      <c r="BK589" s="15" t="s">
        <v>187</v>
      </c>
      <c r="BL589" s="15" t="s">
        <v>188</v>
      </c>
      <c r="BM589" s="15" t="s">
        <v>189</v>
      </c>
      <c r="BN589" s="15" t="s">
        <v>190</v>
      </c>
      <c r="BO589" s="15" t="s">
        <v>191</v>
      </c>
      <c r="BR589" s="15" t="s">
        <v>192</v>
      </c>
      <c r="BS589" s="15" t="s">
        <v>193</v>
      </c>
      <c r="BT589" s="15" t="s">
        <v>194</v>
      </c>
      <c r="BU589" s="15" t="s">
        <v>195</v>
      </c>
      <c r="BV589" s="15" t="s">
        <v>196</v>
      </c>
      <c r="BW589" s="15" t="s">
        <v>205</v>
      </c>
      <c r="CB589" s="15" t="s">
        <v>128</v>
      </c>
      <c r="CC589" s="15">
        <v>1</v>
      </c>
      <c r="CN589" s="15" t="s">
        <v>198</v>
      </c>
      <c r="CW589" s="10">
        <v>2</v>
      </c>
      <c r="CX589" s="15" t="s">
        <v>2077</v>
      </c>
    </row>
    <row r="590" spans="1:102" s="15" customFormat="1" x14ac:dyDescent="0.3">
      <c r="A590" s="11" t="s">
        <v>126</v>
      </c>
      <c r="B590" s="10" t="s">
        <v>2078</v>
      </c>
      <c r="C590" s="12" t="s">
        <v>2082</v>
      </c>
      <c r="D590" s="10">
        <v>12</v>
      </c>
      <c r="E590" s="13">
        <v>10000</v>
      </c>
      <c r="F590" s="14" t="s">
        <v>243</v>
      </c>
      <c r="G590" s="14" t="s">
        <v>244</v>
      </c>
      <c r="H590" s="15" t="s">
        <v>254</v>
      </c>
      <c r="I590" s="8"/>
      <c r="J590" s="10"/>
      <c r="AV590" s="15" t="s">
        <v>181</v>
      </c>
      <c r="AW590" s="15" t="s">
        <v>182</v>
      </c>
      <c r="AX590" s="15" t="s">
        <v>2079</v>
      </c>
      <c r="BH590" s="15" t="s">
        <v>184</v>
      </c>
      <c r="BI590" s="15" t="s">
        <v>185</v>
      </c>
      <c r="BJ590" s="15" t="s">
        <v>186</v>
      </c>
      <c r="BK590" s="15" t="s">
        <v>187</v>
      </c>
      <c r="BL590" s="15" t="s">
        <v>188</v>
      </c>
      <c r="BM590" s="15" t="s">
        <v>189</v>
      </c>
      <c r="BN590" s="15" t="s">
        <v>190</v>
      </c>
      <c r="BO590" s="15" t="s">
        <v>191</v>
      </c>
      <c r="BR590" s="15" t="s">
        <v>192</v>
      </c>
      <c r="BS590" s="15" t="s">
        <v>193</v>
      </c>
      <c r="BT590" s="15" t="s">
        <v>194</v>
      </c>
      <c r="BU590" s="15" t="s">
        <v>195</v>
      </c>
      <c r="BV590" s="15" t="s">
        <v>196</v>
      </c>
      <c r="BW590" s="15" t="s">
        <v>205</v>
      </c>
      <c r="CB590" s="15" t="s">
        <v>129</v>
      </c>
      <c r="CC590" s="15">
        <v>1</v>
      </c>
      <c r="CN590" s="15" t="s">
        <v>198</v>
      </c>
      <c r="CW590" s="10">
        <v>2</v>
      </c>
      <c r="CX590" s="15" t="s">
        <v>2080</v>
      </c>
    </row>
    <row r="591" spans="1:102" s="15" customFormat="1" x14ac:dyDescent="0.3">
      <c r="A591" s="11" t="s">
        <v>126</v>
      </c>
      <c r="B591" s="10" t="s">
        <v>2081</v>
      </c>
      <c r="C591" s="12" t="s">
        <v>2082</v>
      </c>
      <c r="D591" s="10">
        <v>12</v>
      </c>
      <c r="E591" s="13">
        <v>10000</v>
      </c>
      <c r="F591" s="14" t="s">
        <v>244</v>
      </c>
      <c r="G591" s="14" t="s">
        <v>244</v>
      </c>
      <c r="H591" s="15" t="s">
        <v>254</v>
      </c>
      <c r="I591" s="8"/>
      <c r="J591" s="10"/>
      <c r="AW591" s="15" t="s">
        <v>128</v>
      </c>
      <c r="AX591" s="15" t="s">
        <v>2079</v>
      </c>
      <c r="BH591" s="15" t="s">
        <v>184</v>
      </c>
      <c r="BI591" s="15" t="s">
        <v>185</v>
      </c>
      <c r="BJ591" s="15" t="s">
        <v>186</v>
      </c>
      <c r="BK591" s="15" t="s">
        <v>187</v>
      </c>
      <c r="BL591" s="15" t="s">
        <v>188</v>
      </c>
      <c r="BM591" s="15" t="s">
        <v>189</v>
      </c>
      <c r="BN591" s="15" t="s">
        <v>190</v>
      </c>
      <c r="BO591" s="15" t="s">
        <v>191</v>
      </c>
      <c r="BR591" s="15" t="s">
        <v>192</v>
      </c>
      <c r="BS591" s="15" t="s">
        <v>193</v>
      </c>
      <c r="BT591" s="15" t="s">
        <v>194</v>
      </c>
      <c r="BU591" s="15" t="s">
        <v>195</v>
      </c>
      <c r="BV591" s="15" t="s">
        <v>196</v>
      </c>
      <c r="BW591" s="15" t="s">
        <v>205</v>
      </c>
      <c r="CB591" s="15" t="s">
        <v>128</v>
      </c>
      <c r="CC591" s="15">
        <v>1</v>
      </c>
      <c r="CN591" s="15" t="s">
        <v>198</v>
      </c>
      <c r="CW591" s="10">
        <v>2</v>
      </c>
      <c r="CX591" s="15" t="s">
        <v>2083</v>
      </c>
    </row>
    <row r="592" spans="1:102" s="15" customFormat="1" x14ac:dyDescent="0.3">
      <c r="A592" s="11" t="s">
        <v>126</v>
      </c>
      <c r="B592" s="10" t="s">
        <v>2084</v>
      </c>
      <c r="C592" s="12" t="s">
        <v>2095</v>
      </c>
      <c r="D592" s="10">
        <v>12</v>
      </c>
      <c r="E592" s="13">
        <v>1000000</v>
      </c>
      <c r="F592" s="14" t="s">
        <v>1876</v>
      </c>
      <c r="G592" s="14" t="s">
        <v>1854</v>
      </c>
      <c r="H592" s="15" t="s">
        <v>2085</v>
      </c>
      <c r="I592" s="8"/>
      <c r="J592" s="10"/>
      <c r="AV592" s="15" t="s">
        <v>1857</v>
      </c>
      <c r="AW592" s="15" t="s">
        <v>1858</v>
      </c>
      <c r="AX592" s="15" t="s">
        <v>191</v>
      </c>
      <c r="AY592" s="15" t="s">
        <v>468</v>
      </c>
      <c r="AZ592" s="15" t="s">
        <v>467</v>
      </c>
      <c r="BH592" s="15" t="s">
        <v>184</v>
      </c>
      <c r="BI592" s="15" t="s">
        <v>185</v>
      </c>
      <c r="BJ592" s="15" t="s">
        <v>186</v>
      </c>
      <c r="BK592" s="15" t="s">
        <v>187</v>
      </c>
      <c r="BL592" s="15" t="s">
        <v>188</v>
      </c>
      <c r="BM592" s="15" t="s">
        <v>189</v>
      </c>
      <c r="BN592" s="15" t="s">
        <v>190</v>
      </c>
      <c r="BO592" s="15" t="s">
        <v>191</v>
      </c>
      <c r="BR592" s="15" t="s">
        <v>192</v>
      </c>
      <c r="BS592" s="15" t="s">
        <v>193</v>
      </c>
      <c r="BT592" s="15" t="s">
        <v>194</v>
      </c>
      <c r="BU592" s="15" t="s">
        <v>195</v>
      </c>
      <c r="BV592" s="15" t="s">
        <v>196</v>
      </c>
      <c r="CB592" s="15" t="s">
        <v>129</v>
      </c>
      <c r="CC592" s="15">
        <v>1</v>
      </c>
      <c r="CM592" s="15" t="s">
        <v>2086</v>
      </c>
      <c r="CN592" s="15" t="s">
        <v>2087</v>
      </c>
      <c r="CW592" s="10">
        <v>2</v>
      </c>
      <c r="CX592" s="15" t="s">
        <v>2088</v>
      </c>
    </row>
    <row r="593" spans="1:102" s="15" customFormat="1" x14ac:dyDescent="0.3">
      <c r="A593" s="11" t="s">
        <v>126</v>
      </c>
      <c r="B593" s="10" t="s">
        <v>2089</v>
      </c>
      <c r="C593" s="12" t="s">
        <v>2090</v>
      </c>
      <c r="D593" s="10">
        <v>12</v>
      </c>
      <c r="E593" s="13">
        <v>1000000</v>
      </c>
      <c r="F593" s="14" t="s">
        <v>1854</v>
      </c>
      <c r="G593" s="14" t="s">
        <v>1854</v>
      </c>
      <c r="H593" s="15" t="s">
        <v>2091</v>
      </c>
      <c r="I593" s="8"/>
      <c r="J593" s="10"/>
      <c r="AW593" s="15" t="s">
        <v>128</v>
      </c>
      <c r="AX593" s="15" t="s">
        <v>191</v>
      </c>
      <c r="AY593" s="15" t="s">
        <v>468</v>
      </c>
      <c r="AZ593" s="15" t="s">
        <v>467</v>
      </c>
      <c r="BH593" s="15" t="s">
        <v>184</v>
      </c>
      <c r="BI593" s="15" t="s">
        <v>185</v>
      </c>
      <c r="BJ593" s="15" t="s">
        <v>186</v>
      </c>
      <c r="BK593" s="15" t="s">
        <v>187</v>
      </c>
      <c r="BL593" s="15" t="s">
        <v>188</v>
      </c>
      <c r="BM593" s="15" t="s">
        <v>189</v>
      </c>
      <c r="BN593" s="15" t="s">
        <v>190</v>
      </c>
      <c r="BO593" s="15" t="s">
        <v>191</v>
      </c>
      <c r="BR593" s="15" t="s">
        <v>192</v>
      </c>
      <c r="BS593" s="15" t="s">
        <v>193</v>
      </c>
      <c r="BT593" s="15" t="s">
        <v>194</v>
      </c>
      <c r="BU593" s="15" t="s">
        <v>195</v>
      </c>
      <c r="BV593" s="15" t="s">
        <v>196</v>
      </c>
      <c r="CC593" s="15">
        <v>1</v>
      </c>
      <c r="CM593" s="15" t="s">
        <v>2092</v>
      </c>
      <c r="CW593" s="10">
        <v>2</v>
      </c>
      <c r="CX593" s="15" t="s">
        <v>2093</v>
      </c>
    </row>
    <row r="594" spans="1:102" s="15" customFormat="1" x14ac:dyDescent="0.3">
      <c r="A594" s="11" t="s">
        <v>126</v>
      </c>
      <c r="B594" s="10" t="s">
        <v>2094</v>
      </c>
      <c r="C594" s="12" t="s">
        <v>2095</v>
      </c>
      <c r="D594" s="10">
        <v>12</v>
      </c>
      <c r="E594" s="13">
        <v>1000000</v>
      </c>
      <c r="F594" s="14" t="s">
        <v>1854</v>
      </c>
      <c r="G594" s="14" t="s">
        <v>1854</v>
      </c>
      <c r="H594" s="15" t="s">
        <v>2091</v>
      </c>
      <c r="I594" s="8"/>
      <c r="J594" s="10"/>
      <c r="AW594" s="15" t="s">
        <v>128</v>
      </c>
      <c r="AX594" s="15" t="s">
        <v>191</v>
      </c>
      <c r="AY594" s="15" t="s">
        <v>468</v>
      </c>
      <c r="AZ594" s="15" t="s">
        <v>467</v>
      </c>
      <c r="BH594" s="15" t="s">
        <v>184</v>
      </c>
      <c r="BI594" s="15" t="s">
        <v>185</v>
      </c>
      <c r="BJ594" s="15" t="s">
        <v>186</v>
      </c>
      <c r="BK594" s="15" t="s">
        <v>187</v>
      </c>
      <c r="BL594" s="15" t="s">
        <v>188</v>
      </c>
      <c r="BM594" s="15" t="s">
        <v>189</v>
      </c>
      <c r="BN594" s="15" t="s">
        <v>190</v>
      </c>
      <c r="BO594" s="15" t="s">
        <v>191</v>
      </c>
      <c r="BR594" s="15" t="s">
        <v>192</v>
      </c>
      <c r="BS594" s="15" t="s">
        <v>193</v>
      </c>
      <c r="BT594" s="15" t="s">
        <v>194</v>
      </c>
      <c r="BU594" s="15" t="s">
        <v>195</v>
      </c>
      <c r="BV594" s="15" t="s">
        <v>196</v>
      </c>
      <c r="CC594" s="15">
        <v>1</v>
      </c>
      <c r="CM594" s="15" t="s">
        <v>2092</v>
      </c>
      <c r="CW594" s="10">
        <v>2</v>
      </c>
      <c r="CX594" s="15" t="s">
        <v>2096</v>
      </c>
    </row>
    <row r="595" spans="1:102" s="15" customFormat="1" x14ac:dyDescent="0.3">
      <c r="A595" s="11" t="s">
        <v>126</v>
      </c>
      <c r="B595" s="10" t="s">
        <v>2097</v>
      </c>
      <c r="C595" s="12" t="s">
        <v>2100</v>
      </c>
      <c r="D595" s="10">
        <v>12</v>
      </c>
      <c r="E595" s="13">
        <v>1000000</v>
      </c>
      <c r="F595" s="14">
        <v>1</v>
      </c>
      <c r="G595" s="14">
        <v>1</v>
      </c>
      <c r="H595" s="15" t="s">
        <v>1886</v>
      </c>
      <c r="I595" s="8"/>
      <c r="J595" s="10"/>
      <c r="AW595" s="15" t="s">
        <v>128</v>
      </c>
      <c r="AX595" s="15" t="s">
        <v>1887</v>
      </c>
      <c r="BH595" s="15" t="s">
        <v>191</v>
      </c>
      <c r="BI595" s="15" t="s">
        <v>468</v>
      </c>
      <c r="BJ595" s="15" t="s">
        <v>467</v>
      </c>
      <c r="BR595" s="15" t="s">
        <v>272</v>
      </c>
      <c r="BS595" s="15" t="s">
        <v>193</v>
      </c>
      <c r="CW595" s="10">
        <v>2</v>
      </c>
      <c r="CX595" s="15" t="s">
        <v>2098</v>
      </c>
    </row>
    <row r="596" spans="1:102" s="15" customFormat="1" x14ac:dyDescent="0.3">
      <c r="A596" s="11" t="s">
        <v>126</v>
      </c>
      <c r="B596" s="10" t="s">
        <v>2099</v>
      </c>
      <c r="C596" s="12" t="s">
        <v>2100</v>
      </c>
      <c r="D596" s="10">
        <v>12</v>
      </c>
      <c r="E596" s="13">
        <v>1000000</v>
      </c>
      <c r="F596" s="14">
        <v>1</v>
      </c>
      <c r="G596" s="14">
        <v>1</v>
      </c>
      <c r="H596" s="15" t="s">
        <v>1886</v>
      </c>
      <c r="I596" s="8"/>
      <c r="J596" s="10"/>
      <c r="AW596" s="15" t="s">
        <v>128</v>
      </c>
      <c r="AX596" s="15" t="s">
        <v>1887</v>
      </c>
      <c r="BH596" s="15" t="s">
        <v>191</v>
      </c>
      <c r="BI596" s="15" t="s">
        <v>468</v>
      </c>
      <c r="BJ596" s="15" t="s">
        <v>467</v>
      </c>
      <c r="BR596" s="15" t="s">
        <v>272</v>
      </c>
      <c r="BS596" s="15" t="s">
        <v>193</v>
      </c>
      <c r="CW596" s="10">
        <v>2</v>
      </c>
      <c r="CX596" s="15" t="s">
        <v>2101</v>
      </c>
    </row>
    <row r="597" spans="1:102" s="15" customFormat="1" x14ac:dyDescent="0.3">
      <c r="A597" s="11" t="s">
        <v>126</v>
      </c>
      <c r="B597" s="10" t="s">
        <v>2102</v>
      </c>
      <c r="C597" s="12" t="s">
        <v>2112</v>
      </c>
      <c r="D597" s="10">
        <v>12</v>
      </c>
      <c r="E597" s="13">
        <v>1000000</v>
      </c>
      <c r="F597" s="14" t="s">
        <v>1893</v>
      </c>
      <c r="G597" s="14" t="s">
        <v>1894</v>
      </c>
      <c r="H597" s="15" t="s">
        <v>2103</v>
      </c>
      <c r="I597" s="8"/>
      <c r="J597" s="10"/>
      <c r="AV597" s="15" t="s">
        <v>1896</v>
      </c>
      <c r="AW597" s="15" t="s">
        <v>1897</v>
      </c>
      <c r="AX597" s="15" t="s">
        <v>191</v>
      </c>
      <c r="AY597" s="15" t="s">
        <v>468</v>
      </c>
      <c r="AZ597" s="15" t="s">
        <v>467</v>
      </c>
      <c r="BH597" s="15" t="s">
        <v>184</v>
      </c>
      <c r="BI597" s="15" t="s">
        <v>185</v>
      </c>
      <c r="BJ597" s="15" t="s">
        <v>186</v>
      </c>
      <c r="BK597" s="15" t="s">
        <v>187</v>
      </c>
      <c r="BL597" s="15" t="s">
        <v>188</v>
      </c>
      <c r="BM597" s="15" t="s">
        <v>189</v>
      </c>
      <c r="BN597" s="15" t="s">
        <v>190</v>
      </c>
      <c r="BO597" s="15" t="s">
        <v>191</v>
      </c>
      <c r="BR597" s="15" t="s">
        <v>192</v>
      </c>
      <c r="BS597" s="15" t="s">
        <v>193</v>
      </c>
      <c r="BT597" s="15" t="s">
        <v>194</v>
      </c>
      <c r="BU597" s="15" t="s">
        <v>195</v>
      </c>
      <c r="BV597" s="15" t="s">
        <v>196</v>
      </c>
      <c r="CB597" s="15" t="s">
        <v>129</v>
      </c>
      <c r="CC597" s="15">
        <v>1</v>
      </c>
      <c r="CM597" s="15" t="s">
        <v>2104</v>
      </c>
      <c r="CN597" s="15" t="s">
        <v>1899</v>
      </c>
      <c r="CW597" s="10">
        <v>2</v>
      </c>
      <c r="CX597" s="15" t="s">
        <v>2105</v>
      </c>
    </row>
    <row r="598" spans="1:102" s="15" customFormat="1" x14ac:dyDescent="0.3">
      <c r="A598" s="11" t="s">
        <v>126</v>
      </c>
      <c r="B598" s="10" t="s">
        <v>2106</v>
      </c>
      <c r="C598" s="12" t="s">
        <v>2107</v>
      </c>
      <c r="D598" s="10">
        <v>12</v>
      </c>
      <c r="E598" s="13">
        <v>1000000</v>
      </c>
      <c r="F598" s="14" t="s">
        <v>1894</v>
      </c>
      <c r="G598" s="14" t="s">
        <v>1894</v>
      </c>
      <c r="H598" s="15" t="s">
        <v>2108</v>
      </c>
      <c r="I598" s="8"/>
      <c r="J598" s="10"/>
      <c r="AW598" s="15" t="s">
        <v>128</v>
      </c>
      <c r="AX598" s="15" t="s">
        <v>191</v>
      </c>
      <c r="AY598" s="15" t="s">
        <v>468</v>
      </c>
      <c r="AZ598" s="15" t="s">
        <v>467</v>
      </c>
      <c r="BH598" s="15" t="s">
        <v>184</v>
      </c>
      <c r="BI598" s="15" t="s">
        <v>185</v>
      </c>
      <c r="BJ598" s="15" t="s">
        <v>186</v>
      </c>
      <c r="BK598" s="15" t="s">
        <v>187</v>
      </c>
      <c r="BL598" s="15" t="s">
        <v>188</v>
      </c>
      <c r="BM598" s="15" t="s">
        <v>189</v>
      </c>
      <c r="BN598" s="15" t="s">
        <v>190</v>
      </c>
      <c r="BO598" s="15" t="s">
        <v>191</v>
      </c>
      <c r="BR598" s="15" t="s">
        <v>192</v>
      </c>
      <c r="BS598" s="15" t="s">
        <v>193</v>
      </c>
      <c r="BT598" s="15" t="s">
        <v>194</v>
      </c>
      <c r="BU598" s="15" t="s">
        <v>195</v>
      </c>
      <c r="BV598" s="15" t="s">
        <v>196</v>
      </c>
      <c r="CC598" s="15">
        <v>1</v>
      </c>
      <c r="CM598" s="15" t="s">
        <v>2109</v>
      </c>
      <c r="CW598" s="10">
        <v>2</v>
      </c>
      <c r="CX598" s="15" t="s">
        <v>2110</v>
      </c>
    </row>
    <row r="599" spans="1:102" s="15" customFormat="1" x14ac:dyDescent="0.3">
      <c r="A599" s="11" t="s">
        <v>126</v>
      </c>
      <c r="B599" s="10" t="s">
        <v>2111</v>
      </c>
      <c r="C599" s="12" t="s">
        <v>2112</v>
      </c>
      <c r="D599" s="10">
        <v>12</v>
      </c>
      <c r="E599" s="13">
        <v>1000000</v>
      </c>
      <c r="F599" s="14" t="s">
        <v>1894</v>
      </c>
      <c r="G599" s="14" t="s">
        <v>1894</v>
      </c>
      <c r="H599" s="15" t="s">
        <v>2108</v>
      </c>
      <c r="I599" s="8"/>
      <c r="J599" s="10"/>
      <c r="AW599" s="15" t="s">
        <v>128</v>
      </c>
      <c r="AX599" s="15" t="s">
        <v>191</v>
      </c>
      <c r="AY599" s="15" t="s">
        <v>468</v>
      </c>
      <c r="AZ599" s="15" t="s">
        <v>467</v>
      </c>
      <c r="BH599" s="15" t="s">
        <v>184</v>
      </c>
      <c r="BI599" s="15" t="s">
        <v>185</v>
      </c>
      <c r="BJ599" s="15" t="s">
        <v>186</v>
      </c>
      <c r="BK599" s="15" t="s">
        <v>187</v>
      </c>
      <c r="BL599" s="15" t="s">
        <v>188</v>
      </c>
      <c r="BM599" s="15" t="s">
        <v>189</v>
      </c>
      <c r="BN599" s="15" t="s">
        <v>190</v>
      </c>
      <c r="BO599" s="15" t="s">
        <v>191</v>
      </c>
      <c r="BR599" s="15" t="s">
        <v>192</v>
      </c>
      <c r="BS599" s="15" t="s">
        <v>193</v>
      </c>
      <c r="BT599" s="15" t="s">
        <v>194</v>
      </c>
      <c r="BU599" s="15" t="s">
        <v>195</v>
      </c>
      <c r="BV599" s="15" t="s">
        <v>196</v>
      </c>
      <c r="CC599" s="15">
        <v>1</v>
      </c>
      <c r="CM599" s="15" t="s">
        <v>2109</v>
      </c>
      <c r="CW599" s="10">
        <v>2</v>
      </c>
      <c r="CX599" s="15" t="s">
        <v>2113</v>
      </c>
    </row>
    <row r="600" spans="1:102" s="15" customFormat="1" x14ac:dyDescent="0.3">
      <c r="A600" s="11" t="s">
        <v>126</v>
      </c>
      <c r="B600" s="10" t="s">
        <v>2114</v>
      </c>
      <c r="C600" s="12" t="s">
        <v>2117</v>
      </c>
      <c r="D600" s="10">
        <v>12</v>
      </c>
      <c r="E600" s="13">
        <v>1000000</v>
      </c>
      <c r="F600" s="14">
        <v>1</v>
      </c>
      <c r="G600" s="14">
        <v>1</v>
      </c>
      <c r="H600" s="15" t="s">
        <v>1907</v>
      </c>
      <c r="I600" s="8"/>
      <c r="J600" s="10"/>
      <c r="AW600" s="15" t="s">
        <v>128</v>
      </c>
      <c r="AX600" s="15" t="s">
        <v>1908</v>
      </c>
      <c r="BH600" s="15" t="s">
        <v>191</v>
      </c>
      <c r="BI600" s="15" t="s">
        <v>468</v>
      </c>
      <c r="BJ600" s="15" t="s">
        <v>467</v>
      </c>
      <c r="BR600" s="15" t="s">
        <v>272</v>
      </c>
      <c r="BS600" s="15" t="s">
        <v>193</v>
      </c>
      <c r="CW600" s="10">
        <v>2</v>
      </c>
      <c r="CX600" s="15" t="s">
        <v>2115</v>
      </c>
    </row>
    <row r="601" spans="1:102" s="15" customFormat="1" x14ac:dyDescent="0.3">
      <c r="A601" s="11" t="s">
        <v>126</v>
      </c>
      <c r="B601" s="10" t="s">
        <v>2116</v>
      </c>
      <c r="C601" s="12" t="s">
        <v>2117</v>
      </c>
      <c r="D601" s="10">
        <v>12</v>
      </c>
      <c r="E601" s="13">
        <v>1000000</v>
      </c>
      <c r="F601" s="14">
        <v>1</v>
      </c>
      <c r="G601" s="14">
        <v>1</v>
      </c>
      <c r="H601" s="15" t="s">
        <v>1907</v>
      </c>
      <c r="I601" s="8"/>
      <c r="J601" s="10"/>
      <c r="AW601" s="15" t="s">
        <v>128</v>
      </c>
      <c r="AX601" s="15" t="s">
        <v>1908</v>
      </c>
      <c r="BH601" s="15" t="s">
        <v>191</v>
      </c>
      <c r="BI601" s="15" t="s">
        <v>468</v>
      </c>
      <c r="BJ601" s="15" t="s">
        <v>467</v>
      </c>
      <c r="BR601" s="15" t="s">
        <v>272</v>
      </c>
      <c r="BS601" s="15" t="s">
        <v>193</v>
      </c>
      <c r="CW601" s="10">
        <v>2</v>
      </c>
      <c r="CX601" s="15" t="s">
        <v>2118</v>
      </c>
    </row>
    <row r="602" spans="1:102" s="15" customFormat="1" x14ac:dyDescent="0.3">
      <c r="A602" s="11" t="s">
        <v>126</v>
      </c>
      <c r="B602" s="10" t="s">
        <v>2119</v>
      </c>
      <c r="C602" s="12" t="s">
        <v>2127</v>
      </c>
      <c r="D602" s="10">
        <v>12</v>
      </c>
      <c r="E602" s="13">
        <v>1000000</v>
      </c>
      <c r="F602" s="14" t="s">
        <v>1893</v>
      </c>
      <c r="G602" s="14" t="s">
        <v>1894</v>
      </c>
      <c r="H602" s="15" t="s">
        <v>2103</v>
      </c>
      <c r="I602" s="8"/>
      <c r="J602" s="10"/>
      <c r="AV602" s="15" t="s">
        <v>1896</v>
      </c>
      <c r="AW602" s="15" t="s">
        <v>1897</v>
      </c>
      <c r="AX602" s="15" t="s">
        <v>191</v>
      </c>
      <c r="AY602" s="15" t="s">
        <v>468</v>
      </c>
      <c r="AZ602" s="15" t="s">
        <v>467</v>
      </c>
      <c r="BH602" s="15" t="s">
        <v>184</v>
      </c>
      <c r="BI602" s="15" t="s">
        <v>185</v>
      </c>
      <c r="BJ602" s="15" t="s">
        <v>186</v>
      </c>
      <c r="BK602" s="15" t="s">
        <v>187</v>
      </c>
      <c r="BL602" s="15" t="s">
        <v>188</v>
      </c>
      <c r="BM602" s="15" t="s">
        <v>189</v>
      </c>
      <c r="BN602" s="15" t="s">
        <v>190</v>
      </c>
      <c r="BO602" s="15" t="s">
        <v>191</v>
      </c>
      <c r="BR602" s="15" t="s">
        <v>192</v>
      </c>
      <c r="BS602" s="15" t="s">
        <v>193</v>
      </c>
      <c r="BT602" s="15" t="s">
        <v>194</v>
      </c>
      <c r="BU602" s="15" t="s">
        <v>195</v>
      </c>
      <c r="BV602" s="15" t="s">
        <v>196</v>
      </c>
      <c r="CB602" s="15" t="s">
        <v>129</v>
      </c>
      <c r="CC602" s="15">
        <v>1</v>
      </c>
      <c r="CM602" s="15" t="s">
        <v>2120</v>
      </c>
      <c r="CN602" s="15" t="s">
        <v>1899</v>
      </c>
      <c r="CW602" s="10">
        <v>2</v>
      </c>
      <c r="CX602" s="15" t="s">
        <v>2121</v>
      </c>
    </row>
    <row r="603" spans="1:102" s="15" customFormat="1" x14ac:dyDescent="0.3">
      <c r="A603" s="11" t="s">
        <v>126</v>
      </c>
      <c r="B603" s="10" t="s">
        <v>2122</v>
      </c>
      <c r="C603" s="12" t="s">
        <v>2123</v>
      </c>
      <c r="D603" s="10">
        <v>12</v>
      </c>
      <c r="E603" s="13">
        <v>1000000</v>
      </c>
      <c r="F603" s="14" t="s">
        <v>1894</v>
      </c>
      <c r="G603" s="14" t="s">
        <v>1894</v>
      </c>
      <c r="H603" s="15" t="s">
        <v>2108</v>
      </c>
      <c r="I603" s="8"/>
      <c r="J603" s="10"/>
      <c r="AW603" s="15" t="s">
        <v>128</v>
      </c>
      <c r="AX603" s="15" t="s">
        <v>191</v>
      </c>
      <c r="AY603" s="15" t="s">
        <v>468</v>
      </c>
      <c r="AZ603" s="15" t="s">
        <v>467</v>
      </c>
      <c r="BH603" s="15" t="s">
        <v>184</v>
      </c>
      <c r="BI603" s="15" t="s">
        <v>185</v>
      </c>
      <c r="BJ603" s="15" t="s">
        <v>186</v>
      </c>
      <c r="BK603" s="15" t="s">
        <v>187</v>
      </c>
      <c r="BL603" s="15" t="s">
        <v>188</v>
      </c>
      <c r="BM603" s="15" t="s">
        <v>189</v>
      </c>
      <c r="BN603" s="15" t="s">
        <v>190</v>
      </c>
      <c r="BO603" s="15" t="s">
        <v>191</v>
      </c>
      <c r="BR603" s="15" t="s">
        <v>192</v>
      </c>
      <c r="BS603" s="15" t="s">
        <v>193</v>
      </c>
      <c r="BT603" s="15" t="s">
        <v>194</v>
      </c>
      <c r="BU603" s="15" t="s">
        <v>195</v>
      </c>
      <c r="BV603" s="15" t="s">
        <v>196</v>
      </c>
      <c r="CC603" s="15">
        <v>1</v>
      </c>
      <c r="CM603" s="15" t="s">
        <v>2124</v>
      </c>
      <c r="CW603" s="10">
        <v>2</v>
      </c>
      <c r="CX603" s="15" t="s">
        <v>2125</v>
      </c>
    </row>
    <row r="604" spans="1:102" s="15" customFormat="1" x14ac:dyDescent="0.3">
      <c r="A604" s="11" t="s">
        <v>126</v>
      </c>
      <c r="B604" s="10" t="s">
        <v>2126</v>
      </c>
      <c r="C604" s="12" t="s">
        <v>2127</v>
      </c>
      <c r="D604" s="10">
        <v>12</v>
      </c>
      <c r="E604" s="13">
        <v>1000000</v>
      </c>
      <c r="F604" s="14" t="s">
        <v>1894</v>
      </c>
      <c r="G604" s="14" t="s">
        <v>1894</v>
      </c>
      <c r="H604" s="15" t="s">
        <v>2108</v>
      </c>
      <c r="I604" s="8"/>
      <c r="J604" s="10"/>
      <c r="AW604" s="15" t="s">
        <v>128</v>
      </c>
      <c r="AX604" s="15" t="s">
        <v>191</v>
      </c>
      <c r="AY604" s="15" t="s">
        <v>468</v>
      </c>
      <c r="AZ604" s="15" t="s">
        <v>467</v>
      </c>
      <c r="BH604" s="15" t="s">
        <v>184</v>
      </c>
      <c r="BI604" s="15" t="s">
        <v>185</v>
      </c>
      <c r="BJ604" s="15" t="s">
        <v>186</v>
      </c>
      <c r="BK604" s="15" t="s">
        <v>187</v>
      </c>
      <c r="BL604" s="15" t="s">
        <v>188</v>
      </c>
      <c r="BM604" s="15" t="s">
        <v>189</v>
      </c>
      <c r="BN604" s="15" t="s">
        <v>190</v>
      </c>
      <c r="BO604" s="15" t="s">
        <v>191</v>
      </c>
      <c r="BR604" s="15" t="s">
        <v>192</v>
      </c>
      <c r="BS604" s="15" t="s">
        <v>193</v>
      </c>
      <c r="BT604" s="15" t="s">
        <v>194</v>
      </c>
      <c r="BU604" s="15" t="s">
        <v>195</v>
      </c>
      <c r="BV604" s="15" t="s">
        <v>196</v>
      </c>
      <c r="CC604" s="15">
        <v>1</v>
      </c>
      <c r="CM604" s="15" t="s">
        <v>2124</v>
      </c>
      <c r="CW604" s="10">
        <v>2</v>
      </c>
      <c r="CX604" s="15" t="s">
        <v>2128</v>
      </c>
    </row>
    <row r="605" spans="1:102" s="15" customFormat="1" x14ac:dyDescent="0.3">
      <c r="A605" s="11" t="s">
        <v>126</v>
      </c>
      <c r="B605" s="10" t="s">
        <v>2129</v>
      </c>
      <c r="C605" s="12" t="s">
        <v>2132</v>
      </c>
      <c r="D605" s="10">
        <v>12</v>
      </c>
      <c r="E605" s="13">
        <v>1000000</v>
      </c>
      <c r="F605" s="14">
        <v>1</v>
      </c>
      <c r="G605" s="14">
        <v>1</v>
      </c>
      <c r="H605" s="15" t="s">
        <v>1907</v>
      </c>
      <c r="I605" s="8"/>
      <c r="J605" s="10"/>
      <c r="AW605" s="15" t="s">
        <v>128</v>
      </c>
      <c r="AX605" s="15" t="s">
        <v>1921</v>
      </c>
      <c r="BH605" s="15" t="s">
        <v>191</v>
      </c>
      <c r="BI605" s="15" t="s">
        <v>468</v>
      </c>
      <c r="BJ605" s="15" t="s">
        <v>467</v>
      </c>
      <c r="BR605" s="15" t="s">
        <v>272</v>
      </c>
      <c r="BS605" s="15" t="s">
        <v>193</v>
      </c>
      <c r="CW605" s="10">
        <v>2</v>
      </c>
      <c r="CX605" s="15" t="s">
        <v>2130</v>
      </c>
    </row>
    <row r="606" spans="1:102" s="15" customFormat="1" x14ac:dyDescent="0.3">
      <c r="A606" s="11" t="s">
        <v>126</v>
      </c>
      <c r="B606" s="10" t="s">
        <v>2131</v>
      </c>
      <c r="C606" s="12" t="s">
        <v>2132</v>
      </c>
      <c r="D606" s="10">
        <v>12</v>
      </c>
      <c r="E606" s="13">
        <v>1000000</v>
      </c>
      <c r="F606" s="14">
        <v>1</v>
      </c>
      <c r="G606" s="14">
        <v>1</v>
      </c>
      <c r="H606" s="15" t="s">
        <v>1907</v>
      </c>
      <c r="I606" s="8"/>
      <c r="J606" s="10"/>
      <c r="AW606" s="15" t="s">
        <v>128</v>
      </c>
      <c r="AX606" s="15" t="s">
        <v>1921</v>
      </c>
      <c r="BH606" s="15" t="s">
        <v>191</v>
      </c>
      <c r="BI606" s="15" t="s">
        <v>468</v>
      </c>
      <c r="BJ606" s="15" t="s">
        <v>467</v>
      </c>
      <c r="BR606" s="15" t="s">
        <v>272</v>
      </c>
      <c r="BS606" s="15" t="s">
        <v>193</v>
      </c>
      <c r="CW606" s="10">
        <v>2</v>
      </c>
      <c r="CX606" s="15" t="s">
        <v>2133</v>
      </c>
    </row>
    <row r="607" spans="1:102" s="15" customFormat="1" x14ac:dyDescent="0.3">
      <c r="A607" s="11" t="s">
        <v>126</v>
      </c>
      <c r="B607" s="10" t="s">
        <v>2134</v>
      </c>
      <c r="C607" s="12" t="s">
        <v>2142</v>
      </c>
      <c r="D607" s="10">
        <v>12</v>
      </c>
      <c r="E607" s="13">
        <v>1000000</v>
      </c>
      <c r="F607" s="14" t="s">
        <v>1893</v>
      </c>
      <c r="G607" s="14" t="s">
        <v>1894</v>
      </c>
      <c r="H607" s="15" t="s">
        <v>2103</v>
      </c>
      <c r="I607" s="8"/>
      <c r="J607" s="10"/>
      <c r="AV607" s="15" t="s">
        <v>1896</v>
      </c>
      <c r="AW607" s="15" t="s">
        <v>1897</v>
      </c>
      <c r="AX607" s="15" t="s">
        <v>191</v>
      </c>
      <c r="AY607" s="15" t="s">
        <v>468</v>
      </c>
      <c r="AZ607" s="15" t="s">
        <v>467</v>
      </c>
      <c r="BH607" s="15" t="s">
        <v>184</v>
      </c>
      <c r="BI607" s="15" t="s">
        <v>185</v>
      </c>
      <c r="BJ607" s="15" t="s">
        <v>186</v>
      </c>
      <c r="BK607" s="15" t="s">
        <v>187</v>
      </c>
      <c r="BL607" s="15" t="s">
        <v>188</v>
      </c>
      <c r="BM607" s="15" t="s">
        <v>189</v>
      </c>
      <c r="BN607" s="15" t="s">
        <v>190</v>
      </c>
      <c r="BO607" s="15" t="s">
        <v>191</v>
      </c>
      <c r="BR607" s="15" t="s">
        <v>192</v>
      </c>
      <c r="BS607" s="15" t="s">
        <v>193</v>
      </c>
      <c r="BT607" s="15" t="s">
        <v>194</v>
      </c>
      <c r="BU607" s="15" t="s">
        <v>195</v>
      </c>
      <c r="BV607" s="15" t="s">
        <v>196</v>
      </c>
      <c r="CB607" s="15" t="s">
        <v>129</v>
      </c>
      <c r="CC607" s="15">
        <v>1</v>
      </c>
      <c r="CM607" s="15" t="s">
        <v>2135</v>
      </c>
      <c r="CN607" s="15" t="s">
        <v>1899</v>
      </c>
      <c r="CW607" s="10">
        <v>2</v>
      </c>
      <c r="CX607" s="15" t="s">
        <v>2136</v>
      </c>
    </row>
    <row r="608" spans="1:102" s="15" customFormat="1" x14ac:dyDescent="0.3">
      <c r="A608" s="11" t="s">
        <v>126</v>
      </c>
      <c r="B608" s="10" t="s">
        <v>2137</v>
      </c>
      <c r="C608" s="12" t="s">
        <v>2138</v>
      </c>
      <c r="D608" s="10">
        <v>12</v>
      </c>
      <c r="E608" s="13">
        <v>1000000</v>
      </c>
      <c r="F608" s="14" t="s">
        <v>1894</v>
      </c>
      <c r="G608" s="14" t="s">
        <v>1894</v>
      </c>
      <c r="H608" s="15" t="s">
        <v>2108</v>
      </c>
      <c r="I608" s="8"/>
      <c r="J608" s="10"/>
      <c r="AW608" s="15" t="s">
        <v>128</v>
      </c>
      <c r="AX608" s="15" t="s">
        <v>191</v>
      </c>
      <c r="AY608" s="15" t="s">
        <v>468</v>
      </c>
      <c r="AZ608" s="15" t="s">
        <v>467</v>
      </c>
      <c r="BH608" s="15" t="s">
        <v>184</v>
      </c>
      <c r="BI608" s="15" t="s">
        <v>185</v>
      </c>
      <c r="BJ608" s="15" t="s">
        <v>186</v>
      </c>
      <c r="BK608" s="15" t="s">
        <v>187</v>
      </c>
      <c r="BL608" s="15" t="s">
        <v>188</v>
      </c>
      <c r="BM608" s="15" t="s">
        <v>189</v>
      </c>
      <c r="BN608" s="15" t="s">
        <v>190</v>
      </c>
      <c r="BO608" s="15" t="s">
        <v>191</v>
      </c>
      <c r="BR608" s="15" t="s">
        <v>192</v>
      </c>
      <c r="BS608" s="15" t="s">
        <v>193</v>
      </c>
      <c r="BT608" s="15" t="s">
        <v>194</v>
      </c>
      <c r="BU608" s="15" t="s">
        <v>195</v>
      </c>
      <c r="BV608" s="15" t="s">
        <v>196</v>
      </c>
      <c r="CC608" s="15">
        <v>1</v>
      </c>
      <c r="CM608" s="15" t="s">
        <v>2139</v>
      </c>
      <c r="CW608" s="10">
        <v>2</v>
      </c>
      <c r="CX608" s="15" t="s">
        <v>2140</v>
      </c>
    </row>
    <row r="609" spans="1:102" s="15" customFormat="1" x14ac:dyDescent="0.3">
      <c r="A609" s="11" t="s">
        <v>126</v>
      </c>
      <c r="B609" s="10" t="s">
        <v>2141</v>
      </c>
      <c r="C609" s="12" t="s">
        <v>2142</v>
      </c>
      <c r="D609" s="10">
        <v>12</v>
      </c>
      <c r="E609" s="13">
        <v>1000000</v>
      </c>
      <c r="F609" s="14" t="s">
        <v>1894</v>
      </c>
      <c r="G609" s="14" t="s">
        <v>1894</v>
      </c>
      <c r="H609" s="15" t="s">
        <v>2108</v>
      </c>
      <c r="I609" s="8"/>
      <c r="J609" s="10"/>
      <c r="AW609" s="15" t="s">
        <v>128</v>
      </c>
      <c r="AX609" s="15" t="s">
        <v>191</v>
      </c>
      <c r="AY609" s="15" t="s">
        <v>468</v>
      </c>
      <c r="AZ609" s="15" t="s">
        <v>467</v>
      </c>
      <c r="BH609" s="15" t="s">
        <v>184</v>
      </c>
      <c r="BI609" s="15" t="s">
        <v>185</v>
      </c>
      <c r="BJ609" s="15" t="s">
        <v>186</v>
      </c>
      <c r="BK609" s="15" t="s">
        <v>187</v>
      </c>
      <c r="BL609" s="15" t="s">
        <v>188</v>
      </c>
      <c r="BM609" s="15" t="s">
        <v>189</v>
      </c>
      <c r="BN609" s="15" t="s">
        <v>190</v>
      </c>
      <c r="BO609" s="15" t="s">
        <v>191</v>
      </c>
      <c r="BR609" s="15" t="s">
        <v>192</v>
      </c>
      <c r="BS609" s="15" t="s">
        <v>193</v>
      </c>
      <c r="BT609" s="15" t="s">
        <v>194</v>
      </c>
      <c r="BU609" s="15" t="s">
        <v>195</v>
      </c>
      <c r="BV609" s="15" t="s">
        <v>196</v>
      </c>
      <c r="CC609" s="15">
        <v>1</v>
      </c>
      <c r="CM609" s="15" t="s">
        <v>2139</v>
      </c>
      <c r="CW609" s="10">
        <v>2</v>
      </c>
      <c r="CX609" s="15" t="s">
        <v>2143</v>
      </c>
    </row>
    <row r="610" spans="1:102" s="15" customFormat="1" x14ac:dyDescent="0.3">
      <c r="A610" s="11" t="s">
        <v>126</v>
      </c>
      <c r="B610" s="10" t="s">
        <v>2144</v>
      </c>
      <c r="C610" s="12" t="s">
        <v>2147</v>
      </c>
      <c r="D610" s="10">
        <v>12</v>
      </c>
      <c r="E610" s="13">
        <v>1000000</v>
      </c>
      <c r="F610" s="14">
        <v>1</v>
      </c>
      <c r="G610" s="14">
        <v>1</v>
      </c>
      <c r="H610" s="15" t="s">
        <v>1907</v>
      </c>
      <c r="I610" s="8"/>
      <c r="J610" s="10"/>
      <c r="AW610" s="15" t="s">
        <v>128</v>
      </c>
      <c r="AX610" s="15" t="s">
        <v>1934</v>
      </c>
      <c r="BH610" s="15" t="s">
        <v>191</v>
      </c>
      <c r="BI610" s="15" t="s">
        <v>468</v>
      </c>
      <c r="BJ610" s="15" t="s">
        <v>467</v>
      </c>
      <c r="BR610" s="15" t="s">
        <v>272</v>
      </c>
      <c r="BS610" s="15" t="s">
        <v>193</v>
      </c>
      <c r="CW610" s="10">
        <v>2</v>
      </c>
      <c r="CX610" s="15" t="s">
        <v>2145</v>
      </c>
    </row>
    <row r="611" spans="1:102" s="15" customFormat="1" x14ac:dyDescent="0.3">
      <c r="A611" s="11" t="s">
        <v>126</v>
      </c>
      <c r="B611" s="10" t="s">
        <v>2146</v>
      </c>
      <c r="C611" s="12" t="s">
        <v>2147</v>
      </c>
      <c r="D611" s="10">
        <v>12</v>
      </c>
      <c r="E611" s="13">
        <v>1000000</v>
      </c>
      <c r="F611" s="14">
        <v>1</v>
      </c>
      <c r="G611" s="14">
        <v>1</v>
      </c>
      <c r="H611" s="15" t="s">
        <v>1907</v>
      </c>
      <c r="I611" s="8"/>
      <c r="J611" s="10"/>
      <c r="AW611" s="15" t="s">
        <v>128</v>
      </c>
      <c r="AX611" s="15" t="s">
        <v>1934</v>
      </c>
      <c r="BH611" s="15" t="s">
        <v>191</v>
      </c>
      <c r="BI611" s="15" t="s">
        <v>468</v>
      </c>
      <c r="BJ611" s="15" t="s">
        <v>467</v>
      </c>
      <c r="BR611" s="15" t="s">
        <v>272</v>
      </c>
      <c r="BS611" s="15" t="s">
        <v>193</v>
      </c>
      <c r="CW611" s="10">
        <v>2</v>
      </c>
      <c r="CX611" s="15" t="s">
        <v>2148</v>
      </c>
    </row>
    <row r="612" spans="1:102" s="15" customFormat="1" x14ac:dyDescent="0.3">
      <c r="A612" s="11" t="s">
        <v>126</v>
      </c>
      <c r="B612" s="10" t="s">
        <v>2149</v>
      </c>
      <c r="C612" s="12" t="s">
        <v>2157</v>
      </c>
      <c r="D612" s="10">
        <v>12</v>
      </c>
      <c r="E612" s="13">
        <v>1000000</v>
      </c>
      <c r="F612" s="14" t="s">
        <v>1893</v>
      </c>
      <c r="G612" s="14" t="s">
        <v>1894</v>
      </c>
      <c r="H612" s="15" t="s">
        <v>2103</v>
      </c>
      <c r="I612" s="8"/>
      <c r="J612" s="10"/>
      <c r="AV612" s="15" t="s">
        <v>1896</v>
      </c>
      <c r="AW612" s="15" t="s">
        <v>1897</v>
      </c>
      <c r="AX612" s="15" t="s">
        <v>191</v>
      </c>
      <c r="AY612" s="15" t="s">
        <v>468</v>
      </c>
      <c r="AZ612" s="15" t="s">
        <v>467</v>
      </c>
      <c r="BH612" s="15" t="s">
        <v>184</v>
      </c>
      <c r="BI612" s="15" t="s">
        <v>185</v>
      </c>
      <c r="BJ612" s="15" t="s">
        <v>186</v>
      </c>
      <c r="BK612" s="15" t="s">
        <v>187</v>
      </c>
      <c r="BL612" s="15" t="s">
        <v>188</v>
      </c>
      <c r="BM612" s="15" t="s">
        <v>189</v>
      </c>
      <c r="BN612" s="15" t="s">
        <v>190</v>
      </c>
      <c r="BO612" s="15" t="s">
        <v>191</v>
      </c>
      <c r="BR612" s="15" t="s">
        <v>192</v>
      </c>
      <c r="BS612" s="15" t="s">
        <v>193</v>
      </c>
      <c r="BT612" s="15" t="s">
        <v>194</v>
      </c>
      <c r="BU612" s="15" t="s">
        <v>195</v>
      </c>
      <c r="BV612" s="15" t="s">
        <v>196</v>
      </c>
      <c r="CB612" s="15" t="s">
        <v>129</v>
      </c>
      <c r="CC612" s="15">
        <v>1</v>
      </c>
      <c r="CM612" s="15" t="s">
        <v>2150</v>
      </c>
      <c r="CN612" s="15" t="s">
        <v>1899</v>
      </c>
      <c r="CW612" s="10">
        <v>2</v>
      </c>
      <c r="CX612" s="15" t="s">
        <v>2151</v>
      </c>
    </row>
    <row r="613" spans="1:102" s="15" customFormat="1" x14ac:dyDescent="0.3">
      <c r="A613" s="11" t="s">
        <v>126</v>
      </c>
      <c r="B613" s="10" t="s">
        <v>2152</v>
      </c>
      <c r="C613" s="12" t="s">
        <v>2153</v>
      </c>
      <c r="D613" s="10">
        <v>12</v>
      </c>
      <c r="E613" s="13">
        <v>1000000</v>
      </c>
      <c r="F613" s="14" t="s">
        <v>1894</v>
      </c>
      <c r="G613" s="14" t="s">
        <v>1894</v>
      </c>
      <c r="H613" s="15" t="s">
        <v>2108</v>
      </c>
      <c r="I613" s="8"/>
      <c r="J613" s="10"/>
      <c r="AW613" s="15" t="s">
        <v>128</v>
      </c>
      <c r="AX613" s="15" t="s">
        <v>191</v>
      </c>
      <c r="AY613" s="15" t="s">
        <v>468</v>
      </c>
      <c r="AZ613" s="15" t="s">
        <v>467</v>
      </c>
      <c r="BH613" s="15" t="s">
        <v>184</v>
      </c>
      <c r="BI613" s="15" t="s">
        <v>185</v>
      </c>
      <c r="BJ613" s="15" t="s">
        <v>186</v>
      </c>
      <c r="BK613" s="15" t="s">
        <v>187</v>
      </c>
      <c r="BL613" s="15" t="s">
        <v>188</v>
      </c>
      <c r="BM613" s="15" t="s">
        <v>189</v>
      </c>
      <c r="BN613" s="15" t="s">
        <v>190</v>
      </c>
      <c r="BO613" s="15" t="s">
        <v>191</v>
      </c>
      <c r="BR613" s="15" t="s">
        <v>192</v>
      </c>
      <c r="BS613" s="15" t="s">
        <v>193</v>
      </c>
      <c r="BT613" s="15" t="s">
        <v>194</v>
      </c>
      <c r="BU613" s="15" t="s">
        <v>195</v>
      </c>
      <c r="BV613" s="15" t="s">
        <v>196</v>
      </c>
      <c r="CC613" s="15">
        <v>1</v>
      </c>
      <c r="CM613" s="15" t="s">
        <v>2154</v>
      </c>
      <c r="CW613" s="10">
        <v>2</v>
      </c>
      <c r="CX613" s="15" t="s">
        <v>2155</v>
      </c>
    </row>
    <row r="614" spans="1:102" s="15" customFormat="1" x14ac:dyDescent="0.3">
      <c r="A614" s="11" t="s">
        <v>126</v>
      </c>
      <c r="B614" s="10" t="s">
        <v>2156</v>
      </c>
      <c r="C614" s="12" t="s">
        <v>2157</v>
      </c>
      <c r="D614" s="10">
        <v>12</v>
      </c>
      <c r="E614" s="13">
        <v>1000000</v>
      </c>
      <c r="F614" s="14" t="s">
        <v>1894</v>
      </c>
      <c r="G614" s="14" t="s">
        <v>1894</v>
      </c>
      <c r="H614" s="15" t="s">
        <v>2108</v>
      </c>
      <c r="I614" s="8"/>
      <c r="J614" s="10"/>
      <c r="AW614" s="15" t="s">
        <v>128</v>
      </c>
      <c r="AX614" s="15" t="s">
        <v>191</v>
      </c>
      <c r="AY614" s="15" t="s">
        <v>468</v>
      </c>
      <c r="AZ614" s="15" t="s">
        <v>467</v>
      </c>
      <c r="BH614" s="15" t="s">
        <v>184</v>
      </c>
      <c r="BI614" s="15" t="s">
        <v>185</v>
      </c>
      <c r="BJ614" s="15" t="s">
        <v>186</v>
      </c>
      <c r="BK614" s="15" t="s">
        <v>187</v>
      </c>
      <c r="BL614" s="15" t="s">
        <v>188</v>
      </c>
      <c r="BM614" s="15" t="s">
        <v>189</v>
      </c>
      <c r="BN614" s="15" t="s">
        <v>190</v>
      </c>
      <c r="BO614" s="15" t="s">
        <v>191</v>
      </c>
      <c r="BR614" s="15" t="s">
        <v>192</v>
      </c>
      <c r="BS614" s="15" t="s">
        <v>193</v>
      </c>
      <c r="BT614" s="15" t="s">
        <v>194</v>
      </c>
      <c r="BU614" s="15" t="s">
        <v>195</v>
      </c>
      <c r="BV614" s="15" t="s">
        <v>196</v>
      </c>
      <c r="CC614" s="15">
        <v>1</v>
      </c>
      <c r="CM614" s="15" t="s">
        <v>2154</v>
      </c>
      <c r="CW614" s="10">
        <v>2</v>
      </c>
      <c r="CX614" s="15" t="s">
        <v>2158</v>
      </c>
    </row>
    <row r="615" spans="1:102" s="15" customFormat="1" x14ac:dyDescent="0.3">
      <c r="A615" s="11" t="s">
        <v>126</v>
      </c>
      <c r="B615" s="10" t="s">
        <v>2159</v>
      </c>
      <c r="C615" s="12" t="s">
        <v>2162</v>
      </c>
      <c r="D615" s="10">
        <v>12</v>
      </c>
      <c r="E615" s="13">
        <v>1000000</v>
      </c>
      <c r="F615" s="14">
        <v>1</v>
      </c>
      <c r="G615" s="14">
        <v>1</v>
      </c>
      <c r="H615" s="15" t="s">
        <v>1907</v>
      </c>
      <c r="I615" s="8"/>
      <c r="J615" s="10"/>
      <c r="AW615" s="15" t="s">
        <v>128</v>
      </c>
      <c r="AX615" s="15" t="s">
        <v>1947</v>
      </c>
      <c r="BH615" s="15" t="s">
        <v>191</v>
      </c>
      <c r="BI615" s="15" t="s">
        <v>468</v>
      </c>
      <c r="BJ615" s="15" t="s">
        <v>467</v>
      </c>
      <c r="BR615" s="15" t="s">
        <v>272</v>
      </c>
      <c r="BS615" s="15" t="s">
        <v>193</v>
      </c>
      <c r="CW615" s="10">
        <v>2</v>
      </c>
      <c r="CX615" s="15" t="s">
        <v>2160</v>
      </c>
    </row>
    <row r="616" spans="1:102" s="15" customFormat="1" x14ac:dyDescent="0.3">
      <c r="A616" s="11" t="s">
        <v>126</v>
      </c>
      <c r="B616" s="10" t="s">
        <v>2161</v>
      </c>
      <c r="C616" s="12" t="s">
        <v>2162</v>
      </c>
      <c r="D616" s="10">
        <v>12</v>
      </c>
      <c r="E616" s="13">
        <v>1000000</v>
      </c>
      <c r="F616" s="14">
        <v>1</v>
      </c>
      <c r="G616" s="14">
        <v>1</v>
      </c>
      <c r="H616" s="15" t="s">
        <v>1907</v>
      </c>
      <c r="I616" s="8"/>
      <c r="J616" s="10"/>
      <c r="AW616" s="15" t="s">
        <v>128</v>
      </c>
      <c r="AX616" s="15" t="s">
        <v>1947</v>
      </c>
      <c r="BH616" s="15" t="s">
        <v>191</v>
      </c>
      <c r="BI616" s="15" t="s">
        <v>468</v>
      </c>
      <c r="BJ616" s="15" t="s">
        <v>467</v>
      </c>
      <c r="BR616" s="15" t="s">
        <v>272</v>
      </c>
      <c r="BS616" s="15" t="s">
        <v>193</v>
      </c>
      <c r="CW616" s="10">
        <v>2</v>
      </c>
      <c r="CX616" s="15" t="s">
        <v>2163</v>
      </c>
    </row>
    <row r="617" spans="1:102" s="15" customFormat="1" x14ac:dyDescent="0.3">
      <c r="A617" s="11" t="s">
        <v>126</v>
      </c>
      <c r="B617" s="10" t="s">
        <v>2164</v>
      </c>
      <c r="C617" s="12" t="s">
        <v>2172</v>
      </c>
      <c r="D617" s="10">
        <v>12</v>
      </c>
      <c r="E617" s="13">
        <v>1000000</v>
      </c>
      <c r="F617" s="14" t="s">
        <v>1893</v>
      </c>
      <c r="G617" s="14" t="s">
        <v>1894</v>
      </c>
      <c r="H617" s="15" t="s">
        <v>2103</v>
      </c>
      <c r="I617" s="8"/>
      <c r="J617" s="10"/>
      <c r="AV617" s="15" t="s">
        <v>1896</v>
      </c>
      <c r="AW617" s="15" t="s">
        <v>1897</v>
      </c>
      <c r="AX617" s="15" t="s">
        <v>191</v>
      </c>
      <c r="AY617" s="15" t="s">
        <v>468</v>
      </c>
      <c r="AZ617" s="15" t="s">
        <v>467</v>
      </c>
      <c r="BH617" s="15" t="s">
        <v>184</v>
      </c>
      <c r="BI617" s="15" t="s">
        <v>185</v>
      </c>
      <c r="BJ617" s="15" t="s">
        <v>186</v>
      </c>
      <c r="BK617" s="15" t="s">
        <v>187</v>
      </c>
      <c r="BL617" s="15" t="s">
        <v>188</v>
      </c>
      <c r="BM617" s="15" t="s">
        <v>189</v>
      </c>
      <c r="BN617" s="15" t="s">
        <v>190</v>
      </c>
      <c r="BO617" s="15" t="s">
        <v>191</v>
      </c>
      <c r="BR617" s="15" t="s">
        <v>192</v>
      </c>
      <c r="BS617" s="15" t="s">
        <v>193</v>
      </c>
      <c r="BT617" s="15" t="s">
        <v>194</v>
      </c>
      <c r="BU617" s="15" t="s">
        <v>195</v>
      </c>
      <c r="BV617" s="15" t="s">
        <v>196</v>
      </c>
      <c r="CB617" s="15" t="s">
        <v>129</v>
      </c>
      <c r="CC617" s="15">
        <v>1</v>
      </c>
      <c r="CM617" s="15" t="s">
        <v>2165</v>
      </c>
      <c r="CN617" s="15" t="s">
        <v>1899</v>
      </c>
      <c r="CW617" s="10">
        <v>2</v>
      </c>
      <c r="CX617" s="15" t="s">
        <v>2166</v>
      </c>
    </row>
    <row r="618" spans="1:102" s="15" customFormat="1" x14ac:dyDescent="0.3">
      <c r="A618" s="11" t="s">
        <v>126</v>
      </c>
      <c r="B618" s="10" t="s">
        <v>2167</v>
      </c>
      <c r="C618" s="12" t="s">
        <v>2168</v>
      </c>
      <c r="D618" s="10">
        <v>12</v>
      </c>
      <c r="E618" s="13">
        <v>1000000</v>
      </c>
      <c r="F618" s="14" t="s">
        <v>1894</v>
      </c>
      <c r="G618" s="14" t="s">
        <v>1894</v>
      </c>
      <c r="H618" s="15" t="s">
        <v>2108</v>
      </c>
      <c r="I618" s="8"/>
      <c r="J618" s="10"/>
      <c r="AW618" s="15" t="s">
        <v>128</v>
      </c>
      <c r="AX618" s="15" t="s">
        <v>191</v>
      </c>
      <c r="AY618" s="15" t="s">
        <v>468</v>
      </c>
      <c r="AZ618" s="15" t="s">
        <v>467</v>
      </c>
      <c r="BH618" s="15" t="s">
        <v>184</v>
      </c>
      <c r="BI618" s="15" t="s">
        <v>185</v>
      </c>
      <c r="BJ618" s="15" t="s">
        <v>186</v>
      </c>
      <c r="BK618" s="15" t="s">
        <v>187</v>
      </c>
      <c r="BL618" s="15" t="s">
        <v>188</v>
      </c>
      <c r="BM618" s="15" t="s">
        <v>189</v>
      </c>
      <c r="BN618" s="15" t="s">
        <v>190</v>
      </c>
      <c r="BO618" s="15" t="s">
        <v>191</v>
      </c>
      <c r="BR618" s="15" t="s">
        <v>192</v>
      </c>
      <c r="BS618" s="15" t="s">
        <v>193</v>
      </c>
      <c r="BT618" s="15" t="s">
        <v>194</v>
      </c>
      <c r="BU618" s="15" t="s">
        <v>195</v>
      </c>
      <c r="BV618" s="15" t="s">
        <v>196</v>
      </c>
      <c r="CC618" s="15">
        <v>1</v>
      </c>
      <c r="CM618" s="15" t="s">
        <v>2169</v>
      </c>
      <c r="CW618" s="10">
        <v>2</v>
      </c>
      <c r="CX618" s="15" t="s">
        <v>2170</v>
      </c>
    </row>
    <row r="619" spans="1:102" s="15" customFormat="1" x14ac:dyDescent="0.3">
      <c r="A619" s="11" t="s">
        <v>126</v>
      </c>
      <c r="B619" s="10" t="s">
        <v>2171</v>
      </c>
      <c r="C619" s="12" t="s">
        <v>2172</v>
      </c>
      <c r="D619" s="10">
        <v>12</v>
      </c>
      <c r="E619" s="13">
        <v>1000000</v>
      </c>
      <c r="F619" s="14" t="s">
        <v>1894</v>
      </c>
      <c r="G619" s="14" t="s">
        <v>1894</v>
      </c>
      <c r="H619" s="15" t="s">
        <v>2108</v>
      </c>
      <c r="I619" s="8"/>
      <c r="J619" s="10"/>
      <c r="AW619" s="15" t="s">
        <v>128</v>
      </c>
      <c r="AX619" s="15" t="s">
        <v>191</v>
      </c>
      <c r="AY619" s="15" t="s">
        <v>468</v>
      </c>
      <c r="AZ619" s="15" t="s">
        <v>467</v>
      </c>
      <c r="BH619" s="15" t="s">
        <v>184</v>
      </c>
      <c r="BI619" s="15" t="s">
        <v>185</v>
      </c>
      <c r="BJ619" s="15" t="s">
        <v>186</v>
      </c>
      <c r="BK619" s="15" t="s">
        <v>187</v>
      </c>
      <c r="BL619" s="15" t="s">
        <v>188</v>
      </c>
      <c r="BM619" s="15" t="s">
        <v>189</v>
      </c>
      <c r="BN619" s="15" t="s">
        <v>190</v>
      </c>
      <c r="BO619" s="15" t="s">
        <v>191</v>
      </c>
      <c r="BR619" s="15" t="s">
        <v>192</v>
      </c>
      <c r="BS619" s="15" t="s">
        <v>193</v>
      </c>
      <c r="BT619" s="15" t="s">
        <v>194</v>
      </c>
      <c r="BU619" s="15" t="s">
        <v>195</v>
      </c>
      <c r="BV619" s="15" t="s">
        <v>196</v>
      </c>
      <c r="CC619" s="15">
        <v>1</v>
      </c>
      <c r="CM619" s="15" t="s">
        <v>2169</v>
      </c>
      <c r="CW619" s="10">
        <v>2</v>
      </c>
      <c r="CX619" s="15" t="s">
        <v>2173</v>
      </c>
    </row>
    <row r="620" spans="1:102" s="15" customFormat="1" x14ac:dyDescent="0.3">
      <c r="A620" s="11" t="s">
        <v>126</v>
      </c>
      <c r="B620" s="10" t="s">
        <v>2174</v>
      </c>
      <c r="C620" s="12" t="s">
        <v>2177</v>
      </c>
      <c r="D620" s="10">
        <v>12</v>
      </c>
      <c r="E620" s="13">
        <v>1000000</v>
      </c>
      <c r="F620" s="14">
        <v>1</v>
      </c>
      <c r="G620" s="14">
        <v>1</v>
      </c>
      <c r="H620" s="15" t="s">
        <v>1907</v>
      </c>
      <c r="I620" s="8"/>
      <c r="J620" s="10"/>
      <c r="AW620" s="15" t="s">
        <v>128</v>
      </c>
      <c r="AX620" s="15" t="s">
        <v>1960</v>
      </c>
      <c r="BH620" s="15" t="s">
        <v>191</v>
      </c>
      <c r="BI620" s="15" t="s">
        <v>468</v>
      </c>
      <c r="BJ620" s="15" t="s">
        <v>467</v>
      </c>
      <c r="BR620" s="15" t="s">
        <v>272</v>
      </c>
      <c r="BS620" s="15" t="s">
        <v>193</v>
      </c>
      <c r="CW620" s="10">
        <v>2</v>
      </c>
      <c r="CX620" s="15" t="s">
        <v>2175</v>
      </c>
    </row>
    <row r="621" spans="1:102" s="15" customFormat="1" x14ac:dyDescent="0.3">
      <c r="A621" s="11" t="s">
        <v>126</v>
      </c>
      <c r="B621" s="10" t="s">
        <v>2176</v>
      </c>
      <c r="C621" s="12" t="s">
        <v>2177</v>
      </c>
      <c r="D621" s="10">
        <v>12</v>
      </c>
      <c r="E621" s="13">
        <v>1000000</v>
      </c>
      <c r="F621" s="14">
        <v>1</v>
      </c>
      <c r="G621" s="14">
        <v>1</v>
      </c>
      <c r="H621" s="15" t="s">
        <v>1907</v>
      </c>
      <c r="I621" s="8"/>
      <c r="J621" s="10"/>
      <c r="AW621" s="15" t="s">
        <v>128</v>
      </c>
      <c r="AX621" s="15" t="s">
        <v>1960</v>
      </c>
      <c r="BH621" s="15" t="s">
        <v>191</v>
      </c>
      <c r="BI621" s="15" t="s">
        <v>468</v>
      </c>
      <c r="BJ621" s="15" t="s">
        <v>467</v>
      </c>
      <c r="BR621" s="15" t="s">
        <v>272</v>
      </c>
      <c r="BS621" s="15" t="s">
        <v>193</v>
      </c>
      <c r="CW621" s="10">
        <v>2</v>
      </c>
      <c r="CX621" s="15" t="s">
        <v>2178</v>
      </c>
    </row>
    <row r="622" spans="1:102" s="15" customFormat="1" x14ac:dyDescent="0.3">
      <c r="A622" s="11" t="s">
        <v>126</v>
      </c>
      <c r="B622" s="10" t="s">
        <v>2179</v>
      </c>
      <c r="C622" s="12" t="s">
        <v>2187</v>
      </c>
      <c r="D622" s="10">
        <v>12</v>
      </c>
      <c r="E622" s="13">
        <v>1000000</v>
      </c>
      <c r="F622" s="14" t="s">
        <v>1893</v>
      </c>
      <c r="G622" s="14" t="s">
        <v>1894</v>
      </c>
      <c r="H622" s="15" t="s">
        <v>2103</v>
      </c>
      <c r="I622" s="8"/>
      <c r="J622" s="10"/>
      <c r="AV622" s="15" t="s">
        <v>1896</v>
      </c>
      <c r="AW622" s="15" t="s">
        <v>1897</v>
      </c>
      <c r="AX622" s="15" t="s">
        <v>191</v>
      </c>
      <c r="AY622" s="15" t="s">
        <v>468</v>
      </c>
      <c r="AZ622" s="15" t="s">
        <v>467</v>
      </c>
      <c r="BH622" s="15" t="s">
        <v>184</v>
      </c>
      <c r="BI622" s="15" t="s">
        <v>185</v>
      </c>
      <c r="BJ622" s="15" t="s">
        <v>186</v>
      </c>
      <c r="BK622" s="15" t="s">
        <v>187</v>
      </c>
      <c r="BL622" s="15" t="s">
        <v>188</v>
      </c>
      <c r="BM622" s="15" t="s">
        <v>189</v>
      </c>
      <c r="BN622" s="15" t="s">
        <v>190</v>
      </c>
      <c r="BO622" s="15" t="s">
        <v>191</v>
      </c>
      <c r="BR622" s="15" t="s">
        <v>192</v>
      </c>
      <c r="BS622" s="15" t="s">
        <v>193</v>
      </c>
      <c r="BT622" s="15" t="s">
        <v>194</v>
      </c>
      <c r="BU622" s="15" t="s">
        <v>195</v>
      </c>
      <c r="BV622" s="15" t="s">
        <v>196</v>
      </c>
      <c r="CB622" s="15" t="s">
        <v>129</v>
      </c>
      <c r="CC622" s="15">
        <v>1</v>
      </c>
      <c r="CM622" s="15" t="s">
        <v>2180</v>
      </c>
      <c r="CN622" s="15" t="s">
        <v>1899</v>
      </c>
      <c r="CW622" s="10">
        <v>2</v>
      </c>
      <c r="CX622" s="15" t="s">
        <v>2181</v>
      </c>
    </row>
    <row r="623" spans="1:102" s="15" customFormat="1" x14ac:dyDescent="0.3">
      <c r="A623" s="11" t="s">
        <v>126</v>
      </c>
      <c r="B623" s="10" t="s">
        <v>2182</v>
      </c>
      <c r="C623" s="12" t="s">
        <v>2183</v>
      </c>
      <c r="D623" s="10">
        <v>12</v>
      </c>
      <c r="E623" s="13">
        <v>1000000</v>
      </c>
      <c r="F623" s="14" t="s">
        <v>1894</v>
      </c>
      <c r="G623" s="14" t="s">
        <v>1894</v>
      </c>
      <c r="H623" s="15" t="s">
        <v>2108</v>
      </c>
      <c r="I623" s="8"/>
      <c r="J623" s="10"/>
      <c r="AW623" s="15" t="s">
        <v>128</v>
      </c>
      <c r="AX623" s="15" t="s">
        <v>191</v>
      </c>
      <c r="AY623" s="15" t="s">
        <v>468</v>
      </c>
      <c r="AZ623" s="15" t="s">
        <v>467</v>
      </c>
      <c r="BH623" s="15" t="s">
        <v>184</v>
      </c>
      <c r="BI623" s="15" t="s">
        <v>185</v>
      </c>
      <c r="BJ623" s="15" t="s">
        <v>186</v>
      </c>
      <c r="BK623" s="15" t="s">
        <v>187</v>
      </c>
      <c r="BL623" s="15" t="s">
        <v>188</v>
      </c>
      <c r="BM623" s="15" t="s">
        <v>189</v>
      </c>
      <c r="BN623" s="15" t="s">
        <v>190</v>
      </c>
      <c r="BO623" s="15" t="s">
        <v>191</v>
      </c>
      <c r="BR623" s="15" t="s">
        <v>192</v>
      </c>
      <c r="BS623" s="15" t="s">
        <v>193</v>
      </c>
      <c r="BT623" s="15" t="s">
        <v>194</v>
      </c>
      <c r="BU623" s="15" t="s">
        <v>195</v>
      </c>
      <c r="BV623" s="15" t="s">
        <v>196</v>
      </c>
      <c r="CC623" s="15">
        <v>1</v>
      </c>
      <c r="CM623" s="15" t="s">
        <v>2184</v>
      </c>
      <c r="CW623" s="10">
        <v>2</v>
      </c>
      <c r="CX623" s="15" t="s">
        <v>2185</v>
      </c>
    </row>
    <row r="624" spans="1:102" s="15" customFormat="1" x14ac:dyDescent="0.3">
      <c r="A624" s="11" t="s">
        <v>126</v>
      </c>
      <c r="B624" s="10" t="s">
        <v>2186</v>
      </c>
      <c r="C624" s="12" t="s">
        <v>2187</v>
      </c>
      <c r="D624" s="10">
        <v>12</v>
      </c>
      <c r="E624" s="13">
        <v>1000000</v>
      </c>
      <c r="F624" s="14" t="s">
        <v>1894</v>
      </c>
      <c r="G624" s="14" t="s">
        <v>1894</v>
      </c>
      <c r="H624" s="15" t="s">
        <v>2108</v>
      </c>
      <c r="I624" s="8"/>
      <c r="J624" s="10"/>
      <c r="AW624" s="15" t="s">
        <v>128</v>
      </c>
      <c r="AX624" s="15" t="s">
        <v>191</v>
      </c>
      <c r="AY624" s="15" t="s">
        <v>468</v>
      </c>
      <c r="AZ624" s="15" t="s">
        <v>467</v>
      </c>
      <c r="BH624" s="15" t="s">
        <v>184</v>
      </c>
      <c r="BI624" s="15" t="s">
        <v>185</v>
      </c>
      <c r="BJ624" s="15" t="s">
        <v>186</v>
      </c>
      <c r="BK624" s="15" t="s">
        <v>187</v>
      </c>
      <c r="BL624" s="15" t="s">
        <v>188</v>
      </c>
      <c r="BM624" s="15" t="s">
        <v>189</v>
      </c>
      <c r="BN624" s="15" t="s">
        <v>190</v>
      </c>
      <c r="BO624" s="15" t="s">
        <v>191</v>
      </c>
      <c r="BR624" s="15" t="s">
        <v>192</v>
      </c>
      <c r="BS624" s="15" t="s">
        <v>193</v>
      </c>
      <c r="BT624" s="15" t="s">
        <v>194</v>
      </c>
      <c r="BU624" s="15" t="s">
        <v>195</v>
      </c>
      <c r="BV624" s="15" t="s">
        <v>196</v>
      </c>
      <c r="CC624" s="15">
        <v>1</v>
      </c>
      <c r="CM624" s="15" t="s">
        <v>2184</v>
      </c>
      <c r="CW624" s="10">
        <v>2</v>
      </c>
      <c r="CX624" s="15" t="s">
        <v>2188</v>
      </c>
    </row>
    <row r="625" spans="1:102" s="15" customFormat="1" x14ac:dyDescent="0.3">
      <c r="A625" s="11" t="s">
        <v>126</v>
      </c>
      <c r="B625" s="10" t="s">
        <v>2189</v>
      </c>
      <c r="C625" s="12" t="s">
        <v>2192</v>
      </c>
      <c r="D625" s="10">
        <v>12</v>
      </c>
      <c r="E625" s="13">
        <v>1000000</v>
      </c>
      <c r="F625" s="14">
        <v>1</v>
      </c>
      <c r="G625" s="14">
        <v>1</v>
      </c>
      <c r="H625" s="15" t="s">
        <v>1907</v>
      </c>
      <c r="I625" s="8"/>
      <c r="J625" s="10"/>
      <c r="AW625" s="15" t="s">
        <v>128</v>
      </c>
      <c r="AX625" s="15" t="s">
        <v>1973</v>
      </c>
      <c r="BH625" s="15" t="s">
        <v>191</v>
      </c>
      <c r="BI625" s="15" t="s">
        <v>468</v>
      </c>
      <c r="BJ625" s="15" t="s">
        <v>467</v>
      </c>
      <c r="BR625" s="15" t="s">
        <v>272</v>
      </c>
      <c r="BS625" s="15" t="s">
        <v>193</v>
      </c>
      <c r="CW625" s="10">
        <v>2</v>
      </c>
      <c r="CX625" s="15" t="s">
        <v>2190</v>
      </c>
    </row>
    <row r="626" spans="1:102" s="15" customFormat="1" x14ac:dyDescent="0.3">
      <c r="A626" s="11" t="s">
        <v>126</v>
      </c>
      <c r="B626" s="10" t="s">
        <v>2191</v>
      </c>
      <c r="C626" s="12" t="s">
        <v>2192</v>
      </c>
      <c r="D626" s="10">
        <v>12</v>
      </c>
      <c r="E626" s="13">
        <v>1000000</v>
      </c>
      <c r="F626" s="14">
        <v>1</v>
      </c>
      <c r="G626" s="14">
        <v>1</v>
      </c>
      <c r="H626" s="15" t="s">
        <v>1907</v>
      </c>
      <c r="I626" s="8"/>
      <c r="J626" s="10"/>
      <c r="AW626" s="15" t="s">
        <v>128</v>
      </c>
      <c r="AX626" s="15" t="s">
        <v>1973</v>
      </c>
      <c r="BH626" s="15" t="s">
        <v>191</v>
      </c>
      <c r="BI626" s="15" t="s">
        <v>468</v>
      </c>
      <c r="BJ626" s="15" t="s">
        <v>467</v>
      </c>
      <c r="BR626" s="15" t="s">
        <v>272</v>
      </c>
      <c r="BS626" s="15" t="s">
        <v>193</v>
      </c>
      <c r="CW626" s="10">
        <v>2</v>
      </c>
      <c r="CX626" s="15" t="s">
        <v>2193</v>
      </c>
    </row>
    <row r="627" spans="1:102" s="15" customFormat="1" x14ac:dyDescent="0.3">
      <c r="A627" s="11" t="s">
        <v>126</v>
      </c>
      <c r="B627" s="10" t="s">
        <v>2194</v>
      </c>
      <c r="C627" s="12" t="s">
        <v>2202</v>
      </c>
      <c r="D627" s="10">
        <v>12</v>
      </c>
      <c r="E627" s="13">
        <v>1000000</v>
      </c>
      <c r="F627" s="14" t="s">
        <v>1893</v>
      </c>
      <c r="G627" s="14" t="s">
        <v>1894</v>
      </c>
      <c r="H627" s="15" t="s">
        <v>2103</v>
      </c>
      <c r="I627" s="8"/>
      <c r="J627" s="10"/>
      <c r="AV627" s="15" t="s">
        <v>1896</v>
      </c>
      <c r="AW627" s="15" t="s">
        <v>1897</v>
      </c>
      <c r="AX627" s="15" t="s">
        <v>191</v>
      </c>
      <c r="AY627" s="15" t="s">
        <v>468</v>
      </c>
      <c r="AZ627" s="15" t="s">
        <v>467</v>
      </c>
      <c r="BH627" s="15" t="s">
        <v>184</v>
      </c>
      <c r="BI627" s="15" t="s">
        <v>185</v>
      </c>
      <c r="BJ627" s="15" t="s">
        <v>186</v>
      </c>
      <c r="BK627" s="15" t="s">
        <v>187</v>
      </c>
      <c r="BL627" s="15" t="s">
        <v>188</v>
      </c>
      <c r="BM627" s="15" t="s">
        <v>189</v>
      </c>
      <c r="BN627" s="15" t="s">
        <v>190</v>
      </c>
      <c r="BO627" s="15" t="s">
        <v>191</v>
      </c>
      <c r="BR627" s="15" t="s">
        <v>192</v>
      </c>
      <c r="BS627" s="15" t="s">
        <v>193</v>
      </c>
      <c r="BT627" s="15" t="s">
        <v>194</v>
      </c>
      <c r="BU627" s="15" t="s">
        <v>195</v>
      </c>
      <c r="BV627" s="15" t="s">
        <v>196</v>
      </c>
      <c r="CB627" s="15" t="s">
        <v>129</v>
      </c>
      <c r="CC627" s="15">
        <v>1</v>
      </c>
      <c r="CM627" s="15" t="s">
        <v>2195</v>
      </c>
      <c r="CN627" s="15" t="s">
        <v>1899</v>
      </c>
      <c r="CW627" s="10">
        <v>2</v>
      </c>
      <c r="CX627" s="15" t="s">
        <v>2196</v>
      </c>
    </row>
    <row r="628" spans="1:102" s="15" customFormat="1" x14ac:dyDescent="0.3">
      <c r="A628" s="11" t="s">
        <v>126</v>
      </c>
      <c r="B628" s="10" t="s">
        <v>2197</v>
      </c>
      <c r="C628" s="12" t="s">
        <v>2198</v>
      </c>
      <c r="D628" s="10">
        <v>12</v>
      </c>
      <c r="E628" s="13">
        <v>1000000</v>
      </c>
      <c r="F628" s="14" t="s">
        <v>1894</v>
      </c>
      <c r="G628" s="14" t="s">
        <v>1894</v>
      </c>
      <c r="H628" s="15" t="s">
        <v>2108</v>
      </c>
      <c r="I628" s="8"/>
      <c r="J628" s="10"/>
      <c r="AW628" s="15" t="s">
        <v>128</v>
      </c>
      <c r="AX628" s="15" t="s">
        <v>191</v>
      </c>
      <c r="AY628" s="15" t="s">
        <v>468</v>
      </c>
      <c r="AZ628" s="15" t="s">
        <v>467</v>
      </c>
      <c r="BH628" s="15" t="s">
        <v>184</v>
      </c>
      <c r="BI628" s="15" t="s">
        <v>185</v>
      </c>
      <c r="BJ628" s="15" t="s">
        <v>186</v>
      </c>
      <c r="BK628" s="15" t="s">
        <v>187</v>
      </c>
      <c r="BL628" s="15" t="s">
        <v>188</v>
      </c>
      <c r="BM628" s="15" t="s">
        <v>189</v>
      </c>
      <c r="BN628" s="15" t="s">
        <v>190</v>
      </c>
      <c r="BO628" s="15" t="s">
        <v>191</v>
      </c>
      <c r="BR628" s="15" t="s">
        <v>192</v>
      </c>
      <c r="BS628" s="15" t="s">
        <v>193</v>
      </c>
      <c r="BT628" s="15" t="s">
        <v>194</v>
      </c>
      <c r="BU628" s="15" t="s">
        <v>195</v>
      </c>
      <c r="BV628" s="15" t="s">
        <v>196</v>
      </c>
      <c r="CC628" s="15">
        <v>1</v>
      </c>
      <c r="CM628" s="15" t="s">
        <v>2199</v>
      </c>
      <c r="CW628" s="10">
        <v>2</v>
      </c>
      <c r="CX628" s="15" t="s">
        <v>2200</v>
      </c>
    </row>
    <row r="629" spans="1:102" s="15" customFormat="1" x14ac:dyDescent="0.3">
      <c r="A629" s="11" t="s">
        <v>126</v>
      </c>
      <c r="B629" s="10" t="s">
        <v>2201</v>
      </c>
      <c r="C629" s="12" t="s">
        <v>2202</v>
      </c>
      <c r="D629" s="10">
        <v>12</v>
      </c>
      <c r="E629" s="13">
        <v>1000000</v>
      </c>
      <c r="F629" s="14" t="s">
        <v>1894</v>
      </c>
      <c r="G629" s="14" t="s">
        <v>1894</v>
      </c>
      <c r="H629" s="15" t="s">
        <v>2108</v>
      </c>
      <c r="I629" s="8"/>
      <c r="J629" s="10"/>
      <c r="AW629" s="15" t="s">
        <v>128</v>
      </c>
      <c r="AX629" s="15" t="s">
        <v>191</v>
      </c>
      <c r="AY629" s="15" t="s">
        <v>468</v>
      </c>
      <c r="AZ629" s="15" t="s">
        <v>467</v>
      </c>
      <c r="BH629" s="15" t="s">
        <v>184</v>
      </c>
      <c r="BI629" s="15" t="s">
        <v>185</v>
      </c>
      <c r="BJ629" s="15" t="s">
        <v>186</v>
      </c>
      <c r="BK629" s="15" t="s">
        <v>187</v>
      </c>
      <c r="BL629" s="15" t="s">
        <v>188</v>
      </c>
      <c r="BM629" s="15" t="s">
        <v>189</v>
      </c>
      <c r="BN629" s="15" t="s">
        <v>190</v>
      </c>
      <c r="BO629" s="15" t="s">
        <v>191</v>
      </c>
      <c r="BR629" s="15" t="s">
        <v>192</v>
      </c>
      <c r="BS629" s="15" t="s">
        <v>193</v>
      </c>
      <c r="BT629" s="15" t="s">
        <v>194</v>
      </c>
      <c r="BU629" s="15" t="s">
        <v>195</v>
      </c>
      <c r="BV629" s="15" t="s">
        <v>196</v>
      </c>
      <c r="CC629" s="15">
        <v>1</v>
      </c>
      <c r="CM629" s="15" t="s">
        <v>2199</v>
      </c>
      <c r="CW629" s="10">
        <v>2</v>
      </c>
      <c r="CX629" s="15" t="s">
        <v>2203</v>
      </c>
    </row>
    <row r="630" spans="1:102" s="15" customFormat="1" x14ac:dyDescent="0.3">
      <c r="A630" s="11" t="s">
        <v>126</v>
      </c>
      <c r="B630" s="10" t="s">
        <v>2204</v>
      </c>
      <c r="C630" s="12" t="s">
        <v>2207</v>
      </c>
      <c r="D630" s="10">
        <v>12</v>
      </c>
      <c r="E630" s="13">
        <v>1000000</v>
      </c>
      <c r="F630" s="14">
        <v>1</v>
      </c>
      <c r="G630" s="14">
        <v>1</v>
      </c>
      <c r="H630" s="15" t="s">
        <v>1907</v>
      </c>
      <c r="I630" s="8"/>
      <c r="J630" s="10"/>
      <c r="AW630" s="15" t="s">
        <v>128</v>
      </c>
      <c r="AX630" s="15" t="s">
        <v>1986</v>
      </c>
      <c r="BH630" s="15" t="s">
        <v>191</v>
      </c>
      <c r="BI630" s="15" t="s">
        <v>468</v>
      </c>
      <c r="BJ630" s="15" t="s">
        <v>467</v>
      </c>
      <c r="BR630" s="15" t="s">
        <v>272</v>
      </c>
      <c r="BS630" s="15" t="s">
        <v>193</v>
      </c>
      <c r="CW630" s="10">
        <v>2</v>
      </c>
      <c r="CX630" s="15" t="s">
        <v>2205</v>
      </c>
    </row>
    <row r="631" spans="1:102" s="15" customFormat="1" x14ac:dyDescent="0.3">
      <c r="A631" s="11" t="s">
        <v>126</v>
      </c>
      <c r="B631" s="10" t="s">
        <v>2206</v>
      </c>
      <c r="C631" s="12" t="s">
        <v>2207</v>
      </c>
      <c r="D631" s="10">
        <v>12</v>
      </c>
      <c r="E631" s="13">
        <v>1000000</v>
      </c>
      <c r="F631" s="14">
        <v>1</v>
      </c>
      <c r="G631" s="14">
        <v>1</v>
      </c>
      <c r="H631" s="15" t="s">
        <v>1907</v>
      </c>
      <c r="I631" s="8"/>
      <c r="J631" s="10"/>
      <c r="AW631" s="15" t="s">
        <v>128</v>
      </c>
      <c r="AX631" s="15" t="s">
        <v>1986</v>
      </c>
      <c r="BH631" s="15" t="s">
        <v>191</v>
      </c>
      <c r="BI631" s="15" t="s">
        <v>468</v>
      </c>
      <c r="BJ631" s="15" t="s">
        <v>467</v>
      </c>
      <c r="BR631" s="15" t="s">
        <v>272</v>
      </c>
      <c r="BS631" s="15" t="s">
        <v>193</v>
      </c>
      <c r="CW631" s="10">
        <v>2</v>
      </c>
      <c r="CX631" s="15" t="s">
        <v>2208</v>
      </c>
    </row>
    <row r="632" spans="1:102" s="15" customFormat="1" x14ac:dyDescent="0.3">
      <c r="A632" s="11" t="s">
        <v>126</v>
      </c>
      <c r="B632" s="10" t="s">
        <v>2209</v>
      </c>
      <c r="C632" s="12" t="s">
        <v>2217</v>
      </c>
      <c r="D632" s="10">
        <v>12</v>
      </c>
      <c r="E632" s="13">
        <v>1000000</v>
      </c>
      <c r="F632" s="14" t="s">
        <v>1893</v>
      </c>
      <c r="G632" s="14" t="s">
        <v>1894</v>
      </c>
      <c r="H632" s="15" t="s">
        <v>2103</v>
      </c>
      <c r="I632" s="8"/>
      <c r="J632" s="10"/>
      <c r="AV632" s="15" t="s">
        <v>1896</v>
      </c>
      <c r="AW632" s="15" t="s">
        <v>1897</v>
      </c>
      <c r="AX632" s="15" t="s">
        <v>191</v>
      </c>
      <c r="AY632" s="15" t="s">
        <v>468</v>
      </c>
      <c r="AZ632" s="15" t="s">
        <v>467</v>
      </c>
      <c r="BH632" s="15" t="s">
        <v>184</v>
      </c>
      <c r="BI632" s="15" t="s">
        <v>185</v>
      </c>
      <c r="BJ632" s="15" t="s">
        <v>186</v>
      </c>
      <c r="BK632" s="15" t="s">
        <v>187</v>
      </c>
      <c r="BL632" s="15" t="s">
        <v>188</v>
      </c>
      <c r="BM632" s="15" t="s">
        <v>189</v>
      </c>
      <c r="BN632" s="15" t="s">
        <v>190</v>
      </c>
      <c r="BO632" s="15" t="s">
        <v>191</v>
      </c>
      <c r="BR632" s="15" t="s">
        <v>192</v>
      </c>
      <c r="BS632" s="15" t="s">
        <v>193</v>
      </c>
      <c r="BT632" s="15" t="s">
        <v>194</v>
      </c>
      <c r="BU632" s="15" t="s">
        <v>195</v>
      </c>
      <c r="BV632" s="15" t="s">
        <v>196</v>
      </c>
      <c r="CB632" s="15" t="s">
        <v>129</v>
      </c>
      <c r="CC632" s="15">
        <v>1</v>
      </c>
      <c r="CM632" s="15" t="s">
        <v>2210</v>
      </c>
      <c r="CN632" s="15" t="s">
        <v>1899</v>
      </c>
      <c r="CW632" s="10">
        <v>2</v>
      </c>
      <c r="CX632" s="15" t="s">
        <v>2211</v>
      </c>
    </row>
    <row r="633" spans="1:102" s="15" customFormat="1" x14ac:dyDescent="0.3">
      <c r="A633" s="11" t="s">
        <v>126</v>
      </c>
      <c r="B633" s="10" t="s">
        <v>2212</v>
      </c>
      <c r="C633" s="12" t="s">
        <v>2213</v>
      </c>
      <c r="D633" s="10">
        <v>12</v>
      </c>
      <c r="E633" s="13">
        <v>1000000</v>
      </c>
      <c r="F633" s="14" t="s">
        <v>1894</v>
      </c>
      <c r="G633" s="14" t="s">
        <v>1894</v>
      </c>
      <c r="H633" s="15" t="s">
        <v>2108</v>
      </c>
      <c r="I633" s="8"/>
      <c r="J633" s="10"/>
      <c r="AW633" s="15" t="s">
        <v>128</v>
      </c>
      <c r="AX633" s="15" t="s">
        <v>191</v>
      </c>
      <c r="AY633" s="15" t="s">
        <v>468</v>
      </c>
      <c r="AZ633" s="15" t="s">
        <v>467</v>
      </c>
      <c r="BH633" s="15" t="s">
        <v>184</v>
      </c>
      <c r="BI633" s="15" t="s">
        <v>185</v>
      </c>
      <c r="BJ633" s="15" t="s">
        <v>186</v>
      </c>
      <c r="BK633" s="15" t="s">
        <v>187</v>
      </c>
      <c r="BL633" s="15" t="s">
        <v>188</v>
      </c>
      <c r="BM633" s="15" t="s">
        <v>189</v>
      </c>
      <c r="BN633" s="15" t="s">
        <v>190</v>
      </c>
      <c r="BO633" s="15" t="s">
        <v>191</v>
      </c>
      <c r="BR633" s="15" t="s">
        <v>192</v>
      </c>
      <c r="BS633" s="15" t="s">
        <v>193</v>
      </c>
      <c r="BT633" s="15" t="s">
        <v>194</v>
      </c>
      <c r="BU633" s="15" t="s">
        <v>195</v>
      </c>
      <c r="BV633" s="15" t="s">
        <v>196</v>
      </c>
      <c r="CC633" s="15">
        <v>1</v>
      </c>
      <c r="CM633" s="15" t="s">
        <v>2214</v>
      </c>
      <c r="CW633" s="10">
        <v>2</v>
      </c>
      <c r="CX633" s="15" t="s">
        <v>2215</v>
      </c>
    </row>
    <row r="634" spans="1:102" s="15" customFormat="1" x14ac:dyDescent="0.3">
      <c r="A634" s="11" t="s">
        <v>126</v>
      </c>
      <c r="B634" s="10" t="s">
        <v>2216</v>
      </c>
      <c r="C634" s="12" t="s">
        <v>2217</v>
      </c>
      <c r="D634" s="10">
        <v>12</v>
      </c>
      <c r="E634" s="13">
        <v>1000000</v>
      </c>
      <c r="F634" s="14" t="s">
        <v>1894</v>
      </c>
      <c r="G634" s="14" t="s">
        <v>1894</v>
      </c>
      <c r="H634" s="15" t="s">
        <v>2108</v>
      </c>
      <c r="I634" s="8"/>
      <c r="J634" s="10"/>
      <c r="AW634" s="15" t="s">
        <v>128</v>
      </c>
      <c r="AX634" s="15" t="s">
        <v>191</v>
      </c>
      <c r="AY634" s="15" t="s">
        <v>468</v>
      </c>
      <c r="AZ634" s="15" t="s">
        <v>467</v>
      </c>
      <c r="BH634" s="15" t="s">
        <v>184</v>
      </c>
      <c r="BI634" s="15" t="s">
        <v>185</v>
      </c>
      <c r="BJ634" s="15" t="s">
        <v>186</v>
      </c>
      <c r="BK634" s="15" t="s">
        <v>187</v>
      </c>
      <c r="BL634" s="15" t="s">
        <v>188</v>
      </c>
      <c r="BM634" s="15" t="s">
        <v>189</v>
      </c>
      <c r="BN634" s="15" t="s">
        <v>190</v>
      </c>
      <c r="BO634" s="15" t="s">
        <v>191</v>
      </c>
      <c r="BR634" s="15" t="s">
        <v>192</v>
      </c>
      <c r="BS634" s="15" t="s">
        <v>193</v>
      </c>
      <c r="BT634" s="15" t="s">
        <v>194</v>
      </c>
      <c r="BU634" s="15" t="s">
        <v>195</v>
      </c>
      <c r="BV634" s="15" t="s">
        <v>196</v>
      </c>
      <c r="CC634" s="15">
        <v>1</v>
      </c>
      <c r="CM634" s="15" t="s">
        <v>2214</v>
      </c>
      <c r="CW634" s="10">
        <v>2</v>
      </c>
      <c r="CX634" s="15" t="s">
        <v>2218</v>
      </c>
    </row>
    <row r="635" spans="1:102" s="15" customFormat="1" x14ac:dyDescent="0.3">
      <c r="A635" s="11" t="s">
        <v>126</v>
      </c>
      <c r="B635" s="10" t="s">
        <v>2219</v>
      </c>
      <c r="C635" s="12" t="s">
        <v>2222</v>
      </c>
      <c r="D635" s="10">
        <v>12</v>
      </c>
      <c r="E635" s="13">
        <v>1000000</v>
      </c>
      <c r="F635" s="14">
        <v>1</v>
      </c>
      <c r="G635" s="14">
        <v>1</v>
      </c>
      <c r="H635" s="15" t="s">
        <v>1907</v>
      </c>
      <c r="I635" s="8"/>
      <c r="J635" s="10"/>
      <c r="AW635" s="15" t="s">
        <v>128</v>
      </c>
      <c r="AX635" s="15" t="s">
        <v>1999</v>
      </c>
      <c r="BH635" s="15" t="s">
        <v>191</v>
      </c>
      <c r="BI635" s="15" t="s">
        <v>468</v>
      </c>
      <c r="BJ635" s="15" t="s">
        <v>467</v>
      </c>
      <c r="BR635" s="15" t="s">
        <v>272</v>
      </c>
      <c r="BS635" s="15" t="s">
        <v>193</v>
      </c>
      <c r="CW635" s="10">
        <v>2</v>
      </c>
      <c r="CX635" s="15" t="s">
        <v>2220</v>
      </c>
    </row>
    <row r="636" spans="1:102" s="15" customFormat="1" x14ac:dyDescent="0.3">
      <c r="A636" s="11" t="s">
        <v>126</v>
      </c>
      <c r="B636" s="10" t="s">
        <v>2221</v>
      </c>
      <c r="C636" s="12" t="s">
        <v>2222</v>
      </c>
      <c r="D636" s="10">
        <v>12</v>
      </c>
      <c r="E636" s="13">
        <v>1000000</v>
      </c>
      <c r="F636" s="14">
        <v>1</v>
      </c>
      <c r="G636" s="14">
        <v>1</v>
      </c>
      <c r="H636" s="15" t="s">
        <v>1907</v>
      </c>
      <c r="I636" s="8"/>
      <c r="J636" s="10"/>
      <c r="AW636" s="15" t="s">
        <v>128</v>
      </c>
      <c r="AX636" s="15" t="s">
        <v>1999</v>
      </c>
      <c r="BH636" s="15" t="s">
        <v>191</v>
      </c>
      <c r="BI636" s="15" t="s">
        <v>468</v>
      </c>
      <c r="BJ636" s="15" t="s">
        <v>467</v>
      </c>
      <c r="BR636" s="15" t="s">
        <v>272</v>
      </c>
      <c r="BS636" s="15" t="s">
        <v>193</v>
      </c>
      <c r="CW636" s="10">
        <v>2</v>
      </c>
      <c r="CX636" s="15" t="s">
        <v>2223</v>
      </c>
    </row>
    <row r="637" spans="1:102" s="15" customFormat="1" x14ac:dyDescent="0.3">
      <c r="A637" s="11" t="s">
        <v>126</v>
      </c>
      <c r="B637" s="10" t="s">
        <v>2224</v>
      </c>
      <c r="C637" s="12" t="s">
        <v>2232</v>
      </c>
      <c r="D637" s="10">
        <v>12</v>
      </c>
      <c r="E637" s="13">
        <v>1000000</v>
      </c>
      <c r="F637" s="14" t="s">
        <v>1893</v>
      </c>
      <c r="G637" s="14" t="s">
        <v>1894</v>
      </c>
      <c r="H637" s="15" t="s">
        <v>2103</v>
      </c>
      <c r="I637" s="8"/>
      <c r="J637" s="10"/>
      <c r="AV637" s="15" t="s">
        <v>1896</v>
      </c>
      <c r="AW637" s="15" t="s">
        <v>1897</v>
      </c>
      <c r="AX637" s="15" t="s">
        <v>191</v>
      </c>
      <c r="AY637" s="15" t="s">
        <v>468</v>
      </c>
      <c r="AZ637" s="15" t="s">
        <v>467</v>
      </c>
      <c r="BH637" s="15" t="s">
        <v>184</v>
      </c>
      <c r="BI637" s="15" t="s">
        <v>185</v>
      </c>
      <c r="BJ637" s="15" t="s">
        <v>186</v>
      </c>
      <c r="BK637" s="15" t="s">
        <v>187</v>
      </c>
      <c r="BL637" s="15" t="s">
        <v>188</v>
      </c>
      <c r="BM637" s="15" t="s">
        <v>189</v>
      </c>
      <c r="BN637" s="15" t="s">
        <v>190</v>
      </c>
      <c r="BO637" s="15" t="s">
        <v>191</v>
      </c>
      <c r="BR637" s="15" t="s">
        <v>192</v>
      </c>
      <c r="BS637" s="15" t="s">
        <v>193</v>
      </c>
      <c r="BT637" s="15" t="s">
        <v>194</v>
      </c>
      <c r="BU637" s="15" t="s">
        <v>195</v>
      </c>
      <c r="BV637" s="15" t="s">
        <v>196</v>
      </c>
      <c r="CB637" s="15" t="s">
        <v>129</v>
      </c>
      <c r="CC637" s="15">
        <v>1</v>
      </c>
      <c r="CM637" s="15" t="s">
        <v>2225</v>
      </c>
      <c r="CN637" s="15" t="s">
        <v>1899</v>
      </c>
      <c r="CW637" s="10">
        <v>2</v>
      </c>
      <c r="CX637" s="15" t="s">
        <v>2226</v>
      </c>
    </row>
    <row r="638" spans="1:102" s="15" customFormat="1" x14ac:dyDescent="0.3">
      <c r="A638" s="11" t="s">
        <v>126</v>
      </c>
      <c r="B638" s="10" t="s">
        <v>2227</v>
      </c>
      <c r="C638" s="12" t="s">
        <v>2228</v>
      </c>
      <c r="D638" s="10">
        <v>12</v>
      </c>
      <c r="E638" s="13">
        <v>1000000</v>
      </c>
      <c r="F638" s="14" t="s">
        <v>1894</v>
      </c>
      <c r="G638" s="14" t="s">
        <v>1894</v>
      </c>
      <c r="H638" s="15" t="s">
        <v>2108</v>
      </c>
      <c r="I638" s="8"/>
      <c r="J638" s="10"/>
      <c r="AW638" s="15" t="s">
        <v>128</v>
      </c>
      <c r="AX638" s="15" t="s">
        <v>191</v>
      </c>
      <c r="AY638" s="15" t="s">
        <v>468</v>
      </c>
      <c r="AZ638" s="15" t="s">
        <v>467</v>
      </c>
      <c r="BH638" s="15" t="s">
        <v>184</v>
      </c>
      <c r="BI638" s="15" t="s">
        <v>185</v>
      </c>
      <c r="BJ638" s="15" t="s">
        <v>186</v>
      </c>
      <c r="BK638" s="15" t="s">
        <v>187</v>
      </c>
      <c r="BL638" s="15" t="s">
        <v>188</v>
      </c>
      <c r="BM638" s="15" t="s">
        <v>189</v>
      </c>
      <c r="BN638" s="15" t="s">
        <v>190</v>
      </c>
      <c r="BO638" s="15" t="s">
        <v>191</v>
      </c>
      <c r="BR638" s="15" t="s">
        <v>192</v>
      </c>
      <c r="BS638" s="15" t="s">
        <v>193</v>
      </c>
      <c r="BT638" s="15" t="s">
        <v>194</v>
      </c>
      <c r="BU638" s="15" t="s">
        <v>195</v>
      </c>
      <c r="BV638" s="15" t="s">
        <v>196</v>
      </c>
      <c r="CC638" s="15">
        <v>1</v>
      </c>
      <c r="CM638" s="15" t="s">
        <v>2229</v>
      </c>
      <c r="CW638" s="10">
        <v>2</v>
      </c>
      <c r="CX638" s="15" t="s">
        <v>2230</v>
      </c>
    </row>
    <row r="639" spans="1:102" s="15" customFormat="1" x14ac:dyDescent="0.3">
      <c r="A639" s="11" t="s">
        <v>126</v>
      </c>
      <c r="B639" s="10" t="s">
        <v>2231</v>
      </c>
      <c r="C639" s="12" t="s">
        <v>2232</v>
      </c>
      <c r="D639" s="10">
        <v>12</v>
      </c>
      <c r="E639" s="13">
        <v>1000000</v>
      </c>
      <c r="F639" s="14" t="s">
        <v>1894</v>
      </c>
      <c r="G639" s="14" t="s">
        <v>1894</v>
      </c>
      <c r="H639" s="15" t="s">
        <v>2108</v>
      </c>
      <c r="I639" s="8"/>
      <c r="J639" s="10"/>
      <c r="AW639" s="15" t="s">
        <v>128</v>
      </c>
      <c r="AX639" s="15" t="s">
        <v>191</v>
      </c>
      <c r="AY639" s="15" t="s">
        <v>468</v>
      </c>
      <c r="AZ639" s="15" t="s">
        <v>467</v>
      </c>
      <c r="BH639" s="15" t="s">
        <v>184</v>
      </c>
      <c r="BI639" s="15" t="s">
        <v>185</v>
      </c>
      <c r="BJ639" s="15" t="s">
        <v>186</v>
      </c>
      <c r="BK639" s="15" t="s">
        <v>187</v>
      </c>
      <c r="BL639" s="15" t="s">
        <v>188</v>
      </c>
      <c r="BM639" s="15" t="s">
        <v>189</v>
      </c>
      <c r="BN639" s="15" t="s">
        <v>190</v>
      </c>
      <c r="BO639" s="15" t="s">
        <v>191</v>
      </c>
      <c r="BR639" s="15" t="s">
        <v>192</v>
      </c>
      <c r="BS639" s="15" t="s">
        <v>193</v>
      </c>
      <c r="BT639" s="15" t="s">
        <v>194</v>
      </c>
      <c r="BU639" s="15" t="s">
        <v>195</v>
      </c>
      <c r="BV639" s="15" t="s">
        <v>196</v>
      </c>
      <c r="CC639" s="15">
        <v>1</v>
      </c>
      <c r="CM639" s="15" t="s">
        <v>2229</v>
      </c>
      <c r="CW639" s="10">
        <v>2</v>
      </c>
      <c r="CX639" s="15" t="s">
        <v>2233</v>
      </c>
    </row>
    <row r="640" spans="1:102" s="15" customFormat="1" x14ac:dyDescent="0.3">
      <c r="A640" s="11" t="s">
        <v>126</v>
      </c>
      <c r="B640" s="10" t="s">
        <v>2234</v>
      </c>
      <c r="C640" s="12" t="s">
        <v>2237</v>
      </c>
      <c r="D640" s="10">
        <v>12</v>
      </c>
      <c r="E640" s="13">
        <v>1000000</v>
      </c>
      <c r="F640" s="14">
        <v>1</v>
      </c>
      <c r="G640" s="14">
        <v>1</v>
      </c>
      <c r="H640" s="15" t="s">
        <v>1907</v>
      </c>
      <c r="I640" s="8"/>
      <c r="J640" s="10"/>
      <c r="AW640" s="15" t="s">
        <v>128</v>
      </c>
      <c r="AX640" s="15" t="s">
        <v>2012</v>
      </c>
      <c r="BH640" s="15" t="s">
        <v>191</v>
      </c>
      <c r="BI640" s="15" t="s">
        <v>468</v>
      </c>
      <c r="BJ640" s="15" t="s">
        <v>467</v>
      </c>
      <c r="BR640" s="15" t="s">
        <v>272</v>
      </c>
      <c r="BS640" s="15" t="s">
        <v>193</v>
      </c>
      <c r="CW640" s="10">
        <v>2</v>
      </c>
      <c r="CX640" s="15" t="s">
        <v>2235</v>
      </c>
    </row>
    <row r="641" spans="1:102" s="15" customFormat="1" x14ac:dyDescent="0.3">
      <c r="A641" s="11" t="s">
        <v>126</v>
      </c>
      <c r="B641" s="10" t="s">
        <v>2236</v>
      </c>
      <c r="C641" s="12" t="s">
        <v>2237</v>
      </c>
      <c r="D641" s="10">
        <v>12</v>
      </c>
      <c r="E641" s="13">
        <v>1000000</v>
      </c>
      <c r="F641" s="14">
        <v>1</v>
      </c>
      <c r="G641" s="14">
        <v>1</v>
      </c>
      <c r="H641" s="15" t="s">
        <v>1907</v>
      </c>
      <c r="I641" s="8"/>
      <c r="J641" s="10"/>
      <c r="AW641" s="15" t="s">
        <v>128</v>
      </c>
      <c r="AX641" s="15" t="s">
        <v>2012</v>
      </c>
      <c r="BH641" s="15" t="s">
        <v>191</v>
      </c>
      <c r="BI641" s="15" t="s">
        <v>468</v>
      </c>
      <c r="BJ641" s="15" t="s">
        <v>467</v>
      </c>
      <c r="BR641" s="15" t="s">
        <v>272</v>
      </c>
      <c r="BS641" s="15" t="s">
        <v>193</v>
      </c>
      <c r="CW641" s="10">
        <v>2</v>
      </c>
      <c r="CX641" s="15" t="s">
        <v>2238</v>
      </c>
    </row>
    <row r="642" spans="1:102" s="15" customFormat="1" x14ac:dyDescent="0.3">
      <c r="A642" s="11" t="s">
        <v>126</v>
      </c>
      <c r="B642" s="10" t="s">
        <v>2239</v>
      </c>
      <c r="C642" s="12" t="s">
        <v>2247</v>
      </c>
      <c r="D642" s="10">
        <v>12</v>
      </c>
      <c r="E642" s="13">
        <v>1000000</v>
      </c>
      <c r="F642" s="14" t="s">
        <v>1893</v>
      </c>
      <c r="G642" s="14" t="s">
        <v>1894</v>
      </c>
      <c r="H642" s="15" t="s">
        <v>2103</v>
      </c>
      <c r="I642" s="8"/>
      <c r="J642" s="10"/>
      <c r="AV642" s="15" t="s">
        <v>1896</v>
      </c>
      <c r="AW642" s="15" t="s">
        <v>1897</v>
      </c>
      <c r="AX642" s="15" t="s">
        <v>191</v>
      </c>
      <c r="AY642" s="15" t="s">
        <v>468</v>
      </c>
      <c r="AZ642" s="15" t="s">
        <v>467</v>
      </c>
      <c r="BH642" s="15" t="s">
        <v>184</v>
      </c>
      <c r="BI642" s="15" t="s">
        <v>185</v>
      </c>
      <c r="BJ642" s="15" t="s">
        <v>186</v>
      </c>
      <c r="BK642" s="15" t="s">
        <v>187</v>
      </c>
      <c r="BL642" s="15" t="s">
        <v>188</v>
      </c>
      <c r="BM642" s="15" t="s">
        <v>189</v>
      </c>
      <c r="BN642" s="15" t="s">
        <v>190</v>
      </c>
      <c r="BO642" s="15" t="s">
        <v>191</v>
      </c>
      <c r="BR642" s="15" t="s">
        <v>192</v>
      </c>
      <c r="BS642" s="15" t="s">
        <v>193</v>
      </c>
      <c r="BT642" s="15" t="s">
        <v>194</v>
      </c>
      <c r="BU642" s="15" t="s">
        <v>195</v>
      </c>
      <c r="BV642" s="15" t="s">
        <v>196</v>
      </c>
      <c r="CB642" s="15" t="s">
        <v>129</v>
      </c>
      <c r="CC642" s="15">
        <v>1</v>
      </c>
      <c r="CM642" s="15" t="s">
        <v>2240</v>
      </c>
      <c r="CN642" s="15" t="s">
        <v>1899</v>
      </c>
      <c r="CW642" s="10">
        <v>2</v>
      </c>
      <c r="CX642" s="15" t="s">
        <v>2241</v>
      </c>
    </row>
    <row r="643" spans="1:102" s="15" customFormat="1" x14ac:dyDescent="0.3">
      <c r="A643" s="11" t="s">
        <v>126</v>
      </c>
      <c r="B643" s="10" t="s">
        <v>2242</v>
      </c>
      <c r="C643" s="12" t="s">
        <v>2243</v>
      </c>
      <c r="D643" s="10">
        <v>12</v>
      </c>
      <c r="E643" s="13">
        <v>1000000</v>
      </c>
      <c r="F643" s="14" t="s">
        <v>1894</v>
      </c>
      <c r="G643" s="14" t="s">
        <v>1894</v>
      </c>
      <c r="H643" s="15" t="s">
        <v>2108</v>
      </c>
      <c r="I643" s="8"/>
      <c r="J643" s="10"/>
      <c r="AW643" s="15" t="s">
        <v>128</v>
      </c>
      <c r="AX643" s="15" t="s">
        <v>191</v>
      </c>
      <c r="AY643" s="15" t="s">
        <v>468</v>
      </c>
      <c r="AZ643" s="15" t="s">
        <v>467</v>
      </c>
      <c r="BH643" s="15" t="s">
        <v>184</v>
      </c>
      <c r="BI643" s="15" t="s">
        <v>185</v>
      </c>
      <c r="BJ643" s="15" t="s">
        <v>186</v>
      </c>
      <c r="BK643" s="15" t="s">
        <v>187</v>
      </c>
      <c r="BL643" s="15" t="s">
        <v>188</v>
      </c>
      <c r="BM643" s="15" t="s">
        <v>189</v>
      </c>
      <c r="BN643" s="15" t="s">
        <v>190</v>
      </c>
      <c r="BO643" s="15" t="s">
        <v>191</v>
      </c>
      <c r="BR643" s="15" t="s">
        <v>192</v>
      </c>
      <c r="BS643" s="15" t="s">
        <v>193</v>
      </c>
      <c r="BT643" s="15" t="s">
        <v>194</v>
      </c>
      <c r="BU643" s="15" t="s">
        <v>195</v>
      </c>
      <c r="BV643" s="15" t="s">
        <v>196</v>
      </c>
      <c r="CC643" s="15">
        <v>1</v>
      </c>
      <c r="CM643" s="15" t="s">
        <v>2244</v>
      </c>
      <c r="CW643" s="10">
        <v>2</v>
      </c>
      <c r="CX643" s="15" t="s">
        <v>2245</v>
      </c>
    </row>
    <row r="644" spans="1:102" s="15" customFormat="1" x14ac:dyDescent="0.3">
      <c r="A644" s="11" t="s">
        <v>126</v>
      </c>
      <c r="B644" s="10" t="s">
        <v>2246</v>
      </c>
      <c r="C644" s="12" t="s">
        <v>2247</v>
      </c>
      <c r="D644" s="10">
        <v>12</v>
      </c>
      <c r="E644" s="13">
        <v>1000000</v>
      </c>
      <c r="F644" s="14" t="s">
        <v>1894</v>
      </c>
      <c r="G644" s="14" t="s">
        <v>1894</v>
      </c>
      <c r="H644" s="15" t="s">
        <v>2108</v>
      </c>
      <c r="I644" s="8"/>
      <c r="J644" s="10"/>
      <c r="AW644" s="15" t="s">
        <v>128</v>
      </c>
      <c r="AX644" s="15" t="s">
        <v>191</v>
      </c>
      <c r="AY644" s="15" t="s">
        <v>468</v>
      </c>
      <c r="AZ644" s="15" t="s">
        <v>467</v>
      </c>
      <c r="BH644" s="15" t="s">
        <v>184</v>
      </c>
      <c r="BI644" s="15" t="s">
        <v>185</v>
      </c>
      <c r="BJ644" s="15" t="s">
        <v>186</v>
      </c>
      <c r="BK644" s="15" t="s">
        <v>187</v>
      </c>
      <c r="BL644" s="15" t="s">
        <v>188</v>
      </c>
      <c r="BM644" s="15" t="s">
        <v>189</v>
      </c>
      <c r="BN644" s="15" t="s">
        <v>190</v>
      </c>
      <c r="BO644" s="15" t="s">
        <v>191</v>
      </c>
      <c r="BR644" s="15" t="s">
        <v>192</v>
      </c>
      <c r="BS644" s="15" t="s">
        <v>193</v>
      </c>
      <c r="BT644" s="15" t="s">
        <v>194</v>
      </c>
      <c r="BU644" s="15" t="s">
        <v>195</v>
      </c>
      <c r="BV644" s="15" t="s">
        <v>196</v>
      </c>
      <c r="CC644" s="15">
        <v>1</v>
      </c>
      <c r="CM644" s="15" t="s">
        <v>2244</v>
      </c>
      <c r="CW644" s="10">
        <v>2</v>
      </c>
      <c r="CX644" s="15" t="s">
        <v>2248</v>
      </c>
    </row>
    <row r="645" spans="1:102" s="15" customFormat="1" x14ac:dyDescent="0.3">
      <c r="A645" s="11" t="s">
        <v>126</v>
      </c>
      <c r="B645" s="10" t="s">
        <v>2249</v>
      </c>
      <c r="C645" s="12" t="s">
        <v>2252</v>
      </c>
      <c r="D645" s="10">
        <v>12</v>
      </c>
      <c r="E645" s="13">
        <v>1000000</v>
      </c>
      <c r="F645" s="14">
        <v>1</v>
      </c>
      <c r="G645" s="14">
        <v>1</v>
      </c>
      <c r="H645" s="15" t="s">
        <v>1907</v>
      </c>
      <c r="I645" s="8"/>
      <c r="J645" s="10"/>
      <c r="AW645" s="15" t="s">
        <v>128</v>
      </c>
      <c r="AX645" s="15" t="s">
        <v>2025</v>
      </c>
      <c r="BH645" s="15" t="s">
        <v>191</v>
      </c>
      <c r="BI645" s="15" t="s">
        <v>468</v>
      </c>
      <c r="BJ645" s="15" t="s">
        <v>467</v>
      </c>
      <c r="BR645" s="15" t="s">
        <v>272</v>
      </c>
      <c r="BS645" s="15" t="s">
        <v>193</v>
      </c>
      <c r="CW645" s="10">
        <v>2</v>
      </c>
      <c r="CX645" s="15" t="s">
        <v>2250</v>
      </c>
    </row>
    <row r="646" spans="1:102" s="15" customFormat="1" x14ac:dyDescent="0.3">
      <c r="A646" s="11" t="s">
        <v>126</v>
      </c>
      <c r="B646" s="10" t="s">
        <v>2251</v>
      </c>
      <c r="C646" s="12" t="s">
        <v>2252</v>
      </c>
      <c r="D646" s="10">
        <v>12</v>
      </c>
      <c r="E646" s="13">
        <v>1000000</v>
      </c>
      <c r="F646" s="14">
        <v>1</v>
      </c>
      <c r="G646" s="14">
        <v>1</v>
      </c>
      <c r="H646" s="15" t="s">
        <v>1907</v>
      </c>
      <c r="I646" s="8"/>
      <c r="J646" s="10"/>
      <c r="AW646" s="15" t="s">
        <v>128</v>
      </c>
      <c r="AX646" s="15" t="s">
        <v>2025</v>
      </c>
      <c r="BH646" s="15" t="s">
        <v>191</v>
      </c>
      <c r="BI646" s="15" t="s">
        <v>468</v>
      </c>
      <c r="BJ646" s="15" t="s">
        <v>467</v>
      </c>
      <c r="BR646" s="15" t="s">
        <v>272</v>
      </c>
      <c r="BS646" s="15" t="s">
        <v>193</v>
      </c>
      <c r="CW646" s="10">
        <v>2</v>
      </c>
      <c r="CX646" s="15" t="s">
        <v>2253</v>
      </c>
    </row>
    <row r="647" spans="1:102" s="15" customFormat="1" x14ac:dyDescent="0.3">
      <c r="A647" s="11" t="s">
        <v>126</v>
      </c>
      <c r="B647" s="10" t="s">
        <v>2254</v>
      </c>
      <c r="C647" s="12" t="s">
        <v>2258</v>
      </c>
      <c r="D647" s="10">
        <v>12</v>
      </c>
      <c r="E647" s="13">
        <v>10000</v>
      </c>
      <c r="F647" s="14" t="s">
        <v>243</v>
      </c>
      <c r="G647" s="14" t="s">
        <v>244</v>
      </c>
      <c r="H647" s="15" t="s">
        <v>254</v>
      </c>
      <c r="I647" s="8"/>
      <c r="J647" s="10"/>
      <c r="AV647" s="15" t="s">
        <v>181</v>
      </c>
      <c r="AW647" s="15" t="s">
        <v>182</v>
      </c>
      <c r="AX647" s="15" t="s">
        <v>2255</v>
      </c>
      <c r="BH647" s="15" t="s">
        <v>184</v>
      </c>
      <c r="BI647" s="15" t="s">
        <v>185</v>
      </c>
      <c r="BJ647" s="15" t="s">
        <v>186</v>
      </c>
      <c r="BK647" s="15" t="s">
        <v>187</v>
      </c>
      <c r="BL647" s="15" t="s">
        <v>188</v>
      </c>
      <c r="BM647" s="15" t="s">
        <v>189</v>
      </c>
      <c r="BN647" s="15" t="s">
        <v>190</v>
      </c>
      <c r="BO647" s="15" t="s">
        <v>191</v>
      </c>
      <c r="BR647" s="15" t="s">
        <v>192</v>
      </c>
      <c r="BS647" s="15" t="s">
        <v>193</v>
      </c>
      <c r="BT647" s="15" t="s">
        <v>194</v>
      </c>
      <c r="BU647" s="15" t="s">
        <v>195</v>
      </c>
      <c r="BV647" s="15" t="s">
        <v>196</v>
      </c>
      <c r="BW647" s="15" t="s">
        <v>323</v>
      </c>
      <c r="CB647" s="15" t="s">
        <v>129</v>
      </c>
      <c r="CC647" s="15">
        <v>1</v>
      </c>
      <c r="CN647" s="15" t="s">
        <v>198</v>
      </c>
      <c r="CW647" s="10">
        <v>2</v>
      </c>
      <c r="CX647" s="15" t="s">
        <v>2256</v>
      </c>
    </row>
    <row r="648" spans="1:102" s="15" customFormat="1" x14ac:dyDescent="0.3">
      <c r="A648" s="11" t="s">
        <v>126</v>
      </c>
      <c r="B648" s="10" t="s">
        <v>2257</v>
      </c>
      <c r="C648" s="12" t="s">
        <v>2258</v>
      </c>
      <c r="D648" s="10">
        <v>12</v>
      </c>
      <c r="E648" s="13">
        <v>10000</v>
      </c>
      <c r="F648" s="14" t="s">
        <v>244</v>
      </c>
      <c r="G648" s="14" t="s">
        <v>244</v>
      </c>
      <c r="H648" s="15" t="s">
        <v>254</v>
      </c>
      <c r="I648" s="8"/>
      <c r="J648" s="10"/>
      <c r="AW648" s="15" t="s">
        <v>128</v>
      </c>
      <c r="AX648" s="15" t="s">
        <v>2255</v>
      </c>
      <c r="BH648" s="15" t="s">
        <v>184</v>
      </c>
      <c r="BI648" s="15" t="s">
        <v>185</v>
      </c>
      <c r="BJ648" s="15" t="s">
        <v>186</v>
      </c>
      <c r="BK648" s="15" t="s">
        <v>187</v>
      </c>
      <c r="BL648" s="15" t="s">
        <v>188</v>
      </c>
      <c r="BM648" s="15" t="s">
        <v>189</v>
      </c>
      <c r="BN648" s="15" t="s">
        <v>190</v>
      </c>
      <c r="BO648" s="15" t="s">
        <v>191</v>
      </c>
      <c r="BR648" s="15" t="s">
        <v>192</v>
      </c>
      <c r="BS648" s="15" t="s">
        <v>193</v>
      </c>
      <c r="BT648" s="15" t="s">
        <v>194</v>
      </c>
      <c r="BU648" s="15" t="s">
        <v>195</v>
      </c>
      <c r="BV648" s="15" t="s">
        <v>196</v>
      </c>
      <c r="BW648" s="15" t="s">
        <v>323</v>
      </c>
      <c r="CB648" s="15" t="s">
        <v>128</v>
      </c>
      <c r="CC648" s="15">
        <v>1</v>
      </c>
      <c r="CN648" s="15" t="s">
        <v>198</v>
      </c>
      <c r="CW648" s="10">
        <v>2</v>
      </c>
      <c r="CX648" s="15" t="s">
        <v>2259</v>
      </c>
    </row>
    <row r="649" spans="1:102" s="15" customFormat="1" x14ac:dyDescent="0.3">
      <c r="A649" s="11" t="s">
        <v>126</v>
      </c>
      <c r="B649" s="10" t="s">
        <v>2260</v>
      </c>
      <c r="C649" s="12" t="s">
        <v>2264</v>
      </c>
      <c r="D649" s="10">
        <v>12</v>
      </c>
      <c r="E649" s="13">
        <v>10000</v>
      </c>
      <c r="F649" s="14" t="s">
        <v>243</v>
      </c>
      <c r="G649" s="14" t="s">
        <v>244</v>
      </c>
      <c r="H649" s="15" t="s">
        <v>254</v>
      </c>
      <c r="I649" s="8"/>
      <c r="J649" s="10"/>
      <c r="AV649" s="15" t="s">
        <v>181</v>
      </c>
      <c r="AW649" s="15" t="s">
        <v>182</v>
      </c>
      <c r="AX649" s="15" t="s">
        <v>2261</v>
      </c>
      <c r="BH649" s="15" t="s">
        <v>184</v>
      </c>
      <c r="BI649" s="15" t="s">
        <v>185</v>
      </c>
      <c r="BJ649" s="15" t="s">
        <v>186</v>
      </c>
      <c r="BK649" s="15" t="s">
        <v>187</v>
      </c>
      <c r="BL649" s="15" t="s">
        <v>188</v>
      </c>
      <c r="BM649" s="15" t="s">
        <v>189</v>
      </c>
      <c r="BN649" s="15" t="s">
        <v>190</v>
      </c>
      <c r="BO649" s="15" t="s">
        <v>191</v>
      </c>
      <c r="BR649" s="15" t="s">
        <v>192</v>
      </c>
      <c r="BS649" s="15" t="s">
        <v>193</v>
      </c>
      <c r="BT649" s="15" t="s">
        <v>194</v>
      </c>
      <c r="BU649" s="15" t="s">
        <v>195</v>
      </c>
      <c r="BV649" s="15" t="s">
        <v>196</v>
      </c>
      <c r="BW649" s="15" t="s">
        <v>323</v>
      </c>
      <c r="CB649" s="15" t="s">
        <v>129</v>
      </c>
      <c r="CC649" s="15">
        <v>1</v>
      </c>
      <c r="CN649" s="15" t="s">
        <v>198</v>
      </c>
      <c r="CW649" s="10">
        <v>2</v>
      </c>
      <c r="CX649" s="15" t="s">
        <v>2262</v>
      </c>
    </row>
    <row r="650" spans="1:102" s="15" customFormat="1" x14ac:dyDescent="0.3">
      <c r="A650" s="11" t="s">
        <v>126</v>
      </c>
      <c r="B650" s="10" t="s">
        <v>2263</v>
      </c>
      <c r="C650" s="12" t="s">
        <v>2264</v>
      </c>
      <c r="D650" s="10">
        <v>12</v>
      </c>
      <c r="E650" s="13">
        <v>10000</v>
      </c>
      <c r="F650" s="14" t="s">
        <v>244</v>
      </c>
      <c r="G650" s="14" t="s">
        <v>244</v>
      </c>
      <c r="H650" s="15" t="s">
        <v>254</v>
      </c>
      <c r="I650" s="8"/>
      <c r="J650" s="10"/>
      <c r="AW650" s="15" t="s">
        <v>128</v>
      </c>
      <c r="AX650" s="15" t="s">
        <v>2261</v>
      </c>
      <c r="BH650" s="15" t="s">
        <v>184</v>
      </c>
      <c r="BI650" s="15" t="s">
        <v>185</v>
      </c>
      <c r="BJ650" s="15" t="s">
        <v>186</v>
      </c>
      <c r="BK650" s="15" t="s">
        <v>187</v>
      </c>
      <c r="BL650" s="15" t="s">
        <v>188</v>
      </c>
      <c r="BM650" s="15" t="s">
        <v>189</v>
      </c>
      <c r="BN650" s="15" t="s">
        <v>190</v>
      </c>
      <c r="BO650" s="15" t="s">
        <v>191</v>
      </c>
      <c r="BR650" s="15" t="s">
        <v>192</v>
      </c>
      <c r="BS650" s="15" t="s">
        <v>193</v>
      </c>
      <c r="BT650" s="15" t="s">
        <v>194</v>
      </c>
      <c r="BU650" s="15" t="s">
        <v>195</v>
      </c>
      <c r="BV650" s="15" t="s">
        <v>196</v>
      </c>
      <c r="BW650" s="15" t="s">
        <v>323</v>
      </c>
      <c r="CB650" s="15" t="s">
        <v>128</v>
      </c>
      <c r="CC650" s="15">
        <v>1</v>
      </c>
      <c r="CN650" s="15" t="s">
        <v>198</v>
      </c>
      <c r="CW650" s="10">
        <v>2</v>
      </c>
      <c r="CX650" s="15" t="s">
        <v>2265</v>
      </c>
    </row>
    <row r="651" spans="1:102" s="15" customFormat="1" x14ac:dyDescent="0.3">
      <c r="A651" s="11" t="s">
        <v>126</v>
      </c>
      <c r="B651" s="10" t="s">
        <v>2266</v>
      </c>
      <c r="C651" s="12" t="s">
        <v>2270</v>
      </c>
      <c r="D651" s="10">
        <v>12</v>
      </c>
      <c r="E651" s="13">
        <v>10000</v>
      </c>
      <c r="F651" s="14" t="s">
        <v>243</v>
      </c>
      <c r="G651" s="14" t="s">
        <v>244</v>
      </c>
      <c r="H651" s="15" t="s">
        <v>254</v>
      </c>
      <c r="I651" s="8"/>
      <c r="J651" s="10"/>
      <c r="AV651" s="15" t="s">
        <v>181</v>
      </c>
      <c r="AW651" s="15" t="s">
        <v>182</v>
      </c>
      <c r="AX651" s="15" t="s">
        <v>2267</v>
      </c>
      <c r="BH651" s="15" t="s">
        <v>184</v>
      </c>
      <c r="BI651" s="15" t="s">
        <v>185</v>
      </c>
      <c r="BJ651" s="15" t="s">
        <v>186</v>
      </c>
      <c r="BK651" s="15" t="s">
        <v>187</v>
      </c>
      <c r="BL651" s="15" t="s">
        <v>188</v>
      </c>
      <c r="BM651" s="15" t="s">
        <v>189</v>
      </c>
      <c r="BN651" s="15" t="s">
        <v>190</v>
      </c>
      <c r="BO651" s="15" t="s">
        <v>191</v>
      </c>
      <c r="BR651" s="15" t="s">
        <v>192</v>
      </c>
      <c r="BS651" s="15" t="s">
        <v>193</v>
      </c>
      <c r="BT651" s="15" t="s">
        <v>194</v>
      </c>
      <c r="BU651" s="15" t="s">
        <v>195</v>
      </c>
      <c r="BV651" s="15" t="s">
        <v>196</v>
      </c>
      <c r="BW651" s="15" t="s">
        <v>323</v>
      </c>
      <c r="CB651" s="15" t="s">
        <v>129</v>
      </c>
      <c r="CC651" s="15">
        <v>1</v>
      </c>
      <c r="CN651" s="15" t="s">
        <v>198</v>
      </c>
      <c r="CW651" s="10">
        <v>2</v>
      </c>
      <c r="CX651" s="15" t="s">
        <v>2268</v>
      </c>
    </row>
    <row r="652" spans="1:102" s="15" customFormat="1" x14ac:dyDescent="0.3">
      <c r="A652" s="11" t="s">
        <v>126</v>
      </c>
      <c r="B652" s="10" t="s">
        <v>2269</v>
      </c>
      <c r="C652" s="12" t="s">
        <v>2270</v>
      </c>
      <c r="D652" s="10">
        <v>12</v>
      </c>
      <c r="E652" s="13">
        <v>10000</v>
      </c>
      <c r="F652" s="14" t="s">
        <v>244</v>
      </c>
      <c r="G652" s="14" t="s">
        <v>244</v>
      </c>
      <c r="H652" s="15" t="s">
        <v>254</v>
      </c>
      <c r="I652" s="8"/>
      <c r="J652" s="10"/>
      <c r="AW652" s="15" t="s">
        <v>128</v>
      </c>
      <c r="AX652" s="15" t="s">
        <v>2267</v>
      </c>
      <c r="BH652" s="15" t="s">
        <v>184</v>
      </c>
      <c r="BI652" s="15" t="s">
        <v>185</v>
      </c>
      <c r="BJ652" s="15" t="s">
        <v>186</v>
      </c>
      <c r="BK652" s="15" t="s">
        <v>187</v>
      </c>
      <c r="BL652" s="15" t="s">
        <v>188</v>
      </c>
      <c r="BM652" s="15" t="s">
        <v>189</v>
      </c>
      <c r="BN652" s="15" t="s">
        <v>190</v>
      </c>
      <c r="BO652" s="15" t="s">
        <v>191</v>
      </c>
      <c r="BR652" s="15" t="s">
        <v>192</v>
      </c>
      <c r="BS652" s="15" t="s">
        <v>193</v>
      </c>
      <c r="BT652" s="15" t="s">
        <v>194</v>
      </c>
      <c r="BU652" s="15" t="s">
        <v>195</v>
      </c>
      <c r="BV652" s="15" t="s">
        <v>196</v>
      </c>
      <c r="BW652" s="15" t="s">
        <v>323</v>
      </c>
      <c r="CB652" s="15" t="s">
        <v>128</v>
      </c>
      <c r="CC652" s="15">
        <v>1</v>
      </c>
      <c r="CN652" s="15" t="s">
        <v>198</v>
      </c>
      <c r="CW652" s="10">
        <v>2</v>
      </c>
      <c r="CX652" s="15" t="s">
        <v>2271</v>
      </c>
    </row>
    <row r="653" spans="1:102" s="15" customFormat="1" x14ac:dyDescent="0.3">
      <c r="A653" s="11" t="s">
        <v>126</v>
      </c>
      <c r="B653" s="10" t="s">
        <v>2272</v>
      </c>
      <c r="C653" s="12" t="s">
        <v>3941</v>
      </c>
      <c r="D653" s="10">
        <v>12</v>
      </c>
      <c r="E653" s="13">
        <v>20000</v>
      </c>
      <c r="F653" s="14" t="s">
        <v>243</v>
      </c>
      <c r="G653" s="14" t="s">
        <v>244</v>
      </c>
      <c r="H653" s="15" t="s">
        <v>254</v>
      </c>
      <c r="I653" s="8"/>
      <c r="J653" s="10"/>
      <c r="AV653" s="15" t="s">
        <v>181</v>
      </c>
      <c r="AW653" s="15" t="s">
        <v>182</v>
      </c>
      <c r="AX653" s="15" t="s">
        <v>2273</v>
      </c>
      <c r="BH653" s="15" t="s">
        <v>184</v>
      </c>
      <c r="BI653" s="15" t="s">
        <v>185</v>
      </c>
      <c r="BJ653" s="15" t="s">
        <v>186</v>
      </c>
      <c r="BK653" s="15" t="s">
        <v>187</v>
      </c>
      <c r="BL653" s="15" t="s">
        <v>188</v>
      </c>
      <c r="BM653" s="15" t="s">
        <v>189</v>
      </c>
      <c r="BN653" s="15" t="s">
        <v>190</v>
      </c>
      <c r="BO653" s="15" t="s">
        <v>191</v>
      </c>
      <c r="BR653" s="15" t="s">
        <v>192</v>
      </c>
      <c r="BS653" s="15" t="s">
        <v>193</v>
      </c>
      <c r="BT653" s="15" t="s">
        <v>194</v>
      </c>
      <c r="BU653" s="15" t="s">
        <v>195</v>
      </c>
      <c r="BV653" s="15" t="s">
        <v>196</v>
      </c>
      <c r="BW653" s="15" t="s">
        <v>251</v>
      </c>
      <c r="CB653" s="15" t="s">
        <v>129</v>
      </c>
      <c r="CC653" s="15">
        <v>1</v>
      </c>
      <c r="CN653" s="15" t="s">
        <v>198</v>
      </c>
      <c r="CW653" s="10">
        <v>2</v>
      </c>
      <c r="CX653" s="15" t="s">
        <v>2274</v>
      </c>
    </row>
    <row r="654" spans="1:102" s="15" customFormat="1" x14ac:dyDescent="0.3">
      <c r="A654" s="11" t="s">
        <v>126</v>
      </c>
      <c r="B654" s="10" t="s">
        <v>2275</v>
      </c>
      <c r="C654" s="12" t="s">
        <v>2285</v>
      </c>
      <c r="D654" s="10">
        <v>12</v>
      </c>
      <c r="E654" s="13">
        <v>1000000</v>
      </c>
      <c r="F654" s="14" t="s">
        <v>2276</v>
      </c>
      <c r="G654" s="14" t="s">
        <v>2277</v>
      </c>
      <c r="H654" s="15" t="s">
        <v>2278</v>
      </c>
      <c r="I654" s="8"/>
      <c r="J654" s="10"/>
      <c r="AV654" s="15" t="s">
        <v>2279</v>
      </c>
      <c r="AW654" s="15" t="s">
        <v>2280</v>
      </c>
      <c r="AX654" s="15" t="s">
        <v>191</v>
      </c>
      <c r="AY654" s="15" t="s">
        <v>468</v>
      </c>
      <c r="AZ654" s="15" t="s">
        <v>467</v>
      </c>
      <c r="BH654" s="15" t="s">
        <v>184</v>
      </c>
      <c r="BI654" s="15" t="s">
        <v>185</v>
      </c>
      <c r="BJ654" s="15" t="s">
        <v>186</v>
      </c>
      <c r="BK654" s="15" t="s">
        <v>187</v>
      </c>
      <c r="BL654" s="15" t="s">
        <v>188</v>
      </c>
      <c r="BM654" s="15" t="s">
        <v>189</v>
      </c>
      <c r="BN654" s="15" t="s">
        <v>190</v>
      </c>
      <c r="BO654" s="15" t="s">
        <v>191</v>
      </c>
      <c r="BR654" s="15" t="s">
        <v>192</v>
      </c>
      <c r="BS654" s="15" t="s">
        <v>193</v>
      </c>
      <c r="BT654" s="15" t="s">
        <v>194</v>
      </c>
      <c r="BU654" s="15" t="s">
        <v>195</v>
      </c>
      <c r="BV654" s="15" t="s">
        <v>196</v>
      </c>
      <c r="CB654" s="15" t="s">
        <v>129</v>
      </c>
      <c r="CC654" s="15">
        <v>1</v>
      </c>
      <c r="CM654" s="15" t="s">
        <v>2281</v>
      </c>
      <c r="CN654" s="15" t="s">
        <v>2282</v>
      </c>
      <c r="CW654" s="10">
        <v>2</v>
      </c>
      <c r="CX654" s="15" t="s">
        <v>2283</v>
      </c>
    </row>
    <row r="655" spans="1:102" s="15" customFormat="1" x14ac:dyDescent="0.3">
      <c r="A655" s="11" t="s">
        <v>126</v>
      </c>
      <c r="B655" s="10" t="s">
        <v>2284</v>
      </c>
      <c r="C655" s="12" t="s">
        <v>2285</v>
      </c>
      <c r="D655" s="10">
        <v>12</v>
      </c>
      <c r="E655" s="13">
        <v>1000000</v>
      </c>
      <c r="F655" s="14" t="s">
        <v>2277</v>
      </c>
      <c r="G655" s="14" t="s">
        <v>2277</v>
      </c>
      <c r="H655" s="15" t="s">
        <v>2278</v>
      </c>
      <c r="I655" s="8"/>
      <c r="J655" s="10"/>
      <c r="AW655" s="15" t="s">
        <v>128</v>
      </c>
      <c r="AX655" s="15" t="s">
        <v>191</v>
      </c>
      <c r="AY655" s="15" t="s">
        <v>468</v>
      </c>
      <c r="AZ655" s="15" t="s">
        <v>467</v>
      </c>
      <c r="BH655" s="15" t="s">
        <v>184</v>
      </c>
      <c r="BI655" s="15" t="s">
        <v>185</v>
      </c>
      <c r="BJ655" s="15" t="s">
        <v>186</v>
      </c>
      <c r="BK655" s="15" t="s">
        <v>187</v>
      </c>
      <c r="BL655" s="15" t="s">
        <v>188</v>
      </c>
      <c r="BM655" s="15" t="s">
        <v>189</v>
      </c>
      <c r="BN655" s="15" t="s">
        <v>190</v>
      </c>
      <c r="BO655" s="15" t="s">
        <v>191</v>
      </c>
      <c r="BR655" s="15" t="s">
        <v>192</v>
      </c>
      <c r="BS655" s="15" t="s">
        <v>193</v>
      </c>
      <c r="BT655" s="15" t="s">
        <v>194</v>
      </c>
      <c r="BU655" s="15" t="s">
        <v>195</v>
      </c>
      <c r="BV655" s="15" t="s">
        <v>196</v>
      </c>
      <c r="CC655" s="15">
        <v>1</v>
      </c>
      <c r="CM655" s="15" t="s">
        <v>2286</v>
      </c>
      <c r="CW655" s="10">
        <v>2</v>
      </c>
      <c r="CX655" s="15" t="s">
        <v>2287</v>
      </c>
    </row>
    <row r="656" spans="1:102" s="15" customFormat="1" x14ac:dyDescent="0.3">
      <c r="A656" s="11" t="s">
        <v>126</v>
      </c>
      <c r="B656" s="10" t="s">
        <v>2288</v>
      </c>
      <c r="C656" s="12" t="s">
        <v>2293</v>
      </c>
      <c r="D656" s="10">
        <v>12</v>
      </c>
      <c r="E656" s="13">
        <v>1000000</v>
      </c>
      <c r="F656" s="14">
        <v>1</v>
      </c>
      <c r="G656" s="14">
        <v>1</v>
      </c>
      <c r="H656" s="15" t="s">
        <v>2289</v>
      </c>
      <c r="I656" s="8"/>
      <c r="J656" s="10"/>
      <c r="AW656" s="15" t="s">
        <v>128</v>
      </c>
      <c r="AX656" s="15" t="s">
        <v>2290</v>
      </c>
      <c r="BH656" s="15" t="s">
        <v>191</v>
      </c>
      <c r="BI656" s="15" t="s">
        <v>468</v>
      </c>
      <c r="BJ656" s="15" t="s">
        <v>467</v>
      </c>
      <c r="BR656" s="15" t="s">
        <v>272</v>
      </c>
      <c r="BS656" s="15" t="s">
        <v>193</v>
      </c>
      <c r="CW656" s="10">
        <v>2</v>
      </c>
      <c r="CX656" s="15" t="s">
        <v>2291</v>
      </c>
    </row>
    <row r="657" spans="1:102" s="15" customFormat="1" x14ac:dyDescent="0.3">
      <c r="A657" s="11" t="s">
        <v>126</v>
      </c>
      <c r="B657" s="10" t="s">
        <v>2292</v>
      </c>
      <c r="C657" s="12" t="s">
        <v>2293</v>
      </c>
      <c r="D657" s="10">
        <v>12</v>
      </c>
      <c r="E657" s="13">
        <v>1000000</v>
      </c>
      <c r="F657" s="14">
        <v>1</v>
      </c>
      <c r="G657" s="14">
        <v>1</v>
      </c>
      <c r="H657" s="15" t="s">
        <v>2289</v>
      </c>
      <c r="I657" s="8"/>
      <c r="J657" s="10"/>
      <c r="AW657" s="15" t="s">
        <v>128</v>
      </c>
      <c r="AX657" s="15" t="s">
        <v>2290</v>
      </c>
      <c r="BH657" s="15" t="s">
        <v>191</v>
      </c>
      <c r="BI657" s="15" t="s">
        <v>468</v>
      </c>
      <c r="BJ657" s="15" t="s">
        <v>467</v>
      </c>
      <c r="BR657" s="15" t="s">
        <v>272</v>
      </c>
      <c r="BS657" s="15" t="s">
        <v>193</v>
      </c>
      <c r="CW657" s="10">
        <v>2</v>
      </c>
      <c r="CX657" s="15" t="s">
        <v>2294</v>
      </c>
    </row>
    <row r="658" spans="1:102" s="15" customFormat="1" x14ac:dyDescent="0.3">
      <c r="A658" s="11" t="s">
        <v>126</v>
      </c>
      <c r="B658" s="10" t="s">
        <v>2295</v>
      </c>
      <c r="C658" s="12" t="s">
        <v>2296</v>
      </c>
      <c r="D658" s="10">
        <v>12</v>
      </c>
      <c r="E658" s="13">
        <v>50000</v>
      </c>
      <c r="F658" s="14">
        <v>1</v>
      </c>
      <c r="G658" s="14">
        <v>1</v>
      </c>
      <c r="H658" s="15" t="s">
        <v>2297</v>
      </c>
      <c r="I658" s="8"/>
      <c r="J658" s="10"/>
      <c r="AW658" s="15" t="s">
        <v>128</v>
      </c>
      <c r="AX658" s="15" t="s">
        <v>2298</v>
      </c>
      <c r="BH658" s="15" t="s">
        <v>184</v>
      </c>
      <c r="BI658" s="15" t="s">
        <v>185</v>
      </c>
      <c r="BJ658" s="15" t="s">
        <v>186</v>
      </c>
      <c r="BK658" s="15" t="s">
        <v>187</v>
      </c>
      <c r="BL658" s="15" t="s">
        <v>188</v>
      </c>
      <c r="BM658" s="15" t="s">
        <v>189</v>
      </c>
      <c r="BN658" s="15" t="s">
        <v>190</v>
      </c>
      <c r="BO658" s="15" t="s">
        <v>191</v>
      </c>
      <c r="BR658" s="15" t="s">
        <v>192</v>
      </c>
      <c r="BS658" s="15" t="s">
        <v>193</v>
      </c>
      <c r="BT658" s="15" t="s">
        <v>194</v>
      </c>
      <c r="BU658" s="15" t="s">
        <v>195</v>
      </c>
      <c r="BV658" s="15" t="s">
        <v>196</v>
      </c>
      <c r="BW658" s="15" t="s">
        <v>251</v>
      </c>
      <c r="CW658" s="10">
        <v>2</v>
      </c>
      <c r="CX658" s="15" t="s">
        <v>2299</v>
      </c>
    </row>
    <row r="659" spans="1:102" s="15" customFormat="1" x14ac:dyDescent="0.3">
      <c r="A659" s="11" t="s">
        <v>126</v>
      </c>
      <c r="B659" s="10" t="s">
        <v>2300</v>
      </c>
      <c r="C659" s="12" t="s">
        <v>2301</v>
      </c>
      <c r="D659" s="10">
        <v>12</v>
      </c>
      <c r="E659" s="13">
        <v>50000</v>
      </c>
      <c r="F659" s="14">
        <v>1</v>
      </c>
      <c r="G659" s="14">
        <v>1</v>
      </c>
      <c r="H659" s="15" t="s">
        <v>2297</v>
      </c>
      <c r="I659" s="8"/>
      <c r="J659" s="10"/>
      <c r="AW659" s="15" t="s">
        <v>128</v>
      </c>
      <c r="AX659" s="15" t="s">
        <v>2298</v>
      </c>
      <c r="BH659" s="15" t="s">
        <v>184</v>
      </c>
      <c r="BI659" s="15" t="s">
        <v>185</v>
      </c>
      <c r="BJ659" s="15" t="s">
        <v>186</v>
      </c>
      <c r="BK659" s="15" t="s">
        <v>187</v>
      </c>
      <c r="BL659" s="15" t="s">
        <v>188</v>
      </c>
      <c r="BM659" s="15" t="s">
        <v>189</v>
      </c>
      <c r="BN659" s="15" t="s">
        <v>190</v>
      </c>
      <c r="BO659" s="15" t="s">
        <v>191</v>
      </c>
      <c r="BR659" s="15" t="s">
        <v>192</v>
      </c>
      <c r="BS659" s="15" t="s">
        <v>193</v>
      </c>
      <c r="BT659" s="15" t="s">
        <v>194</v>
      </c>
      <c r="BU659" s="15" t="s">
        <v>195</v>
      </c>
      <c r="BV659" s="15" t="s">
        <v>196</v>
      </c>
      <c r="BW659" s="15" t="s">
        <v>251</v>
      </c>
      <c r="CW659" s="10">
        <v>2</v>
      </c>
      <c r="CX659" s="15" t="s">
        <v>2302</v>
      </c>
    </row>
    <row r="660" spans="1:102" s="15" customFormat="1" x14ac:dyDescent="0.3">
      <c r="A660" s="11" t="s">
        <v>126</v>
      </c>
      <c r="B660" s="10" t="s">
        <v>2303</v>
      </c>
      <c r="C660" s="12" t="s">
        <v>2304</v>
      </c>
      <c r="D660" s="10">
        <v>12</v>
      </c>
      <c r="E660" s="13">
        <v>1</v>
      </c>
      <c r="F660" s="14">
        <v>1</v>
      </c>
      <c r="G660" s="14">
        <v>1</v>
      </c>
      <c r="H660" s="15" t="s">
        <v>49</v>
      </c>
      <c r="I660" s="8"/>
      <c r="J660" s="10"/>
      <c r="AW660" s="15" t="s">
        <v>128</v>
      </c>
      <c r="AX660" s="15" t="s">
        <v>2305</v>
      </c>
      <c r="BH660" s="15" t="s">
        <v>184</v>
      </c>
      <c r="BI660" s="15" t="s">
        <v>185</v>
      </c>
      <c r="BJ660" s="15" t="s">
        <v>186</v>
      </c>
      <c r="BK660" s="15" t="s">
        <v>187</v>
      </c>
      <c r="BL660" s="15" t="s">
        <v>188</v>
      </c>
      <c r="BM660" s="15" t="s">
        <v>189</v>
      </c>
      <c r="BN660" s="15" t="s">
        <v>190</v>
      </c>
      <c r="BO660" s="15" t="s">
        <v>191</v>
      </c>
      <c r="CW660" s="10">
        <v>1</v>
      </c>
      <c r="CX660" s="15" t="s">
        <v>2306</v>
      </c>
    </row>
    <row r="661" spans="1:102" s="15" customFormat="1" x14ac:dyDescent="0.3">
      <c r="A661" s="11" t="s">
        <v>126</v>
      </c>
      <c r="B661" s="10" t="s">
        <v>2307</v>
      </c>
      <c r="C661" s="12" t="s">
        <v>2308</v>
      </c>
      <c r="D661" s="10">
        <v>12</v>
      </c>
      <c r="E661" s="13">
        <v>1</v>
      </c>
      <c r="F661" s="14"/>
      <c r="G661" s="14"/>
      <c r="I661" s="8"/>
      <c r="J661" s="10"/>
      <c r="AW661" s="15" t="s">
        <v>128</v>
      </c>
      <c r="BH661" s="15" t="s">
        <v>184</v>
      </c>
      <c r="BI661" s="15" t="s">
        <v>185</v>
      </c>
      <c r="BJ661" s="15" t="s">
        <v>186</v>
      </c>
      <c r="BK661" s="15" t="s">
        <v>187</v>
      </c>
      <c r="BL661" s="15" t="s">
        <v>188</v>
      </c>
      <c r="BM661" s="15" t="s">
        <v>189</v>
      </c>
      <c r="BN661" s="15" t="s">
        <v>190</v>
      </c>
      <c r="BO661" s="15" t="s">
        <v>191</v>
      </c>
      <c r="CW661" s="10">
        <v>2</v>
      </c>
      <c r="CX661" s="15" t="s">
        <v>2309</v>
      </c>
    </row>
    <row r="662" spans="1:102" s="15" customFormat="1" x14ac:dyDescent="0.3">
      <c r="A662" s="11" t="s">
        <v>126</v>
      </c>
      <c r="B662" s="10" t="s">
        <v>2310</v>
      </c>
      <c r="C662" s="12" t="s">
        <v>2311</v>
      </c>
      <c r="D662" s="10">
        <v>12</v>
      </c>
      <c r="E662" s="13">
        <v>1</v>
      </c>
      <c r="F662" s="14"/>
      <c r="G662" s="14"/>
      <c r="I662" s="8"/>
      <c r="J662" s="10"/>
      <c r="AW662" s="15" t="s">
        <v>128</v>
      </c>
      <c r="BH662" s="15" t="s">
        <v>184</v>
      </c>
      <c r="BI662" s="15" t="s">
        <v>185</v>
      </c>
      <c r="BJ662" s="15" t="s">
        <v>186</v>
      </c>
      <c r="BK662" s="15" t="s">
        <v>187</v>
      </c>
      <c r="BL662" s="15" t="s">
        <v>188</v>
      </c>
      <c r="BM662" s="15" t="s">
        <v>189</v>
      </c>
      <c r="BN662" s="15" t="s">
        <v>190</v>
      </c>
      <c r="BO662" s="15" t="s">
        <v>191</v>
      </c>
      <c r="BR662" s="15" t="s">
        <v>192</v>
      </c>
      <c r="BS662" s="15" t="s">
        <v>193</v>
      </c>
      <c r="BT662" s="15" t="s">
        <v>194</v>
      </c>
      <c r="BU662" s="15" t="s">
        <v>195</v>
      </c>
      <c r="BV662" s="15" t="s">
        <v>196</v>
      </c>
      <c r="CC662" s="15">
        <v>1</v>
      </c>
      <c r="CW662" s="10">
        <v>2</v>
      </c>
      <c r="CX662" s="15" t="s">
        <v>2312</v>
      </c>
    </row>
    <row r="663" spans="1:102" s="15" customFormat="1" x14ac:dyDescent="0.3">
      <c r="A663" s="11" t="s">
        <v>126</v>
      </c>
      <c r="B663" s="10" t="s">
        <v>2313</v>
      </c>
      <c r="C663" s="12" t="s">
        <v>2314</v>
      </c>
      <c r="D663" s="10">
        <v>12</v>
      </c>
      <c r="E663" s="13">
        <v>1</v>
      </c>
      <c r="F663" s="14"/>
      <c r="G663" s="14"/>
      <c r="I663" s="8"/>
      <c r="J663" s="10"/>
      <c r="AW663" s="15" t="s">
        <v>128</v>
      </c>
      <c r="BH663" s="15" t="s">
        <v>184</v>
      </c>
      <c r="BI663" s="15" t="s">
        <v>185</v>
      </c>
      <c r="BJ663" s="15" t="s">
        <v>186</v>
      </c>
      <c r="BK663" s="15" t="s">
        <v>187</v>
      </c>
      <c r="BL663" s="15" t="s">
        <v>188</v>
      </c>
      <c r="BM663" s="15" t="s">
        <v>189</v>
      </c>
      <c r="BN663" s="15" t="s">
        <v>190</v>
      </c>
      <c r="BO663" s="15" t="s">
        <v>191</v>
      </c>
      <c r="CW663" s="10">
        <v>2</v>
      </c>
      <c r="CX663" s="15" t="s">
        <v>2315</v>
      </c>
    </row>
    <row r="664" spans="1:102" s="15" customFormat="1" x14ac:dyDescent="0.3">
      <c r="A664" s="11" t="s">
        <v>126</v>
      </c>
      <c r="B664" s="10" t="s">
        <v>2316</v>
      </c>
      <c r="C664" s="12" t="s">
        <v>2317</v>
      </c>
      <c r="D664" s="10">
        <v>12</v>
      </c>
      <c r="E664" s="13">
        <v>10000</v>
      </c>
      <c r="F664" s="14"/>
      <c r="G664" s="14"/>
      <c r="I664" s="8"/>
      <c r="J664" s="10"/>
      <c r="AW664" s="15" t="s">
        <v>128</v>
      </c>
      <c r="BH664" s="15" t="s">
        <v>184</v>
      </c>
      <c r="BI664" s="15" t="s">
        <v>185</v>
      </c>
      <c r="BJ664" s="15" t="s">
        <v>186</v>
      </c>
      <c r="BK664" s="15" t="s">
        <v>187</v>
      </c>
      <c r="BL664" s="15" t="s">
        <v>188</v>
      </c>
      <c r="BM664" s="15" t="s">
        <v>189</v>
      </c>
      <c r="BN664" s="15" t="s">
        <v>190</v>
      </c>
      <c r="BO664" s="15" t="s">
        <v>191</v>
      </c>
      <c r="CW664" s="10">
        <v>2</v>
      </c>
      <c r="CX664" s="15" t="s">
        <v>2318</v>
      </c>
    </row>
    <row r="665" spans="1:102" s="15" customFormat="1" x14ac:dyDescent="0.3">
      <c r="A665" s="11" t="s">
        <v>126</v>
      </c>
      <c r="B665" s="10" t="s">
        <v>2319</v>
      </c>
      <c r="C665" s="12" t="s">
        <v>2320</v>
      </c>
      <c r="D665" s="10">
        <v>12</v>
      </c>
      <c r="E665" s="13">
        <v>1</v>
      </c>
      <c r="F665" s="14"/>
      <c r="G665" s="14"/>
      <c r="I665" s="8"/>
      <c r="J665" s="10"/>
      <c r="AW665" s="15" t="s">
        <v>128</v>
      </c>
      <c r="BH665" s="15" t="s">
        <v>184</v>
      </c>
      <c r="BI665" s="15" t="s">
        <v>185</v>
      </c>
      <c r="BJ665" s="15" t="s">
        <v>186</v>
      </c>
      <c r="BK665" s="15" t="s">
        <v>187</v>
      </c>
      <c r="BL665" s="15" t="s">
        <v>188</v>
      </c>
      <c r="BM665" s="15" t="s">
        <v>189</v>
      </c>
      <c r="BN665" s="15" t="s">
        <v>190</v>
      </c>
      <c r="BO665" s="15" t="s">
        <v>191</v>
      </c>
      <c r="CW665" s="10">
        <v>2</v>
      </c>
      <c r="CX665" s="15" t="s">
        <v>2321</v>
      </c>
    </row>
    <row r="666" spans="1:102" s="15" customFormat="1" x14ac:dyDescent="0.3">
      <c r="A666" s="11" t="s">
        <v>126</v>
      </c>
      <c r="B666" s="10" t="s">
        <v>2322</v>
      </c>
      <c r="C666" s="12" t="s">
        <v>2323</v>
      </c>
      <c r="D666" s="10">
        <v>12</v>
      </c>
      <c r="E666" s="13">
        <v>1</v>
      </c>
      <c r="F666" s="14"/>
      <c r="G666" s="14"/>
      <c r="I666" s="8"/>
      <c r="J666" s="10"/>
      <c r="AW666" s="15" t="s">
        <v>128</v>
      </c>
      <c r="BH666" s="15" t="s">
        <v>184</v>
      </c>
      <c r="BI666" s="15" t="s">
        <v>185</v>
      </c>
      <c r="BJ666" s="15" t="s">
        <v>186</v>
      </c>
      <c r="BK666" s="15" t="s">
        <v>187</v>
      </c>
      <c r="BL666" s="15" t="s">
        <v>188</v>
      </c>
      <c r="BM666" s="15" t="s">
        <v>189</v>
      </c>
      <c r="BN666" s="15" t="s">
        <v>190</v>
      </c>
      <c r="BO666" s="15" t="s">
        <v>191</v>
      </c>
      <c r="BR666" s="15" t="s">
        <v>192</v>
      </c>
      <c r="BS666" s="15" t="s">
        <v>193</v>
      </c>
      <c r="BT666" s="15" t="s">
        <v>194</v>
      </c>
      <c r="BU666" s="15" t="s">
        <v>195</v>
      </c>
      <c r="BV666" s="15" t="s">
        <v>196</v>
      </c>
      <c r="CC666" s="15">
        <v>1</v>
      </c>
      <c r="CW666" s="10">
        <v>2</v>
      </c>
      <c r="CX666" s="15" t="s">
        <v>2324</v>
      </c>
    </row>
    <row r="667" spans="1:102" s="15" customFormat="1" x14ac:dyDescent="0.3">
      <c r="A667" s="11" t="s">
        <v>126</v>
      </c>
      <c r="B667" s="10" t="s">
        <v>2325</v>
      </c>
      <c r="C667" s="12" t="s">
        <v>2326</v>
      </c>
      <c r="D667" s="10">
        <v>12</v>
      </c>
      <c r="E667" s="13">
        <v>1</v>
      </c>
      <c r="F667" s="14"/>
      <c r="G667" s="14"/>
      <c r="I667" s="8"/>
      <c r="J667" s="10"/>
      <c r="AW667" s="15" t="s">
        <v>128</v>
      </c>
      <c r="BH667" s="15" t="s">
        <v>184</v>
      </c>
      <c r="BI667" s="15" t="s">
        <v>185</v>
      </c>
      <c r="BJ667" s="15" t="s">
        <v>186</v>
      </c>
      <c r="BK667" s="15" t="s">
        <v>187</v>
      </c>
      <c r="BL667" s="15" t="s">
        <v>188</v>
      </c>
      <c r="BM667" s="15" t="s">
        <v>189</v>
      </c>
      <c r="BN667" s="15" t="s">
        <v>190</v>
      </c>
      <c r="BO667" s="15" t="s">
        <v>191</v>
      </c>
      <c r="CW667" s="10">
        <v>2</v>
      </c>
      <c r="CX667" s="15" t="s">
        <v>2327</v>
      </c>
    </row>
    <row r="668" spans="1:102" s="15" customFormat="1" x14ac:dyDescent="0.3">
      <c r="A668" s="11" t="s">
        <v>126</v>
      </c>
      <c r="B668" s="10" t="s">
        <v>2328</v>
      </c>
      <c r="C668" s="12" t="s">
        <v>2329</v>
      </c>
      <c r="D668" s="10">
        <v>12</v>
      </c>
      <c r="E668" s="13">
        <v>10000</v>
      </c>
      <c r="F668" s="14"/>
      <c r="G668" s="14"/>
      <c r="I668" s="8"/>
      <c r="J668" s="10"/>
      <c r="AW668" s="15" t="s">
        <v>128</v>
      </c>
      <c r="BH668" s="15" t="s">
        <v>184</v>
      </c>
      <c r="BI668" s="15" t="s">
        <v>185</v>
      </c>
      <c r="BJ668" s="15" t="s">
        <v>186</v>
      </c>
      <c r="BK668" s="15" t="s">
        <v>187</v>
      </c>
      <c r="BL668" s="15" t="s">
        <v>188</v>
      </c>
      <c r="BM668" s="15" t="s">
        <v>189</v>
      </c>
      <c r="BN668" s="15" t="s">
        <v>190</v>
      </c>
      <c r="BO668" s="15" t="s">
        <v>191</v>
      </c>
      <c r="CW668" s="10">
        <v>2</v>
      </c>
      <c r="CX668" s="15" t="s">
        <v>2330</v>
      </c>
    </row>
    <row r="669" spans="1:102" s="15" customFormat="1" x14ac:dyDescent="0.3">
      <c r="A669" s="11" t="s">
        <v>126</v>
      </c>
      <c r="B669" s="10" t="s">
        <v>2331</v>
      </c>
      <c r="C669" s="12" t="s">
        <v>2332</v>
      </c>
      <c r="D669" s="10">
        <v>12</v>
      </c>
      <c r="E669" s="13">
        <v>5000000</v>
      </c>
      <c r="F669" s="14"/>
      <c r="G669" s="14"/>
      <c r="I669" s="8"/>
      <c r="J669" s="10"/>
      <c r="AW669" s="15" t="s">
        <v>128</v>
      </c>
      <c r="BH669" s="15" t="s">
        <v>184</v>
      </c>
      <c r="BI669" s="15" t="s">
        <v>185</v>
      </c>
      <c r="BJ669" s="15" t="s">
        <v>186</v>
      </c>
      <c r="BK669" s="15" t="s">
        <v>187</v>
      </c>
      <c r="BL669" s="15" t="s">
        <v>188</v>
      </c>
      <c r="BM669" s="15" t="s">
        <v>189</v>
      </c>
      <c r="BN669" s="15" t="s">
        <v>190</v>
      </c>
      <c r="BO669" s="15" t="s">
        <v>191</v>
      </c>
      <c r="CW669" s="10">
        <v>2</v>
      </c>
      <c r="CX669" s="15" t="s">
        <v>2333</v>
      </c>
    </row>
    <row r="670" spans="1:102" s="15" customFormat="1" x14ac:dyDescent="0.3">
      <c r="A670" s="11" t="s">
        <v>126</v>
      </c>
      <c r="B670" s="10" t="s">
        <v>2334</v>
      </c>
      <c r="C670" s="12" t="s">
        <v>2335</v>
      </c>
      <c r="D670" s="10">
        <v>12</v>
      </c>
      <c r="E670" s="13">
        <v>5000000</v>
      </c>
      <c r="F670" s="14"/>
      <c r="G670" s="14"/>
      <c r="I670" s="8"/>
      <c r="J670" s="10"/>
      <c r="AW670" s="15" t="s">
        <v>128</v>
      </c>
      <c r="BH670" s="15" t="s">
        <v>184</v>
      </c>
      <c r="BI670" s="15" t="s">
        <v>185</v>
      </c>
      <c r="BJ670" s="15" t="s">
        <v>186</v>
      </c>
      <c r="BK670" s="15" t="s">
        <v>187</v>
      </c>
      <c r="BL670" s="15" t="s">
        <v>188</v>
      </c>
      <c r="BM670" s="15" t="s">
        <v>189</v>
      </c>
      <c r="BN670" s="15" t="s">
        <v>190</v>
      </c>
      <c r="BO670" s="15" t="s">
        <v>191</v>
      </c>
      <c r="CW670" s="10">
        <v>2</v>
      </c>
      <c r="CX670" s="15" t="s">
        <v>2336</v>
      </c>
    </row>
    <row r="671" spans="1:102" s="15" customFormat="1" x14ac:dyDescent="0.3">
      <c r="A671" s="11" t="s">
        <v>126</v>
      </c>
      <c r="B671" s="10" t="s">
        <v>2337</v>
      </c>
      <c r="C671" s="12" t="s">
        <v>2338</v>
      </c>
      <c r="D671" s="10">
        <v>12</v>
      </c>
      <c r="E671" s="13">
        <v>5000000</v>
      </c>
      <c r="F671" s="14"/>
      <c r="G671" s="14"/>
      <c r="I671" s="8"/>
      <c r="J671" s="10"/>
      <c r="AW671" s="15" t="s">
        <v>128</v>
      </c>
      <c r="BH671" s="15" t="s">
        <v>184</v>
      </c>
      <c r="BI671" s="15" t="s">
        <v>185</v>
      </c>
      <c r="BJ671" s="15" t="s">
        <v>186</v>
      </c>
      <c r="BK671" s="15" t="s">
        <v>187</v>
      </c>
      <c r="BL671" s="15" t="s">
        <v>188</v>
      </c>
      <c r="BM671" s="15" t="s">
        <v>189</v>
      </c>
      <c r="BN671" s="15" t="s">
        <v>190</v>
      </c>
      <c r="BO671" s="15" t="s">
        <v>191</v>
      </c>
      <c r="CW671" s="10">
        <v>2</v>
      </c>
      <c r="CX671" s="15" t="s">
        <v>2339</v>
      </c>
    </row>
    <row r="672" spans="1:102" s="15" customFormat="1" x14ac:dyDescent="0.3">
      <c r="A672" s="11" t="s">
        <v>126</v>
      </c>
      <c r="B672" s="10" t="s">
        <v>2340</v>
      </c>
      <c r="C672" s="12" t="s">
        <v>2341</v>
      </c>
      <c r="D672" s="10">
        <v>12</v>
      </c>
      <c r="E672" s="13">
        <v>5000000</v>
      </c>
      <c r="F672" s="14"/>
      <c r="G672" s="14"/>
      <c r="I672" s="8"/>
      <c r="J672" s="10"/>
      <c r="AW672" s="15" t="s">
        <v>128</v>
      </c>
      <c r="BH672" s="15" t="s">
        <v>184</v>
      </c>
      <c r="BI672" s="15" t="s">
        <v>185</v>
      </c>
      <c r="BJ672" s="15" t="s">
        <v>186</v>
      </c>
      <c r="BK672" s="15" t="s">
        <v>187</v>
      </c>
      <c r="BL672" s="15" t="s">
        <v>188</v>
      </c>
      <c r="BM672" s="15" t="s">
        <v>189</v>
      </c>
      <c r="BN672" s="15" t="s">
        <v>190</v>
      </c>
      <c r="BO672" s="15" t="s">
        <v>191</v>
      </c>
      <c r="CW672" s="10">
        <v>2</v>
      </c>
      <c r="CX672" s="15" t="s">
        <v>2342</v>
      </c>
    </row>
    <row r="673" spans="1:102" s="15" customFormat="1" x14ac:dyDescent="0.3">
      <c r="A673" s="11" t="s">
        <v>126</v>
      </c>
      <c r="B673" s="10" t="s">
        <v>2343</v>
      </c>
      <c r="C673" s="12" t="s">
        <v>2344</v>
      </c>
      <c r="D673" s="10">
        <v>12</v>
      </c>
      <c r="E673" s="13">
        <v>2000000</v>
      </c>
      <c r="F673" s="14"/>
      <c r="G673" s="14"/>
      <c r="I673" s="8"/>
      <c r="J673" s="10"/>
      <c r="AW673" s="15" t="s">
        <v>128</v>
      </c>
      <c r="BH673" s="15" t="s">
        <v>184</v>
      </c>
      <c r="BI673" s="15" t="s">
        <v>185</v>
      </c>
      <c r="BJ673" s="15" t="s">
        <v>186</v>
      </c>
      <c r="BK673" s="15" t="s">
        <v>187</v>
      </c>
      <c r="BL673" s="15" t="s">
        <v>188</v>
      </c>
      <c r="BM673" s="15" t="s">
        <v>189</v>
      </c>
      <c r="BN673" s="15" t="s">
        <v>190</v>
      </c>
      <c r="BO673" s="15" t="s">
        <v>191</v>
      </c>
      <c r="CW673" s="10">
        <v>2</v>
      </c>
      <c r="CX673" s="15" t="s">
        <v>2345</v>
      </c>
    </row>
    <row r="674" spans="1:102" s="15" customFormat="1" x14ac:dyDescent="0.3">
      <c r="A674" s="11" t="s">
        <v>126</v>
      </c>
      <c r="B674" s="10" t="s">
        <v>2346</v>
      </c>
      <c r="C674" s="12" t="s">
        <v>2347</v>
      </c>
      <c r="D674" s="10">
        <v>12</v>
      </c>
      <c r="E674" s="13">
        <v>2000000</v>
      </c>
      <c r="F674" s="14"/>
      <c r="G674" s="14"/>
      <c r="I674" s="8"/>
      <c r="J674" s="10"/>
      <c r="AW674" s="15" t="s">
        <v>128</v>
      </c>
      <c r="BH674" s="15" t="s">
        <v>184</v>
      </c>
      <c r="BI674" s="15" t="s">
        <v>185</v>
      </c>
      <c r="BJ674" s="15" t="s">
        <v>186</v>
      </c>
      <c r="BK674" s="15" t="s">
        <v>187</v>
      </c>
      <c r="BL674" s="15" t="s">
        <v>188</v>
      </c>
      <c r="BM674" s="15" t="s">
        <v>189</v>
      </c>
      <c r="BN674" s="15" t="s">
        <v>190</v>
      </c>
      <c r="BO674" s="15" t="s">
        <v>191</v>
      </c>
      <c r="CW674" s="10">
        <v>2</v>
      </c>
      <c r="CX674" s="15" t="s">
        <v>2348</v>
      </c>
    </row>
    <row r="675" spans="1:102" s="15" customFormat="1" x14ac:dyDescent="0.3">
      <c r="A675" s="11" t="s">
        <v>2349</v>
      </c>
      <c r="B675" s="10" t="s">
        <v>177</v>
      </c>
      <c r="C675" s="12" t="s">
        <v>3785</v>
      </c>
      <c r="D675" s="10">
        <v>12</v>
      </c>
      <c r="E675" s="13">
        <v>1000000</v>
      </c>
      <c r="F675" s="14" t="s">
        <v>178</v>
      </c>
      <c r="G675" s="14" t="s">
        <v>179</v>
      </c>
      <c r="H675" s="15" t="s">
        <v>180</v>
      </c>
      <c r="I675" s="8"/>
      <c r="J675" s="10"/>
      <c r="AV675" s="15" t="s">
        <v>181</v>
      </c>
      <c r="AW675" s="15" t="s">
        <v>182</v>
      </c>
      <c r="AX675" s="15" t="s">
        <v>2350</v>
      </c>
      <c r="BH675" s="15" t="s">
        <v>184</v>
      </c>
      <c r="BI675" s="15" t="s">
        <v>185</v>
      </c>
      <c r="BJ675" s="15" t="s">
        <v>2351</v>
      </c>
      <c r="BK675" s="15" t="s">
        <v>2352</v>
      </c>
      <c r="BL675" s="15" t="s">
        <v>2353</v>
      </c>
      <c r="BM675" s="15" t="s">
        <v>2354</v>
      </c>
      <c r="BN675" s="15" t="s">
        <v>2355</v>
      </c>
      <c r="BO675" s="15" t="s">
        <v>2356</v>
      </c>
      <c r="BR675" s="15" t="s">
        <v>192</v>
      </c>
      <c r="BS675" s="15" t="s">
        <v>193</v>
      </c>
      <c r="BT675" s="15" t="s">
        <v>194</v>
      </c>
      <c r="BU675" s="15" t="s">
        <v>195</v>
      </c>
      <c r="BV675" s="15" t="s">
        <v>196</v>
      </c>
      <c r="CA675" s="15" t="s">
        <v>2357</v>
      </c>
      <c r="CB675" s="15" t="s">
        <v>78</v>
      </c>
      <c r="CC675" s="15" t="s">
        <v>197</v>
      </c>
      <c r="CN675" s="15" t="s">
        <v>198</v>
      </c>
      <c r="CW675" s="10">
        <v>2</v>
      </c>
      <c r="CX675" s="15" t="s">
        <v>2358</v>
      </c>
    </row>
    <row r="676" spans="1:102" s="15" customFormat="1" x14ac:dyDescent="0.3">
      <c r="A676" s="11" t="s">
        <v>2349</v>
      </c>
      <c r="B676" s="10" t="s">
        <v>822</v>
      </c>
      <c r="C676" s="12" t="s">
        <v>3847</v>
      </c>
      <c r="D676" s="10">
        <v>12</v>
      </c>
      <c r="E676" s="13">
        <v>1000000</v>
      </c>
      <c r="F676" s="14" t="s">
        <v>823</v>
      </c>
      <c r="G676" s="14" t="s">
        <v>179</v>
      </c>
      <c r="H676" s="15" t="s">
        <v>180</v>
      </c>
      <c r="I676" s="8"/>
      <c r="J676" s="10"/>
      <c r="AV676" s="15" t="s">
        <v>181</v>
      </c>
      <c r="AW676" s="15" t="s">
        <v>182</v>
      </c>
      <c r="AX676" s="15" t="s">
        <v>2350</v>
      </c>
      <c r="BH676" s="15" t="s">
        <v>184</v>
      </c>
      <c r="BI676" s="15" t="s">
        <v>185</v>
      </c>
      <c r="BJ676" s="15" t="s">
        <v>2351</v>
      </c>
      <c r="BK676" s="15" t="s">
        <v>2352</v>
      </c>
      <c r="BL676" s="15" t="s">
        <v>2353</v>
      </c>
      <c r="BM676" s="15" t="s">
        <v>2354</v>
      </c>
      <c r="BN676" s="15" t="s">
        <v>2355</v>
      </c>
      <c r="BO676" s="15" t="s">
        <v>2356</v>
      </c>
      <c r="BR676" s="15" t="s">
        <v>192</v>
      </c>
      <c r="BS676" s="15" t="s">
        <v>193</v>
      </c>
      <c r="BT676" s="15" t="s">
        <v>194</v>
      </c>
      <c r="BU676" s="15" t="s">
        <v>195</v>
      </c>
      <c r="BV676" s="15" t="s">
        <v>196</v>
      </c>
      <c r="CA676" s="15" t="s">
        <v>2357</v>
      </c>
      <c r="CB676" s="15" t="s">
        <v>78</v>
      </c>
      <c r="CC676" s="15" t="s">
        <v>197</v>
      </c>
      <c r="CN676" s="15" t="s">
        <v>198</v>
      </c>
      <c r="CW676" s="10">
        <v>2</v>
      </c>
      <c r="CX676" s="15" t="s">
        <v>2359</v>
      </c>
    </row>
    <row r="677" spans="1:102" s="15" customFormat="1" x14ac:dyDescent="0.3">
      <c r="A677" s="11" t="s">
        <v>2349</v>
      </c>
      <c r="B677" s="10" t="s">
        <v>913</v>
      </c>
      <c r="C677" s="12" t="s">
        <v>3870</v>
      </c>
      <c r="D677" s="10">
        <v>12</v>
      </c>
      <c r="E677" s="13">
        <v>1000000</v>
      </c>
      <c r="F677" s="14" t="s">
        <v>823</v>
      </c>
      <c r="G677" s="14" t="s">
        <v>179</v>
      </c>
      <c r="H677" s="15" t="s">
        <v>180</v>
      </c>
      <c r="I677" s="8"/>
      <c r="J677" s="10"/>
      <c r="AV677" s="15" t="s">
        <v>203</v>
      </c>
      <c r="AW677" s="15" t="s">
        <v>204</v>
      </c>
      <c r="AX677" s="15" t="s">
        <v>2350</v>
      </c>
      <c r="BH677" s="15" t="s">
        <v>184</v>
      </c>
      <c r="BI677" s="15" t="s">
        <v>185</v>
      </c>
      <c r="BJ677" s="15" t="s">
        <v>2351</v>
      </c>
      <c r="BK677" s="15" t="s">
        <v>2352</v>
      </c>
      <c r="BL677" s="15" t="s">
        <v>2353</v>
      </c>
      <c r="BM677" s="15" t="s">
        <v>2354</v>
      </c>
      <c r="BN677" s="15" t="s">
        <v>2355</v>
      </c>
      <c r="BO677" s="15" t="s">
        <v>2356</v>
      </c>
      <c r="BR677" s="15" t="s">
        <v>192</v>
      </c>
      <c r="BS677" s="15" t="s">
        <v>193</v>
      </c>
      <c r="BT677" s="15" t="s">
        <v>194</v>
      </c>
      <c r="BU677" s="15" t="s">
        <v>195</v>
      </c>
      <c r="BV677" s="15" t="s">
        <v>196</v>
      </c>
      <c r="CA677" s="15" t="s">
        <v>2357</v>
      </c>
      <c r="CB677" s="15" t="s">
        <v>78</v>
      </c>
      <c r="CC677" s="15" t="s">
        <v>197</v>
      </c>
      <c r="CN677" s="15" t="s">
        <v>198</v>
      </c>
      <c r="CW677" s="10">
        <v>2</v>
      </c>
      <c r="CX677" s="15" t="s">
        <v>2360</v>
      </c>
    </row>
    <row r="678" spans="1:102" s="15" customFormat="1" x14ac:dyDescent="0.3">
      <c r="A678" s="11" t="s">
        <v>2349</v>
      </c>
      <c r="B678" s="10" t="s">
        <v>1031</v>
      </c>
      <c r="C678" s="12" t="s">
        <v>3899</v>
      </c>
      <c r="D678" s="10">
        <v>12</v>
      </c>
      <c r="E678" s="13">
        <v>1000000</v>
      </c>
      <c r="F678" s="14" t="s">
        <v>178</v>
      </c>
      <c r="G678" s="14" t="s">
        <v>179</v>
      </c>
      <c r="H678" s="15" t="s">
        <v>180</v>
      </c>
      <c r="I678" s="8"/>
      <c r="J678" s="10"/>
      <c r="AV678" s="15" t="s">
        <v>181</v>
      </c>
      <c r="AW678" s="15" t="s">
        <v>182</v>
      </c>
      <c r="AX678" s="15" t="s">
        <v>2361</v>
      </c>
      <c r="BH678" s="15" t="s">
        <v>1033</v>
      </c>
      <c r="BI678" s="15" t="s">
        <v>185</v>
      </c>
      <c r="BJ678" s="15" t="s">
        <v>2351</v>
      </c>
      <c r="BK678" s="15" t="s">
        <v>2352</v>
      </c>
      <c r="BL678" s="15" t="s">
        <v>2353</v>
      </c>
      <c r="BM678" s="15" t="s">
        <v>2354</v>
      </c>
      <c r="BN678" s="15" t="s">
        <v>2355</v>
      </c>
      <c r="BO678" s="15" t="s">
        <v>2356</v>
      </c>
      <c r="BR678" s="15" t="s">
        <v>192</v>
      </c>
      <c r="BS678" s="15" t="s">
        <v>193</v>
      </c>
      <c r="BT678" s="15" t="s">
        <v>194</v>
      </c>
      <c r="BU678" s="15" t="s">
        <v>195</v>
      </c>
      <c r="BV678" s="15" t="s">
        <v>196</v>
      </c>
      <c r="CA678" s="15" t="s">
        <v>2357</v>
      </c>
      <c r="CB678" s="15" t="s">
        <v>78</v>
      </c>
      <c r="CC678" s="15" t="s">
        <v>197</v>
      </c>
      <c r="CN678" s="15" t="s">
        <v>198</v>
      </c>
      <c r="CW678" s="10">
        <v>2</v>
      </c>
      <c r="CX678" s="15" t="s">
        <v>2362</v>
      </c>
    </row>
    <row r="679" spans="1:102" s="15" customFormat="1" x14ac:dyDescent="0.3">
      <c r="A679" s="11" t="s">
        <v>2349</v>
      </c>
      <c r="B679" s="10" t="s">
        <v>1035</v>
      </c>
      <c r="C679" s="12" t="s">
        <v>3900</v>
      </c>
      <c r="D679" s="10">
        <v>12</v>
      </c>
      <c r="E679" s="13">
        <v>1000000</v>
      </c>
      <c r="F679" s="14" t="s">
        <v>178</v>
      </c>
      <c r="G679" s="14" t="s">
        <v>179</v>
      </c>
      <c r="H679" s="15" t="s">
        <v>180</v>
      </c>
      <c r="I679" s="8"/>
      <c r="J679" s="10"/>
      <c r="AV679" s="15" t="s">
        <v>181</v>
      </c>
      <c r="AW679" s="15" t="s">
        <v>182</v>
      </c>
      <c r="AX679" s="15" t="s">
        <v>2361</v>
      </c>
      <c r="BH679" s="15" t="s">
        <v>1033</v>
      </c>
      <c r="BI679" s="15" t="s">
        <v>185</v>
      </c>
      <c r="BJ679" s="15" t="s">
        <v>2351</v>
      </c>
      <c r="BK679" s="15" t="s">
        <v>2352</v>
      </c>
      <c r="BL679" s="15" t="s">
        <v>2353</v>
      </c>
      <c r="BM679" s="15" t="s">
        <v>2354</v>
      </c>
      <c r="BN679" s="15" t="s">
        <v>2355</v>
      </c>
      <c r="BO679" s="15" t="s">
        <v>2356</v>
      </c>
      <c r="BR679" s="15" t="s">
        <v>192</v>
      </c>
      <c r="BS679" s="15" t="s">
        <v>193</v>
      </c>
      <c r="BT679" s="15" t="s">
        <v>194</v>
      </c>
      <c r="BU679" s="15" t="s">
        <v>195</v>
      </c>
      <c r="BV679" s="15" t="s">
        <v>196</v>
      </c>
      <c r="CA679" s="15" t="s">
        <v>2357</v>
      </c>
      <c r="CB679" s="15" t="s">
        <v>78</v>
      </c>
      <c r="CC679" s="15" t="s">
        <v>197</v>
      </c>
      <c r="CN679" s="15" t="s">
        <v>198</v>
      </c>
      <c r="CW679" s="10">
        <v>2</v>
      </c>
      <c r="CX679" s="15" t="s">
        <v>2363</v>
      </c>
    </row>
    <row r="680" spans="1:102" s="15" customFormat="1" x14ac:dyDescent="0.3">
      <c r="A680" s="11" t="s">
        <v>2349</v>
      </c>
      <c r="B680" s="10" t="s">
        <v>1067</v>
      </c>
      <c r="C680" s="12" t="s">
        <v>3942</v>
      </c>
      <c r="D680" s="10">
        <v>12</v>
      </c>
      <c r="E680" s="13">
        <v>500000</v>
      </c>
      <c r="F680" s="14" t="s">
        <v>178</v>
      </c>
      <c r="G680" s="14" t="s">
        <v>179</v>
      </c>
      <c r="H680" s="15" t="s">
        <v>1068</v>
      </c>
      <c r="I680" s="8"/>
      <c r="J680" s="10"/>
      <c r="AV680" s="15" t="s">
        <v>181</v>
      </c>
      <c r="AW680" s="15" t="s">
        <v>182</v>
      </c>
      <c r="AX680" s="15" t="s">
        <v>2364</v>
      </c>
      <c r="BH680" s="15" t="s">
        <v>184</v>
      </c>
      <c r="BI680" s="15" t="s">
        <v>185</v>
      </c>
      <c r="BJ680" s="15" t="s">
        <v>2351</v>
      </c>
      <c r="BK680" s="15" t="s">
        <v>2352</v>
      </c>
      <c r="BL680" s="15" t="s">
        <v>2353</v>
      </c>
      <c r="BM680" s="15" t="s">
        <v>2354</v>
      </c>
      <c r="BN680" s="15" t="s">
        <v>2355</v>
      </c>
      <c r="BO680" s="15" t="s">
        <v>2356</v>
      </c>
      <c r="BR680" s="15" t="s">
        <v>192</v>
      </c>
      <c r="BS680" s="15" t="s">
        <v>193</v>
      </c>
      <c r="BT680" s="15" t="s">
        <v>194</v>
      </c>
      <c r="BU680" s="15" t="s">
        <v>195</v>
      </c>
      <c r="BV680" s="15" t="s">
        <v>196</v>
      </c>
      <c r="CA680" s="15" t="s">
        <v>2357</v>
      </c>
      <c r="CB680" s="15" t="s">
        <v>78</v>
      </c>
      <c r="CC680" s="15" t="s">
        <v>197</v>
      </c>
      <c r="CN680" s="15" t="s">
        <v>198</v>
      </c>
      <c r="CW680" s="10">
        <v>2</v>
      </c>
      <c r="CX680" s="15" t="s">
        <v>2365</v>
      </c>
    </row>
    <row r="681" spans="1:102" s="15" customFormat="1" x14ac:dyDescent="0.3">
      <c r="A681" s="11" t="s">
        <v>2349</v>
      </c>
      <c r="B681" s="10" t="s">
        <v>127</v>
      </c>
      <c r="C681" s="12" t="s">
        <v>3782</v>
      </c>
      <c r="D681" s="10">
        <v>1</v>
      </c>
      <c r="E681" s="13"/>
      <c r="F681" s="14">
        <v>1</v>
      </c>
      <c r="G681" s="14"/>
      <c r="I681" s="8"/>
      <c r="J681" s="10"/>
      <c r="AW681" s="15" t="s">
        <v>128</v>
      </c>
      <c r="BH681" s="15" t="s">
        <v>184</v>
      </c>
      <c r="BI681" s="15" t="s">
        <v>185</v>
      </c>
      <c r="BJ681" s="15" t="s">
        <v>2351</v>
      </c>
      <c r="BK681" s="15" t="s">
        <v>2352</v>
      </c>
      <c r="BL681" s="15" t="s">
        <v>2353</v>
      </c>
      <c r="BM681" s="15" t="s">
        <v>2354</v>
      </c>
      <c r="BN681" s="15" t="s">
        <v>2355</v>
      </c>
      <c r="BO681" s="15" t="s">
        <v>2356</v>
      </c>
      <c r="CA681" s="15" t="s">
        <v>2357</v>
      </c>
      <c r="CB681" s="15" t="s">
        <v>78</v>
      </c>
      <c r="CW681" s="10">
        <v>2</v>
      </c>
      <c r="CX681" s="15" t="s">
        <v>2366</v>
      </c>
    </row>
    <row r="682" spans="1:102" s="15" customFormat="1" x14ac:dyDescent="0.3">
      <c r="A682" s="11" t="s">
        <v>2349</v>
      </c>
      <c r="B682" s="10" t="s">
        <v>508</v>
      </c>
      <c r="C682" s="12" t="s">
        <v>3795</v>
      </c>
      <c r="D682" s="10">
        <v>12</v>
      </c>
      <c r="E682" s="13">
        <v>1000000</v>
      </c>
      <c r="F682" s="14" t="s">
        <v>243</v>
      </c>
      <c r="G682" s="14" t="s">
        <v>244</v>
      </c>
      <c r="H682" s="15" t="s">
        <v>254</v>
      </c>
      <c r="I682" s="8"/>
      <c r="J682" s="10"/>
      <c r="AV682" s="15" t="s">
        <v>181</v>
      </c>
      <c r="AW682" s="15" t="s">
        <v>182</v>
      </c>
      <c r="AX682" s="15" t="s">
        <v>509</v>
      </c>
      <c r="BH682" s="15" t="s">
        <v>184</v>
      </c>
      <c r="BI682" s="15" t="s">
        <v>185</v>
      </c>
      <c r="BJ682" s="15" t="s">
        <v>2351</v>
      </c>
      <c r="BK682" s="15" t="s">
        <v>2352</v>
      </c>
      <c r="BL682" s="15" t="s">
        <v>2353</v>
      </c>
      <c r="BM682" s="15" t="s">
        <v>2354</v>
      </c>
      <c r="BN682" s="15" t="s">
        <v>2355</v>
      </c>
      <c r="BO682" s="15" t="s">
        <v>2356</v>
      </c>
      <c r="BR682" s="15" t="s">
        <v>192</v>
      </c>
      <c r="BS682" s="15" t="s">
        <v>193</v>
      </c>
      <c r="BT682" s="15" t="s">
        <v>194</v>
      </c>
      <c r="BU682" s="15" t="s">
        <v>195</v>
      </c>
      <c r="BV682" s="15" t="s">
        <v>196</v>
      </c>
      <c r="BW682" s="15" t="s">
        <v>460</v>
      </c>
      <c r="CA682" s="15" t="s">
        <v>2357</v>
      </c>
      <c r="CB682" s="15" t="s">
        <v>78</v>
      </c>
      <c r="CC682" s="15">
        <v>1</v>
      </c>
      <c r="CN682" s="15" t="s">
        <v>198</v>
      </c>
      <c r="CW682" s="10">
        <v>2</v>
      </c>
      <c r="CX682" s="15" t="s">
        <v>2367</v>
      </c>
    </row>
    <row r="683" spans="1:102" s="15" customFormat="1" x14ac:dyDescent="0.3">
      <c r="A683" s="11" t="s">
        <v>2349</v>
      </c>
      <c r="B683" s="10" t="s">
        <v>200</v>
      </c>
      <c r="C683" s="12" t="s">
        <v>3786</v>
      </c>
      <c r="D683" s="10">
        <v>12</v>
      </c>
      <c r="E683" s="13">
        <v>1000000</v>
      </c>
      <c r="F683" s="14" t="s">
        <v>201</v>
      </c>
      <c r="G683" s="14" t="s">
        <v>202</v>
      </c>
      <c r="H683" s="15" t="s">
        <v>180</v>
      </c>
      <c r="I683" s="8"/>
      <c r="J683" s="10"/>
      <c r="AV683" s="15" t="s">
        <v>203</v>
      </c>
      <c r="AW683" s="15" t="s">
        <v>204</v>
      </c>
      <c r="AX683" s="15" t="s">
        <v>184</v>
      </c>
      <c r="BH683" s="15" t="s">
        <v>184</v>
      </c>
      <c r="BI683" s="15" t="s">
        <v>185</v>
      </c>
      <c r="BJ683" s="15" t="s">
        <v>2351</v>
      </c>
      <c r="BK683" s="15" t="s">
        <v>2352</v>
      </c>
      <c r="BL683" s="15" t="s">
        <v>2353</v>
      </c>
      <c r="BM683" s="15" t="s">
        <v>2354</v>
      </c>
      <c r="BN683" s="15" t="s">
        <v>2355</v>
      </c>
      <c r="BO683" s="15" t="s">
        <v>2356</v>
      </c>
      <c r="BR683" s="15" t="s">
        <v>192</v>
      </c>
      <c r="BS683" s="15" t="s">
        <v>193</v>
      </c>
      <c r="BT683" s="15" t="s">
        <v>194</v>
      </c>
      <c r="BU683" s="15" t="s">
        <v>195</v>
      </c>
      <c r="BV683" s="15" t="s">
        <v>196</v>
      </c>
      <c r="BW683" s="15" t="s">
        <v>205</v>
      </c>
      <c r="CA683" s="15" t="s">
        <v>2357</v>
      </c>
      <c r="CB683" s="15" t="s">
        <v>78</v>
      </c>
      <c r="CC683" s="15">
        <v>1</v>
      </c>
      <c r="CN683" s="15" t="s">
        <v>206</v>
      </c>
      <c r="CW683" s="10">
        <v>2</v>
      </c>
      <c r="CX683" s="15" t="s">
        <v>2368</v>
      </c>
    </row>
    <row r="684" spans="1:102" s="15" customFormat="1" x14ac:dyDescent="0.3">
      <c r="A684" s="11" t="s">
        <v>2349</v>
      </c>
      <c r="B684" s="10" t="s">
        <v>157</v>
      </c>
      <c r="C684" s="12" t="s">
        <v>3943</v>
      </c>
      <c r="D684" s="10">
        <v>1</v>
      </c>
      <c r="E684" s="13"/>
      <c r="F684" s="14">
        <v>1</v>
      </c>
      <c r="G684" s="14"/>
      <c r="I684" s="8"/>
      <c r="J684" s="10"/>
      <c r="AW684" s="15" t="s">
        <v>128</v>
      </c>
      <c r="BH684" s="15" t="s">
        <v>184</v>
      </c>
      <c r="BI684" s="15" t="s">
        <v>185</v>
      </c>
      <c r="BJ684" s="15" t="s">
        <v>2351</v>
      </c>
      <c r="BK684" s="15" t="s">
        <v>2352</v>
      </c>
      <c r="BL684" s="15" t="s">
        <v>2353</v>
      </c>
      <c r="BM684" s="15" t="s">
        <v>2354</v>
      </c>
      <c r="BN684" s="15" t="s">
        <v>2355</v>
      </c>
      <c r="BO684" s="15" t="s">
        <v>2356</v>
      </c>
      <c r="CA684" s="15" t="s">
        <v>2357</v>
      </c>
      <c r="CB684" s="15" t="s">
        <v>78</v>
      </c>
      <c r="CW684" s="10">
        <v>2</v>
      </c>
      <c r="CX684" s="15" t="s">
        <v>2369</v>
      </c>
    </row>
    <row r="685" spans="1:102" s="15" customFormat="1" x14ac:dyDescent="0.3">
      <c r="A685" s="11" t="s">
        <v>2349</v>
      </c>
      <c r="B685" s="10" t="s">
        <v>1614</v>
      </c>
      <c r="C685" s="12" t="s">
        <v>3944</v>
      </c>
      <c r="D685" s="10">
        <v>12</v>
      </c>
      <c r="E685" s="13">
        <v>10000</v>
      </c>
      <c r="F685" s="14" t="s">
        <v>243</v>
      </c>
      <c r="G685" s="14" t="s">
        <v>244</v>
      </c>
      <c r="H685" s="15" t="s">
        <v>1615</v>
      </c>
      <c r="I685" s="8"/>
      <c r="J685" s="10"/>
      <c r="AV685" s="15" t="s">
        <v>181</v>
      </c>
      <c r="AW685" s="15" t="s">
        <v>182</v>
      </c>
      <c r="AX685" s="15" t="s">
        <v>2370</v>
      </c>
      <c r="AY685" s="15" t="s">
        <v>2371</v>
      </c>
      <c r="AZ685" s="15" t="s">
        <v>2372</v>
      </c>
      <c r="BA685" s="15" t="s">
        <v>2373</v>
      </c>
      <c r="BB685" s="15" t="s">
        <v>2374</v>
      </c>
      <c r="BC685" s="15" t="s">
        <v>2375</v>
      </c>
      <c r="BD685" s="15" t="s">
        <v>2376</v>
      </c>
      <c r="BH685" s="15" t="s">
        <v>184</v>
      </c>
      <c r="BI685" s="15" t="s">
        <v>185</v>
      </c>
      <c r="BJ685" s="15" t="s">
        <v>2351</v>
      </c>
      <c r="BK685" s="15" t="s">
        <v>2352</v>
      </c>
      <c r="BL685" s="15" t="s">
        <v>2353</v>
      </c>
      <c r="BM685" s="15" t="s">
        <v>2354</v>
      </c>
      <c r="BN685" s="15" t="s">
        <v>2355</v>
      </c>
      <c r="BO685" s="15" t="s">
        <v>2356</v>
      </c>
      <c r="BR685" s="15" t="s">
        <v>192</v>
      </c>
      <c r="BS685" s="15" t="s">
        <v>193</v>
      </c>
      <c r="BT685" s="15" t="s">
        <v>194</v>
      </c>
      <c r="BU685" s="15" t="s">
        <v>195</v>
      </c>
      <c r="BV685" s="15" t="s">
        <v>196</v>
      </c>
      <c r="BW685" s="15" t="s">
        <v>460</v>
      </c>
      <c r="CA685" s="15" t="s">
        <v>2357</v>
      </c>
      <c r="CB685" s="15" t="s">
        <v>78</v>
      </c>
      <c r="CC685" s="15">
        <v>1</v>
      </c>
      <c r="CN685" s="15" t="s">
        <v>198</v>
      </c>
      <c r="CW685" s="10">
        <v>2</v>
      </c>
      <c r="CX685" s="15" t="s">
        <v>2377</v>
      </c>
    </row>
    <row r="686" spans="1:102" s="15" customFormat="1" x14ac:dyDescent="0.3">
      <c r="A686" s="11" t="s">
        <v>2349</v>
      </c>
      <c r="B686" s="10" t="s">
        <v>1624</v>
      </c>
      <c r="C686" s="12" t="s">
        <v>3945</v>
      </c>
      <c r="D686" s="10">
        <v>12</v>
      </c>
      <c r="E686" s="13">
        <v>100000</v>
      </c>
      <c r="F686" s="14" t="s">
        <v>243</v>
      </c>
      <c r="G686" s="14" t="s">
        <v>244</v>
      </c>
      <c r="H686" s="15" t="s">
        <v>1615</v>
      </c>
      <c r="I686" s="8"/>
      <c r="J686" s="10"/>
      <c r="AV686" s="15" t="s">
        <v>181</v>
      </c>
      <c r="AW686" s="15" t="s">
        <v>182</v>
      </c>
      <c r="AX686" s="15" t="s">
        <v>2378</v>
      </c>
      <c r="AY686" s="15" t="s">
        <v>2379</v>
      </c>
      <c r="AZ686" s="15" t="s">
        <v>2380</v>
      </c>
      <c r="BA686" s="15" t="s">
        <v>2381</v>
      </c>
      <c r="BB686" s="15" t="s">
        <v>2382</v>
      </c>
      <c r="BC686" s="15" t="s">
        <v>2383</v>
      </c>
      <c r="BD686" s="15" t="s">
        <v>2384</v>
      </c>
      <c r="BH686" s="15" t="s">
        <v>184</v>
      </c>
      <c r="BI686" s="15" t="s">
        <v>185</v>
      </c>
      <c r="BJ686" s="15" t="s">
        <v>2351</v>
      </c>
      <c r="BK686" s="15" t="s">
        <v>2352</v>
      </c>
      <c r="BL686" s="15" t="s">
        <v>2353</v>
      </c>
      <c r="BM686" s="15" t="s">
        <v>2354</v>
      </c>
      <c r="BN686" s="15" t="s">
        <v>2355</v>
      </c>
      <c r="BO686" s="15" t="s">
        <v>2356</v>
      </c>
      <c r="BR686" s="15" t="s">
        <v>192</v>
      </c>
      <c r="BS686" s="15" t="s">
        <v>193</v>
      </c>
      <c r="BT686" s="15" t="s">
        <v>194</v>
      </c>
      <c r="BU686" s="15" t="s">
        <v>195</v>
      </c>
      <c r="BV686" s="15" t="s">
        <v>196</v>
      </c>
      <c r="BW686" s="15" t="s">
        <v>460</v>
      </c>
      <c r="CA686" s="15" t="s">
        <v>2357</v>
      </c>
      <c r="CB686" s="15" t="s">
        <v>78</v>
      </c>
      <c r="CC686" s="15">
        <v>1</v>
      </c>
      <c r="CN686" s="15" t="s">
        <v>198</v>
      </c>
      <c r="CW686" s="10">
        <v>2</v>
      </c>
      <c r="CX686" s="15" t="s">
        <v>2385</v>
      </c>
    </row>
    <row r="687" spans="1:102" s="15" customFormat="1" x14ac:dyDescent="0.3">
      <c r="A687" s="11" t="s">
        <v>2349</v>
      </c>
      <c r="B687" s="10" t="s">
        <v>1633</v>
      </c>
      <c r="C687" s="12" t="s">
        <v>3946</v>
      </c>
      <c r="D687" s="10">
        <v>12</v>
      </c>
      <c r="E687" s="13">
        <v>1000000</v>
      </c>
      <c r="F687" s="14" t="s">
        <v>243</v>
      </c>
      <c r="G687" s="14" t="s">
        <v>244</v>
      </c>
      <c r="H687" s="15" t="s">
        <v>1615</v>
      </c>
      <c r="I687" s="8"/>
      <c r="J687" s="10"/>
      <c r="AV687" s="15" t="s">
        <v>181</v>
      </c>
      <c r="AW687" s="15" t="s">
        <v>182</v>
      </c>
      <c r="AX687" s="15" t="s">
        <v>2386</v>
      </c>
      <c r="AY687" s="15" t="s">
        <v>2387</v>
      </c>
      <c r="AZ687" s="15" t="s">
        <v>2388</v>
      </c>
      <c r="BA687" s="15" t="s">
        <v>2389</v>
      </c>
      <c r="BB687" s="15" t="s">
        <v>2390</v>
      </c>
      <c r="BC687" s="15" t="s">
        <v>2391</v>
      </c>
      <c r="BD687" s="15" t="s">
        <v>2392</v>
      </c>
      <c r="BH687" s="15" t="s">
        <v>184</v>
      </c>
      <c r="BI687" s="15" t="s">
        <v>185</v>
      </c>
      <c r="BJ687" s="15" t="s">
        <v>2351</v>
      </c>
      <c r="BK687" s="15" t="s">
        <v>2352</v>
      </c>
      <c r="BL687" s="15" t="s">
        <v>2353</v>
      </c>
      <c r="BM687" s="15" t="s">
        <v>2354</v>
      </c>
      <c r="BN687" s="15" t="s">
        <v>2355</v>
      </c>
      <c r="BO687" s="15" t="s">
        <v>2356</v>
      </c>
      <c r="BR687" s="15" t="s">
        <v>192</v>
      </c>
      <c r="BS687" s="15" t="s">
        <v>193</v>
      </c>
      <c r="BT687" s="15" t="s">
        <v>194</v>
      </c>
      <c r="BU687" s="15" t="s">
        <v>195</v>
      </c>
      <c r="BV687" s="15" t="s">
        <v>196</v>
      </c>
      <c r="BW687" s="15" t="s">
        <v>460</v>
      </c>
      <c r="CA687" s="15" t="s">
        <v>2357</v>
      </c>
      <c r="CB687" s="15" t="s">
        <v>78</v>
      </c>
      <c r="CC687" s="15">
        <v>1</v>
      </c>
      <c r="CN687" s="15" t="s">
        <v>198</v>
      </c>
      <c r="CW687" s="10">
        <v>2</v>
      </c>
      <c r="CX687" s="15" t="s">
        <v>2393</v>
      </c>
    </row>
    <row r="688" spans="1:102" s="15" customFormat="1" x14ac:dyDescent="0.3">
      <c r="A688" s="11" t="s">
        <v>2349</v>
      </c>
      <c r="B688" s="10" t="s">
        <v>458</v>
      </c>
      <c r="C688" s="12" t="s">
        <v>3577</v>
      </c>
      <c r="D688" s="10">
        <v>12</v>
      </c>
      <c r="E688" s="13">
        <v>100000</v>
      </c>
      <c r="F688" s="14" t="s">
        <v>243</v>
      </c>
      <c r="G688" s="14" t="s">
        <v>244</v>
      </c>
      <c r="H688" s="15" t="s">
        <v>402</v>
      </c>
      <c r="I688" s="8"/>
      <c r="J688" s="10"/>
      <c r="AV688" s="15" t="s">
        <v>181</v>
      </c>
      <c r="AW688" s="15" t="s">
        <v>182</v>
      </c>
      <c r="AX688" s="15" t="s">
        <v>2394</v>
      </c>
      <c r="BH688" s="15" t="s">
        <v>184</v>
      </c>
      <c r="BI688" s="15" t="s">
        <v>185</v>
      </c>
      <c r="BJ688" s="15" t="s">
        <v>2351</v>
      </c>
      <c r="BK688" s="15" t="s">
        <v>2352</v>
      </c>
      <c r="BL688" s="15" t="s">
        <v>2353</v>
      </c>
      <c r="BM688" s="15" t="s">
        <v>2354</v>
      </c>
      <c r="BN688" s="15" t="s">
        <v>2355</v>
      </c>
      <c r="BO688" s="15" t="s">
        <v>2356</v>
      </c>
      <c r="BR688" s="15" t="s">
        <v>192</v>
      </c>
      <c r="BS688" s="15" t="s">
        <v>193</v>
      </c>
      <c r="BT688" s="15" t="s">
        <v>194</v>
      </c>
      <c r="BU688" s="15" t="s">
        <v>195</v>
      </c>
      <c r="BV688" s="15" t="s">
        <v>196</v>
      </c>
      <c r="BW688" s="15" t="s">
        <v>460</v>
      </c>
      <c r="CA688" s="15" t="s">
        <v>2357</v>
      </c>
      <c r="CB688" s="15" t="s">
        <v>78</v>
      </c>
      <c r="CC688" s="15">
        <v>1</v>
      </c>
      <c r="CN688" s="15" t="s">
        <v>198</v>
      </c>
      <c r="CW688" s="10">
        <v>2</v>
      </c>
      <c r="CX688" s="15" t="s">
        <v>2395</v>
      </c>
    </row>
    <row r="689" spans="1:102" s="15" customFormat="1" x14ac:dyDescent="0.3">
      <c r="A689" s="11" t="s">
        <v>2349</v>
      </c>
      <c r="B689" s="10" t="s">
        <v>559</v>
      </c>
      <c r="C689" s="12" t="s">
        <v>3680</v>
      </c>
      <c r="D689" s="10">
        <v>12</v>
      </c>
      <c r="E689" s="13">
        <v>100000</v>
      </c>
      <c r="F689" s="14" t="s">
        <v>243</v>
      </c>
      <c r="G689" s="14" t="s">
        <v>244</v>
      </c>
      <c r="H689" s="15" t="s">
        <v>402</v>
      </c>
      <c r="I689" s="8"/>
      <c r="J689" s="10"/>
      <c r="AV689" s="15" t="s">
        <v>181</v>
      </c>
      <c r="AW689" s="15" t="s">
        <v>182</v>
      </c>
      <c r="AX689" s="15" t="s">
        <v>2396</v>
      </c>
      <c r="BH689" s="15" t="s">
        <v>184</v>
      </c>
      <c r="BI689" s="15" t="s">
        <v>185</v>
      </c>
      <c r="BJ689" s="15" t="s">
        <v>2351</v>
      </c>
      <c r="BK689" s="15" t="s">
        <v>2352</v>
      </c>
      <c r="BL689" s="15" t="s">
        <v>2353</v>
      </c>
      <c r="BM689" s="15" t="s">
        <v>2354</v>
      </c>
      <c r="BN689" s="15" t="s">
        <v>2355</v>
      </c>
      <c r="BO689" s="15" t="s">
        <v>2356</v>
      </c>
      <c r="BR689" s="15" t="s">
        <v>192</v>
      </c>
      <c r="BS689" s="15" t="s">
        <v>193</v>
      </c>
      <c r="BT689" s="15" t="s">
        <v>194</v>
      </c>
      <c r="BU689" s="15" t="s">
        <v>195</v>
      </c>
      <c r="BV689" s="15" t="s">
        <v>196</v>
      </c>
      <c r="BW689" s="15" t="s">
        <v>460</v>
      </c>
      <c r="CA689" s="15" t="s">
        <v>2357</v>
      </c>
      <c r="CB689" s="15" t="s">
        <v>78</v>
      </c>
      <c r="CC689" s="15">
        <v>1</v>
      </c>
      <c r="CN689" s="15" t="s">
        <v>198</v>
      </c>
      <c r="CW689" s="10">
        <v>2</v>
      </c>
      <c r="CX689" s="15" t="s">
        <v>2397</v>
      </c>
    </row>
    <row r="690" spans="1:102" s="15" customFormat="1" x14ac:dyDescent="0.3">
      <c r="A690" s="11" t="s">
        <v>2349</v>
      </c>
      <c r="B690" s="10" t="s">
        <v>511</v>
      </c>
      <c r="C690" s="12" t="s">
        <v>3579</v>
      </c>
      <c r="D690" s="10">
        <v>12</v>
      </c>
      <c r="E690" s="13">
        <v>100000</v>
      </c>
      <c r="F690" s="14" t="s">
        <v>243</v>
      </c>
      <c r="G690" s="14" t="s">
        <v>244</v>
      </c>
      <c r="H690" s="15" t="s">
        <v>402</v>
      </c>
      <c r="I690" s="8"/>
      <c r="J690" s="10"/>
      <c r="AV690" s="15" t="s">
        <v>181</v>
      </c>
      <c r="AW690" s="15" t="s">
        <v>182</v>
      </c>
      <c r="AX690" s="15" t="s">
        <v>2398</v>
      </c>
      <c r="BH690" s="15" t="s">
        <v>184</v>
      </c>
      <c r="BI690" s="15" t="s">
        <v>185</v>
      </c>
      <c r="BJ690" s="15" t="s">
        <v>2351</v>
      </c>
      <c r="BK690" s="15" t="s">
        <v>2352</v>
      </c>
      <c r="BL690" s="15" t="s">
        <v>2353</v>
      </c>
      <c r="BM690" s="15" t="s">
        <v>2354</v>
      </c>
      <c r="BN690" s="15" t="s">
        <v>2355</v>
      </c>
      <c r="BO690" s="15" t="s">
        <v>2356</v>
      </c>
      <c r="BR690" s="15" t="s">
        <v>192</v>
      </c>
      <c r="BS690" s="15" t="s">
        <v>193</v>
      </c>
      <c r="BT690" s="15" t="s">
        <v>194</v>
      </c>
      <c r="BU690" s="15" t="s">
        <v>195</v>
      </c>
      <c r="BV690" s="15" t="s">
        <v>196</v>
      </c>
      <c r="BW690" s="15" t="s">
        <v>460</v>
      </c>
      <c r="CA690" s="15" t="s">
        <v>2357</v>
      </c>
      <c r="CB690" s="15" t="s">
        <v>78</v>
      </c>
      <c r="CC690" s="15">
        <v>1</v>
      </c>
      <c r="CN690" s="15" t="s">
        <v>198</v>
      </c>
      <c r="CW690" s="10">
        <v>2</v>
      </c>
      <c r="CX690" s="15" t="s">
        <v>2399</v>
      </c>
    </row>
    <row r="691" spans="1:102" s="15" customFormat="1" x14ac:dyDescent="0.3">
      <c r="A691" s="11" t="s">
        <v>2349</v>
      </c>
      <c r="B691" s="10" t="s">
        <v>568</v>
      </c>
      <c r="C691" s="12" t="s">
        <v>3581</v>
      </c>
      <c r="D691" s="10">
        <v>12</v>
      </c>
      <c r="E691" s="13">
        <v>50000</v>
      </c>
      <c r="F691" s="14" t="s">
        <v>243</v>
      </c>
      <c r="G691" s="14" t="s">
        <v>244</v>
      </c>
      <c r="H691" s="15" t="s">
        <v>402</v>
      </c>
      <c r="I691" s="8"/>
      <c r="J691" s="10"/>
      <c r="AV691" s="15" t="s">
        <v>181</v>
      </c>
      <c r="AW691" s="15" t="s">
        <v>182</v>
      </c>
      <c r="AX691" s="15" t="s">
        <v>2400</v>
      </c>
      <c r="BH691" s="15" t="s">
        <v>184</v>
      </c>
      <c r="BI691" s="15" t="s">
        <v>185</v>
      </c>
      <c r="BJ691" s="15" t="s">
        <v>2351</v>
      </c>
      <c r="BK691" s="15" t="s">
        <v>2352</v>
      </c>
      <c r="BL691" s="15" t="s">
        <v>2353</v>
      </c>
      <c r="BM691" s="15" t="s">
        <v>2354</v>
      </c>
      <c r="BN691" s="15" t="s">
        <v>2355</v>
      </c>
      <c r="BO691" s="15" t="s">
        <v>2356</v>
      </c>
      <c r="BR691" s="15" t="s">
        <v>192</v>
      </c>
      <c r="BS691" s="15" t="s">
        <v>193</v>
      </c>
      <c r="BT691" s="15" t="s">
        <v>194</v>
      </c>
      <c r="BU691" s="15" t="s">
        <v>195</v>
      </c>
      <c r="BV691" s="15" t="s">
        <v>196</v>
      </c>
      <c r="BW691" s="15" t="s">
        <v>516</v>
      </c>
      <c r="CA691" s="15" t="s">
        <v>2357</v>
      </c>
      <c r="CB691" s="15" t="s">
        <v>78</v>
      </c>
      <c r="CC691" s="15">
        <v>1</v>
      </c>
      <c r="CN691" s="15" t="s">
        <v>198</v>
      </c>
      <c r="CW691" s="10">
        <v>2</v>
      </c>
      <c r="CX691" s="15" t="s">
        <v>2401</v>
      </c>
    </row>
    <row r="692" spans="1:102" s="15" customFormat="1" x14ac:dyDescent="0.3">
      <c r="A692" s="11" t="s">
        <v>2349</v>
      </c>
      <c r="B692" s="10" t="s">
        <v>562</v>
      </c>
      <c r="C692" s="12" t="s">
        <v>3676</v>
      </c>
      <c r="D692" s="10">
        <v>12</v>
      </c>
      <c r="E692" s="13">
        <v>50000</v>
      </c>
      <c r="F692" s="14" t="s">
        <v>243</v>
      </c>
      <c r="G692" s="14" t="s">
        <v>244</v>
      </c>
      <c r="H692" s="15" t="s">
        <v>402</v>
      </c>
      <c r="I692" s="8"/>
      <c r="J692" s="10"/>
      <c r="AV692" s="15" t="s">
        <v>181</v>
      </c>
      <c r="AW692" s="15" t="s">
        <v>182</v>
      </c>
      <c r="AX692" s="15" t="s">
        <v>2402</v>
      </c>
      <c r="BH692" s="15" t="s">
        <v>184</v>
      </c>
      <c r="BI692" s="15" t="s">
        <v>185</v>
      </c>
      <c r="BJ692" s="15" t="s">
        <v>2351</v>
      </c>
      <c r="BK692" s="15" t="s">
        <v>2352</v>
      </c>
      <c r="BL692" s="15" t="s">
        <v>2353</v>
      </c>
      <c r="BM692" s="15" t="s">
        <v>2354</v>
      </c>
      <c r="BN692" s="15" t="s">
        <v>2355</v>
      </c>
      <c r="BO692" s="15" t="s">
        <v>2356</v>
      </c>
      <c r="BR692" s="15" t="s">
        <v>192</v>
      </c>
      <c r="BS692" s="15" t="s">
        <v>193</v>
      </c>
      <c r="BT692" s="15" t="s">
        <v>194</v>
      </c>
      <c r="BU692" s="15" t="s">
        <v>195</v>
      </c>
      <c r="BV692" s="15" t="s">
        <v>196</v>
      </c>
      <c r="BW692" s="15" t="s">
        <v>516</v>
      </c>
      <c r="CA692" s="15" t="s">
        <v>2357</v>
      </c>
      <c r="CB692" s="15" t="s">
        <v>78</v>
      </c>
      <c r="CC692" s="15">
        <v>1</v>
      </c>
      <c r="CN692" s="15" t="s">
        <v>198</v>
      </c>
      <c r="CW692" s="10">
        <v>2</v>
      </c>
      <c r="CX692" s="15" t="s">
        <v>2403</v>
      </c>
    </row>
    <row r="693" spans="1:102" s="15" customFormat="1" x14ac:dyDescent="0.3">
      <c r="A693" s="11" t="s">
        <v>2349</v>
      </c>
      <c r="B693" s="10" t="s">
        <v>1055</v>
      </c>
      <c r="C693" s="12" t="s">
        <v>3907</v>
      </c>
      <c r="D693" s="10">
        <v>12</v>
      </c>
      <c r="E693" s="13">
        <v>50000</v>
      </c>
      <c r="F693" s="14" t="s">
        <v>243</v>
      </c>
      <c r="G693" s="14" t="s">
        <v>244</v>
      </c>
      <c r="H693" s="15" t="s">
        <v>402</v>
      </c>
      <c r="I693" s="8"/>
      <c r="J693" s="10"/>
      <c r="AV693" s="15" t="s">
        <v>181</v>
      </c>
      <c r="AW693" s="15" t="s">
        <v>182</v>
      </c>
      <c r="AX693" s="15" t="s">
        <v>2404</v>
      </c>
      <c r="BH693" s="15" t="s">
        <v>184</v>
      </c>
      <c r="BI693" s="15" t="s">
        <v>185</v>
      </c>
      <c r="BJ693" s="15" t="s">
        <v>2351</v>
      </c>
      <c r="BK693" s="15" t="s">
        <v>2352</v>
      </c>
      <c r="BL693" s="15" t="s">
        <v>2353</v>
      </c>
      <c r="BM693" s="15" t="s">
        <v>2354</v>
      </c>
      <c r="BN693" s="15" t="s">
        <v>2355</v>
      </c>
      <c r="BO693" s="15" t="s">
        <v>2356</v>
      </c>
      <c r="BR693" s="15" t="s">
        <v>192</v>
      </c>
      <c r="BS693" s="15" t="s">
        <v>193</v>
      </c>
      <c r="BT693" s="15" t="s">
        <v>194</v>
      </c>
      <c r="BU693" s="15" t="s">
        <v>195</v>
      </c>
      <c r="BV693" s="15" t="s">
        <v>196</v>
      </c>
      <c r="BW693" s="15" t="s">
        <v>404</v>
      </c>
      <c r="CA693" s="15" t="s">
        <v>2357</v>
      </c>
      <c r="CB693" s="15" t="s">
        <v>78</v>
      </c>
      <c r="CC693" s="15">
        <v>1</v>
      </c>
      <c r="CN693" s="15" t="s">
        <v>198</v>
      </c>
      <c r="CW693" s="10">
        <v>2</v>
      </c>
      <c r="CX693" s="15" t="s">
        <v>2405</v>
      </c>
    </row>
    <row r="694" spans="1:102" s="15" customFormat="1" x14ac:dyDescent="0.3">
      <c r="A694" s="11" t="s">
        <v>2349</v>
      </c>
      <c r="B694" s="10" t="s">
        <v>915</v>
      </c>
      <c r="C694" s="12" t="s">
        <v>3871</v>
      </c>
      <c r="D694" s="10">
        <v>12</v>
      </c>
      <c r="E694" s="13">
        <v>10000000</v>
      </c>
      <c r="F694" s="14" t="s">
        <v>209</v>
      </c>
      <c r="G694" s="14" t="s">
        <v>210</v>
      </c>
      <c r="H694" s="15" t="s">
        <v>254</v>
      </c>
      <c r="I694" s="8"/>
      <c r="J694" s="10"/>
      <c r="AV694" s="15" t="s">
        <v>212</v>
      </c>
      <c r="AW694" s="15" t="s">
        <v>213</v>
      </c>
      <c r="AX694" s="15" t="s">
        <v>2406</v>
      </c>
      <c r="BH694" s="15" t="s">
        <v>184</v>
      </c>
      <c r="BI694" s="15" t="s">
        <v>185</v>
      </c>
      <c r="BJ694" s="15" t="s">
        <v>2351</v>
      </c>
      <c r="BK694" s="15" t="s">
        <v>2352</v>
      </c>
      <c r="BL694" s="15" t="s">
        <v>2353</v>
      </c>
      <c r="BM694" s="15" t="s">
        <v>2354</v>
      </c>
      <c r="BN694" s="15" t="s">
        <v>2355</v>
      </c>
      <c r="BO694" s="15" t="s">
        <v>2356</v>
      </c>
      <c r="BR694" s="15" t="s">
        <v>192</v>
      </c>
      <c r="BS694" s="15" t="s">
        <v>193</v>
      </c>
      <c r="BT694" s="15" t="s">
        <v>194</v>
      </c>
      <c r="BU694" s="15" t="s">
        <v>195</v>
      </c>
      <c r="BV694" s="15" t="s">
        <v>196</v>
      </c>
      <c r="BW694" s="15" t="s">
        <v>460</v>
      </c>
      <c r="CA694" s="15" t="s">
        <v>2357</v>
      </c>
      <c r="CB694" s="15" t="s">
        <v>78</v>
      </c>
      <c r="CC694" s="15">
        <v>1</v>
      </c>
      <c r="CN694" s="15" t="s">
        <v>198</v>
      </c>
      <c r="CW694" s="10">
        <v>2</v>
      </c>
      <c r="CX694" s="15" t="s">
        <v>2407</v>
      </c>
    </row>
    <row r="695" spans="1:102" s="15" customFormat="1" x14ac:dyDescent="0.3">
      <c r="A695" s="11" t="s">
        <v>2349</v>
      </c>
      <c r="B695" s="10" t="s">
        <v>996</v>
      </c>
      <c r="C695" s="12" t="s">
        <v>3888</v>
      </c>
      <c r="D695" s="10">
        <v>12</v>
      </c>
      <c r="E695" s="13">
        <v>1000000</v>
      </c>
      <c r="F695" s="14" t="s">
        <v>209</v>
      </c>
      <c r="G695" s="14" t="s">
        <v>210</v>
      </c>
      <c r="H695" s="15" t="s">
        <v>254</v>
      </c>
      <c r="I695" s="8"/>
      <c r="J695" s="10"/>
      <c r="AV695" s="15" t="s">
        <v>212</v>
      </c>
      <c r="AW695" s="15" t="s">
        <v>213</v>
      </c>
      <c r="AX695" s="15" t="s">
        <v>2408</v>
      </c>
      <c r="BH695" s="15" t="s">
        <v>184</v>
      </c>
      <c r="BI695" s="15" t="s">
        <v>185</v>
      </c>
      <c r="BJ695" s="15" t="s">
        <v>2351</v>
      </c>
      <c r="BK695" s="15" t="s">
        <v>2352</v>
      </c>
      <c r="BL695" s="15" t="s">
        <v>2353</v>
      </c>
      <c r="BM695" s="15" t="s">
        <v>2354</v>
      </c>
      <c r="BN695" s="15" t="s">
        <v>2355</v>
      </c>
      <c r="BO695" s="15" t="s">
        <v>2356</v>
      </c>
      <c r="BR695" s="15" t="s">
        <v>192</v>
      </c>
      <c r="BS695" s="15" t="s">
        <v>193</v>
      </c>
      <c r="BT695" s="15" t="s">
        <v>194</v>
      </c>
      <c r="BU695" s="15" t="s">
        <v>195</v>
      </c>
      <c r="BV695" s="15" t="s">
        <v>196</v>
      </c>
      <c r="BW695" s="15" t="s">
        <v>460</v>
      </c>
      <c r="CA695" s="15" t="s">
        <v>2357</v>
      </c>
      <c r="CB695" s="15" t="s">
        <v>78</v>
      </c>
      <c r="CC695" s="15">
        <v>1</v>
      </c>
      <c r="CN695" s="15" t="s">
        <v>198</v>
      </c>
      <c r="CW695" s="10">
        <v>2</v>
      </c>
      <c r="CX695" s="15" t="s">
        <v>2409</v>
      </c>
    </row>
    <row r="696" spans="1:102" s="15" customFormat="1" x14ac:dyDescent="0.3">
      <c r="A696" s="11" t="s">
        <v>2349</v>
      </c>
      <c r="B696" s="10" t="s">
        <v>627</v>
      </c>
      <c r="C696" s="12" t="s">
        <v>3683</v>
      </c>
      <c r="D696" s="10">
        <v>12</v>
      </c>
      <c r="E696" s="13">
        <v>1000000</v>
      </c>
      <c r="F696" s="14" t="s">
        <v>209</v>
      </c>
      <c r="G696" s="14" t="s">
        <v>210</v>
      </c>
      <c r="H696" s="15" t="s">
        <v>254</v>
      </c>
      <c r="I696" s="8"/>
      <c r="J696" s="10"/>
      <c r="AV696" s="15" t="s">
        <v>212</v>
      </c>
      <c r="AW696" s="15" t="s">
        <v>213</v>
      </c>
      <c r="AX696" s="15" t="s">
        <v>2410</v>
      </c>
      <c r="BH696" s="15" t="s">
        <v>184</v>
      </c>
      <c r="BI696" s="15" t="s">
        <v>185</v>
      </c>
      <c r="BJ696" s="15" t="s">
        <v>2351</v>
      </c>
      <c r="BK696" s="15" t="s">
        <v>2352</v>
      </c>
      <c r="BL696" s="15" t="s">
        <v>2353</v>
      </c>
      <c r="BM696" s="15" t="s">
        <v>2354</v>
      </c>
      <c r="BN696" s="15" t="s">
        <v>2355</v>
      </c>
      <c r="BO696" s="15" t="s">
        <v>2356</v>
      </c>
      <c r="BR696" s="15" t="s">
        <v>192</v>
      </c>
      <c r="BS696" s="15" t="s">
        <v>193</v>
      </c>
      <c r="BT696" s="15" t="s">
        <v>194</v>
      </c>
      <c r="BU696" s="15" t="s">
        <v>195</v>
      </c>
      <c r="BV696" s="15" t="s">
        <v>196</v>
      </c>
      <c r="BW696" s="15" t="s">
        <v>460</v>
      </c>
      <c r="CA696" s="15" t="s">
        <v>2357</v>
      </c>
      <c r="CB696" s="15" t="s">
        <v>78</v>
      </c>
      <c r="CC696" s="15">
        <v>1</v>
      </c>
      <c r="CN696" s="15" t="s">
        <v>198</v>
      </c>
      <c r="CW696" s="10">
        <v>2</v>
      </c>
      <c r="CX696" s="15" t="s">
        <v>2411</v>
      </c>
    </row>
    <row r="697" spans="1:102" s="15" customFormat="1" x14ac:dyDescent="0.3">
      <c r="A697" s="11" t="s">
        <v>2349</v>
      </c>
      <c r="B697" s="10" t="s">
        <v>999</v>
      </c>
      <c r="C697" s="12" t="s">
        <v>3889</v>
      </c>
      <c r="D697" s="10">
        <v>12</v>
      </c>
      <c r="E697" s="13">
        <v>1000000</v>
      </c>
      <c r="F697" s="14" t="s">
        <v>209</v>
      </c>
      <c r="G697" s="14" t="s">
        <v>210</v>
      </c>
      <c r="H697" s="15" t="s">
        <v>254</v>
      </c>
      <c r="I697" s="8"/>
      <c r="J697" s="10"/>
      <c r="AV697" s="15" t="s">
        <v>212</v>
      </c>
      <c r="AW697" s="15" t="s">
        <v>213</v>
      </c>
      <c r="AX697" s="15" t="s">
        <v>2412</v>
      </c>
      <c r="BH697" s="15" t="s">
        <v>184</v>
      </c>
      <c r="BI697" s="15" t="s">
        <v>185</v>
      </c>
      <c r="BJ697" s="15" t="s">
        <v>2351</v>
      </c>
      <c r="BK697" s="15" t="s">
        <v>2352</v>
      </c>
      <c r="BL697" s="15" t="s">
        <v>2353</v>
      </c>
      <c r="BM697" s="15" t="s">
        <v>2354</v>
      </c>
      <c r="BN697" s="15" t="s">
        <v>2355</v>
      </c>
      <c r="BO697" s="15" t="s">
        <v>2356</v>
      </c>
      <c r="BR697" s="15" t="s">
        <v>192</v>
      </c>
      <c r="BS697" s="15" t="s">
        <v>193</v>
      </c>
      <c r="BT697" s="15" t="s">
        <v>194</v>
      </c>
      <c r="BU697" s="15" t="s">
        <v>195</v>
      </c>
      <c r="BV697" s="15" t="s">
        <v>196</v>
      </c>
      <c r="BW697" s="15" t="s">
        <v>460</v>
      </c>
      <c r="CA697" s="15" t="s">
        <v>2357</v>
      </c>
      <c r="CB697" s="15" t="s">
        <v>78</v>
      </c>
      <c r="CC697" s="15">
        <v>1</v>
      </c>
      <c r="CN697" s="15" t="s">
        <v>198</v>
      </c>
      <c r="CW697" s="10">
        <v>2</v>
      </c>
      <c r="CX697" s="15" t="s">
        <v>2413</v>
      </c>
    </row>
    <row r="698" spans="1:102" s="15" customFormat="1" x14ac:dyDescent="0.3">
      <c r="A698" s="11" t="s">
        <v>2349</v>
      </c>
      <c r="B698" s="10" t="s">
        <v>401</v>
      </c>
      <c r="C698" s="12" t="s">
        <v>407</v>
      </c>
      <c r="D698" s="10">
        <v>12</v>
      </c>
      <c r="E698" s="13">
        <v>100000</v>
      </c>
      <c r="F698" s="14" t="s">
        <v>243</v>
      </c>
      <c r="G698" s="14" t="s">
        <v>244</v>
      </c>
      <c r="H698" s="15" t="s">
        <v>402</v>
      </c>
      <c r="I698" s="8"/>
      <c r="J698" s="10"/>
      <c r="AV698" s="15" t="s">
        <v>181</v>
      </c>
      <c r="AW698" s="15" t="s">
        <v>182</v>
      </c>
      <c r="AX698" s="15" t="s">
        <v>2414</v>
      </c>
      <c r="BH698" s="15" t="s">
        <v>184</v>
      </c>
      <c r="BI698" s="15" t="s">
        <v>185</v>
      </c>
      <c r="BJ698" s="15" t="s">
        <v>2351</v>
      </c>
      <c r="BK698" s="15" t="s">
        <v>2352</v>
      </c>
      <c r="BL698" s="15" t="s">
        <v>2353</v>
      </c>
      <c r="BM698" s="15" t="s">
        <v>2354</v>
      </c>
      <c r="BN698" s="15" t="s">
        <v>2355</v>
      </c>
      <c r="BO698" s="15" t="s">
        <v>2356</v>
      </c>
      <c r="BR698" s="15" t="s">
        <v>192</v>
      </c>
      <c r="BS698" s="15" t="s">
        <v>193</v>
      </c>
      <c r="BT698" s="15" t="s">
        <v>194</v>
      </c>
      <c r="BU698" s="15" t="s">
        <v>195</v>
      </c>
      <c r="BV698" s="15" t="s">
        <v>196</v>
      </c>
      <c r="BW698" s="15" t="s">
        <v>404</v>
      </c>
      <c r="CA698" s="15" t="s">
        <v>2357</v>
      </c>
      <c r="CB698" s="15" t="s">
        <v>78</v>
      </c>
      <c r="CC698" s="15">
        <v>1</v>
      </c>
      <c r="CN698" s="15" t="s">
        <v>198</v>
      </c>
      <c r="CW698" s="10">
        <v>2</v>
      </c>
      <c r="CX698" s="15" t="s">
        <v>2415</v>
      </c>
    </row>
    <row r="699" spans="1:102" s="15" customFormat="1" x14ac:dyDescent="0.3">
      <c r="A699" s="11" t="s">
        <v>2349</v>
      </c>
      <c r="B699" s="10" t="s">
        <v>2416</v>
      </c>
      <c r="C699" s="12" t="s">
        <v>3947</v>
      </c>
      <c r="D699" s="10"/>
      <c r="E699" s="13">
        <v>0</v>
      </c>
      <c r="F699" s="14"/>
      <c r="G699" s="14"/>
      <c r="I699" s="8"/>
      <c r="J699" s="10"/>
      <c r="BH699" s="15" t="s">
        <v>184</v>
      </c>
      <c r="BI699" s="15" t="s">
        <v>185</v>
      </c>
      <c r="BJ699" s="15" t="s">
        <v>2351</v>
      </c>
      <c r="BK699" s="15" t="s">
        <v>2352</v>
      </c>
      <c r="BL699" s="15" t="s">
        <v>2353</v>
      </c>
      <c r="BM699" s="15" t="s">
        <v>2354</v>
      </c>
      <c r="BN699" s="15" t="s">
        <v>2355</v>
      </c>
      <c r="BO699" s="15" t="s">
        <v>2356</v>
      </c>
      <c r="CW699" s="10"/>
    </row>
    <row r="700" spans="1:102" s="15" customFormat="1" x14ac:dyDescent="0.3">
      <c r="A700" s="11" t="s">
        <v>2349</v>
      </c>
      <c r="B700" s="10" t="s">
        <v>436</v>
      </c>
      <c r="C700" s="12" t="s">
        <v>3645</v>
      </c>
      <c r="D700" s="10">
        <v>12</v>
      </c>
      <c r="E700" s="13">
        <v>100000</v>
      </c>
      <c r="F700" s="14" t="s">
        <v>243</v>
      </c>
      <c r="G700" s="14" t="s">
        <v>244</v>
      </c>
      <c r="H700" s="15" t="s">
        <v>254</v>
      </c>
      <c r="I700" s="8"/>
      <c r="J700" s="10"/>
      <c r="AV700" s="15" t="s">
        <v>181</v>
      </c>
      <c r="AW700" s="15" t="s">
        <v>182</v>
      </c>
      <c r="AX700" s="15" t="s">
        <v>2417</v>
      </c>
      <c r="BH700" s="15" t="s">
        <v>184</v>
      </c>
      <c r="BI700" s="15" t="s">
        <v>185</v>
      </c>
      <c r="BJ700" s="15" t="s">
        <v>2351</v>
      </c>
      <c r="BK700" s="15" t="s">
        <v>2352</v>
      </c>
      <c r="BL700" s="15" t="s">
        <v>2353</v>
      </c>
      <c r="BM700" s="15" t="s">
        <v>2354</v>
      </c>
      <c r="BN700" s="15" t="s">
        <v>2355</v>
      </c>
      <c r="BO700" s="15" t="s">
        <v>2356</v>
      </c>
      <c r="BR700" s="15" t="s">
        <v>192</v>
      </c>
      <c r="BS700" s="15" t="s">
        <v>193</v>
      </c>
      <c r="BT700" s="15" t="s">
        <v>194</v>
      </c>
      <c r="BU700" s="15" t="s">
        <v>195</v>
      </c>
      <c r="BV700" s="15" t="s">
        <v>196</v>
      </c>
      <c r="BW700" s="15" t="s">
        <v>404</v>
      </c>
      <c r="CA700" s="15" t="s">
        <v>2357</v>
      </c>
      <c r="CB700" s="15" t="s">
        <v>78</v>
      </c>
      <c r="CC700" s="15">
        <v>1</v>
      </c>
      <c r="CN700" s="15" t="s">
        <v>198</v>
      </c>
      <c r="CW700" s="10">
        <v>2</v>
      </c>
      <c r="CX700" s="15" t="s">
        <v>2418</v>
      </c>
    </row>
    <row r="701" spans="1:102" s="15" customFormat="1" x14ac:dyDescent="0.3">
      <c r="A701" s="11" t="s">
        <v>2349</v>
      </c>
      <c r="B701" s="10" t="s">
        <v>439</v>
      </c>
      <c r="C701" s="12" t="s">
        <v>3647</v>
      </c>
      <c r="D701" s="10">
        <v>12</v>
      </c>
      <c r="E701" s="13">
        <v>100000</v>
      </c>
      <c r="F701" s="14" t="s">
        <v>243</v>
      </c>
      <c r="G701" s="14" t="s">
        <v>244</v>
      </c>
      <c r="H701" s="15" t="s">
        <v>254</v>
      </c>
      <c r="I701" s="8"/>
      <c r="J701" s="10"/>
      <c r="AV701" s="15" t="s">
        <v>181</v>
      </c>
      <c r="AW701" s="15" t="s">
        <v>182</v>
      </c>
      <c r="AX701" s="15" t="s">
        <v>2419</v>
      </c>
      <c r="BH701" s="15" t="s">
        <v>184</v>
      </c>
      <c r="BI701" s="15" t="s">
        <v>185</v>
      </c>
      <c r="BJ701" s="15" t="s">
        <v>2351</v>
      </c>
      <c r="BK701" s="15" t="s">
        <v>2352</v>
      </c>
      <c r="BL701" s="15" t="s">
        <v>2353</v>
      </c>
      <c r="BM701" s="15" t="s">
        <v>2354</v>
      </c>
      <c r="BN701" s="15" t="s">
        <v>2355</v>
      </c>
      <c r="BO701" s="15" t="s">
        <v>2356</v>
      </c>
      <c r="BR701" s="15" t="s">
        <v>192</v>
      </c>
      <c r="BS701" s="15" t="s">
        <v>193</v>
      </c>
      <c r="BT701" s="15" t="s">
        <v>194</v>
      </c>
      <c r="BU701" s="15" t="s">
        <v>195</v>
      </c>
      <c r="BV701" s="15" t="s">
        <v>196</v>
      </c>
      <c r="BW701" s="15" t="s">
        <v>404</v>
      </c>
      <c r="CA701" s="15" t="s">
        <v>2357</v>
      </c>
      <c r="CB701" s="15" t="s">
        <v>78</v>
      </c>
      <c r="CC701" s="15">
        <v>1</v>
      </c>
      <c r="CN701" s="15" t="s">
        <v>198</v>
      </c>
      <c r="CW701" s="10">
        <v>2</v>
      </c>
      <c r="CX701" s="15" t="s">
        <v>2420</v>
      </c>
    </row>
    <row r="702" spans="1:102" s="15" customFormat="1" x14ac:dyDescent="0.3">
      <c r="A702" s="11" t="s">
        <v>2349</v>
      </c>
      <c r="B702" s="10" t="s">
        <v>442</v>
      </c>
      <c r="C702" s="12" t="s">
        <v>3649</v>
      </c>
      <c r="D702" s="10">
        <v>12</v>
      </c>
      <c r="E702" s="13">
        <v>500000</v>
      </c>
      <c r="F702" s="14" t="s">
        <v>243</v>
      </c>
      <c r="G702" s="14" t="s">
        <v>244</v>
      </c>
      <c r="H702" s="15" t="s">
        <v>254</v>
      </c>
      <c r="I702" s="8"/>
      <c r="J702" s="10"/>
      <c r="AV702" s="15" t="s">
        <v>181</v>
      </c>
      <c r="AW702" s="15" t="s">
        <v>182</v>
      </c>
      <c r="AX702" s="15" t="s">
        <v>2421</v>
      </c>
      <c r="BH702" s="15" t="s">
        <v>184</v>
      </c>
      <c r="BI702" s="15" t="s">
        <v>185</v>
      </c>
      <c r="BJ702" s="15" t="s">
        <v>2351</v>
      </c>
      <c r="BK702" s="15" t="s">
        <v>2352</v>
      </c>
      <c r="BL702" s="15" t="s">
        <v>2353</v>
      </c>
      <c r="BM702" s="15" t="s">
        <v>2354</v>
      </c>
      <c r="BN702" s="15" t="s">
        <v>2355</v>
      </c>
      <c r="BO702" s="15" t="s">
        <v>2356</v>
      </c>
      <c r="BR702" s="15" t="s">
        <v>192</v>
      </c>
      <c r="BS702" s="15" t="s">
        <v>193</v>
      </c>
      <c r="BT702" s="15" t="s">
        <v>194</v>
      </c>
      <c r="BU702" s="15" t="s">
        <v>195</v>
      </c>
      <c r="BV702" s="15" t="s">
        <v>196</v>
      </c>
      <c r="BW702" s="15" t="s">
        <v>404</v>
      </c>
      <c r="CA702" s="15" t="s">
        <v>2357</v>
      </c>
      <c r="CB702" s="15" t="s">
        <v>78</v>
      </c>
      <c r="CC702" s="15">
        <v>1</v>
      </c>
      <c r="CN702" s="15" t="s">
        <v>198</v>
      </c>
      <c r="CW702" s="10">
        <v>2</v>
      </c>
      <c r="CX702" s="15" t="s">
        <v>2422</v>
      </c>
    </row>
    <row r="703" spans="1:102" s="15" customFormat="1" x14ac:dyDescent="0.3">
      <c r="A703" s="11" t="s">
        <v>2349</v>
      </c>
      <c r="B703" s="10" t="s">
        <v>445</v>
      </c>
      <c r="C703" s="12" t="s">
        <v>3651</v>
      </c>
      <c r="D703" s="10">
        <v>12</v>
      </c>
      <c r="E703" s="13">
        <v>1000000</v>
      </c>
      <c r="F703" s="14" t="s">
        <v>243</v>
      </c>
      <c r="G703" s="14" t="s">
        <v>244</v>
      </c>
      <c r="H703" s="15" t="s">
        <v>254</v>
      </c>
      <c r="I703" s="8"/>
      <c r="J703" s="10"/>
      <c r="AV703" s="15" t="s">
        <v>181</v>
      </c>
      <c r="AW703" s="15" t="s">
        <v>182</v>
      </c>
      <c r="AX703" s="15" t="s">
        <v>2423</v>
      </c>
      <c r="BH703" s="15" t="s">
        <v>184</v>
      </c>
      <c r="BI703" s="15" t="s">
        <v>185</v>
      </c>
      <c r="BJ703" s="15" t="s">
        <v>2351</v>
      </c>
      <c r="BK703" s="15" t="s">
        <v>2352</v>
      </c>
      <c r="BL703" s="15" t="s">
        <v>2353</v>
      </c>
      <c r="BM703" s="15" t="s">
        <v>2354</v>
      </c>
      <c r="BN703" s="15" t="s">
        <v>2355</v>
      </c>
      <c r="BO703" s="15" t="s">
        <v>2356</v>
      </c>
      <c r="BR703" s="15" t="s">
        <v>192</v>
      </c>
      <c r="BS703" s="15" t="s">
        <v>193</v>
      </c>
      <c r="BT703" s="15" t="s">
        <v>194</v>
      </c>
      <c r="BU703" s="15" t="s">
        <v>195</v>
      </c>
      <c r="BV703" s="15" t="s">
        <v>196</v>
      </c>
      <c r="BW703" s="15" t="s">
        <v>404</v>
      </c>
      <c r="CA703" s="15" t="s">
        <v>2357</v>
      </c>
      <c r="CB703" s="15" t="s">
        <v>78</v>
      </c>
      <c r="CC703" s="15">
        <v>1</v>
      </c>
      <c r="CN703" s="15" t="s">
        <v>198</v>
      </c>
      <c r="CW703" s="10">
        <v>2</v>
      </c>
      <c r="CX703" s="15" t="s">
        <v>2424</v>
      </c>
    </row>
    <row r="704" spans="1:102" s="15" customFormat="1" x14ac:dyDescent="0.3">
      <c r="A704" s="11" t="s">
        <v>2349</v>
      </c>
      <c r="B704" s="10" t="s">
        <v>448</v>
      </c>
      <c r="C704" s="12" t="s">
        <v>3653</v>
      </c>
      <c r="D704" s="10">
        <v>12</v>
      </c>
      <c r="E704" s="13">
        <v>1000000</v>
      </c>
      <c r="F704" s="14" t="s">
        <v>243</v>
      </c>
      <c r="G704" s="14" t="s">
        <v>244</v>
      </c>
      <c r="H704" s="15" t="s">
        <v>254</v>
      </c>
      <c r="I704" s="8"/>
      <c r="J704" s="10"/>
      <c r="AV704" s="15" t="s">
        <v>181</v>
      </c>
      <c r="AW704" s="15" t="s">
        <v>182</v>
      </c>
      <c r="AX704" s="15" t="s">
        <v>2425</v>
      </c>
      <c r="BH704" s="15" t="s">
        <v>184</v>
      </c>
      <c r="BI704" s="15" t="s">
        <v>185</v>
      </c>
      <c r="BJ704" s="15" t="s">
        <v>2351</v>
      </c>
      <c r="BK704" s="15" t="s">
        <v>2352</v>
      </c>
      <c r="BL704" s="15" t="s">
        <v>2353</v>
      </c>
      <c r="BM704" s="15" t="s">
        <v>2354</v>
      </c>
      <c r="BN704" s="15" t="s">
        <v>2355</v>
      </c>
      <c r="BO704" s="15" t="s">
        <v>2356</v>
      </c>
      <c r="BR704" s="15" t="s">
        <v>192</v>
      </c>
      <c r="BS704" s="15" t="s">
        <v>193</v>
      </c>
      <c r="BT704" s="15" t="s">
        <v>194</v>
      </c>
      <c r="BU704" s="15" t="s">
        <v>195</v>
      </c>
      <c r="BV704" s="15" t="s">
        <v>196</v>
      </c>
      <c r="BW704" s="15" t="s">
        <v>404</v>
      </c>
      <c r="CA704" s="15" t="s">
        <v>2357</v>
      </c>
      <c r="CB704" s="15" t="s">
        <v>78</v>
      </c>
      <c r="CC704" s="15">
        <v>1</v>
      </c>
      <c r="CN704" s="15" t="s">
        <v>198</v>
      </c>
      <c r="CW704" s="10">
        <v>2</v>
      </c>
      <c r="CX704" s="15" t="s">
        <v>2426</v>
      </c>
    </row>
    <row r="705" spans="1:102" s="15" customFormat="1" x14ac:dyDescent="0.3">
      <c r="A705" s="11" t="s">
        <v>2349</v>
      </c>
      <c r="B705" s="10" t="s">
        <v>2427</v>
      </c>
      <c r="C705" s="12" t="s">
        <v>3948</v>
      </c>
      <c r="D705" s="10"/>
      <c r="E705" s="13">
        <v>0</v>
      </c>
      <c r="F705" s="14"/>
      <c r="G705" s="14"/>
      <c r="I705" s="8"/>
      <c r="J705" s="10"/>
      <c r="BH705" s="15" t="s">
        <v>184</v>
      </c>
      <c r="BI705" s="15" t="s">
        <v>185</v>
      </c>
      <c r="BJ705" s="15" t="s">
        <v>2351</v>
      </c>
      <c r="BK705" s="15" t="s">
        <v>2352</v>
      </c>
      <c r="BL705" s="15" t="s">
        <v>2353</v>
      </c>
      <c r="BM705" s="15" t="s">
        <v>2354</v>
      </c>
      <c r="BN705" s="15" t="s">
        <v>2355</v>
      </c>
      <c r="BO705" s="15" t="s">
        <v>2356</v>
      </c>
      <c r="CW705" s="10"/>
    </row>
    <row r="706" spans="1:102" s="15" customFormat="1" x14ac:dyDescent="0.3">
      <c r="A706" s="11" t="s">
        <v>2349</v>
      </c>
      <c r="B706" s="10" t="s">
        <v>1105</v>
      </c>
      <c r="C706" s="12" t="s">
        <v>1136</v>
      </c>
      <c r="D706" s="10">
        <v>12</v>
      </c>
      <c r="E706" s="13">
        <v>100000</v>
      </c>
      <c r="F706" s="14" t="s">
        <v>243</v>
      </c>
      <c r="G706" s="14" t="s">
        <v>244</v>
      </c>
      <c r="H706" s="15" t="s">
        <v>254</v>
      </c>
      <c r="I706" s="8"/>
      <c r="J706" s="10"/>
      <c r="AV706" s="15" t="s">
        <v>181</v>
      </c>
      <c r="AW706" s="15" t="s">
        <v>182</v>
      </c>
      <c r="AX706" s="15" t="s">
        <v>1106</v>
      </c>
      <c r="BH706" s="15" t="s">
        <v>184</v>
      </c>
      <c r="BI706" s="15" t="s">
        <v>185</v>
      </c>
      <c r="BJ706" s="15" t="s">
        <v>2351</v>
      </c>
      <c r="BK706" s="15" t="s">
        <v>2352</v>
      </c>
      <c r="BL706" s="15" t="s">
        <v>2353</v>
      </c>
      <c r="BM706" s="15" t="s">
        <v>2354</v>
      </c>
      <c r="BN706" s="15" t="s">
        <v>2355</v>
      </c>
      <c r="BO706" s="15" t="s">
        <v>2356</v>
      </c>
      <c r="BR706" s="15" t="s">
        <v>192</v>
      </c>
      <c r="BS706" s="15" t="s">
        <v>193</v>
      </c>
      <c r="BT706" s="15" t="s">
        <v>194</v>
      </c>
      <c r="BU706" s="15" t="s">
        <v>195</v>
      </c>
      <c r="BV706" s="15" t="s">
        <v>196</v>
      </c>
      <c r="BW706" s="15" t="s">
        <v>404</v>
      </c>
      <c r="CA706" s="15" t="s">
        <v>2357</v>
      </c>
      <c r="CB706" s="15" t="s">
        <v>78</v>
      </c>
      <c r="CC706" s="15">
        <v>1</v>
      </c>
      <c r="CN706" s="15" t="s">
        <v>198</v>
      </c>
      <c r="CW706" s="10">
        <v>2</v>
      </c>
      <c r="CX706" s="15" t="s">
        <v>2428</v>
      </c>
    </row>
    <row r="707" spans="1:102" s="15" customFormat="1" x14ac:dyDescent="0.3">
      <c r="A707" s="11" t="s">
        <v>2349</v>
      </c>
      <c r="B707" s="10" t="s">
        <v>1108</v>
      </c>
      <c r="C707" s="12" t="s">
        <v>1139</v>
      </c>
      <c r="D707" s="10">
        <v>12</v>
      </c>
      <c r="E707" s="13">
        <v>100000</v>
      </c>
      <c r="F707" s="14" t="s">
        <v>243</v>
      </c>
      <c r="G707" s="14" t="s">
        <v>244</v>
      </c>
      <c r="H707" s="15" t="s">
        <v>254</v>
      </c>
      <c r="I707" s="8"/>
      <c r="J707" s="10"/>
      <c r="AV707" s="15" t="s">
        <v>181</v>
      </c>
      <c r="AW707" s="15" t="s">
        <v>182</v>
      </c>
      <c r="AX707" s="15" t="s">
        <v>1109</v>
      </c>
      <c r="BH707" s="15" t="s">
        <v>184</v>
      </c>
      <c r="BI707" s="15" t="s">
        <v>185</v>
      </c>
      <c r="BJ707" s="15" t="s">
        <v>2351</v>
      </c>
      <c r="BK707" s="15" t="s">
        <v>2352</v>
      </c>
      <c r="BL707" s="15" t="s">
        <v>2353</v>
      </c>
      <c r="BM707" s="15" t="s">
        <v>2354</v>
      </c>
      <c r="BN707" s="15" t="s">
        <v>2355</v>
      </c>
      <c r="BO707" s="15" t="s">
        <v>2356</v>
      </c>
      <c r="BR707" s="15" t="s">
        <v>192</v>
      </c>
      <c r="BS707" s="15" t="s">
        <v>193</v>
      </c>
      <c r="BT707" s="15" t="s">
        <v>194</v>
      </c>
      <c r="BU707" s="15" t="s">
        <v>195</v>
      </c>
      <c r="BV707" s="15" t="s">
        <v>196</v>
      </c>
      <c r="BW707" s="15" t="s">
        <v>404</v>
      </c>
      <c r="CA707" s="15" t="s">
        <v>2357</v>
      </c>
      <c r="CB707" s="15" t="s">
        <v>78</v>
      </c>
      <c r="CC707" s="15">
        <v>1</v>
      </c>
      <c r="CN707" s="15" t="s">
        <v>198</v>
      </c>
      <c r="CW707" s="10">
        <v>2</v>
      </c>
      <c r="CX707" s="15" t="s">
        <v>2429</v>
      </c>
    </row>
    <row r="708" spans="1:102" s="15" customFormat="1" x14ac:dyDescent="0.3">
      <c r="A708" s="11" t="s">
        <v>2349</v>
      </c>
      <c r="B708" s="10" t="s">
        <v>1111</v>
      </c>
      <c r="C708" s="12" t="s">
        <v>1142</v>
      </c>
      <c r="D708" s="10">
        <v>12</v>
      </c>
      <c r="E708" s="13">
        <v>500000</v>
      </c>
      <c r="F708" s="14" t="s">
        <v>243</v>
      </c>
      <c r="G708" s="14" t="s">
        <v>244</v>
      </c>
      <c r="H708" s="15" t="s">
        <v>254</v>
      </c>
      <c r="I708" s="8"/>
      <c r="J708" s="10"/>
      <c r="AV708" s="15" t="s">
        <v>181</v>
      </c>
      <c r="AW708" s="15" t="s">
        <v>182</v>
      </c>
      <c r="AX708" s="15" t="s">
        <v>1112</v>
      </c>
      <c r="BH708" s="15" t="s">
        <v>184</v>
      </c>
      <c r="BI708" s="15" t="s">
        <v>185</v>
      </c>
      <c r="BJ708" s="15" t="s">
        <v>2351</v>
      </c>
      <c r="BK708" s="15" t="s">
        <v>2352</v>
      </c>
      <c r="BL708" s="15" t="s">
        <v>2353</v>
      </c>
      <c r="BM708" s="15" t="s">
        <v>2354</v>
      </c>
      <c r="BN708" s="15" t="s">
        <v>2355</v>
      </c>
      <c r="BO708" s="15" t="s">
        <v>2356</v>
      </c>
      <c r="BR708" s="15" t="s">
        <v>192</v>
      </c>
      <c r="BS708" s="15" t="s">
        <v>193</v>
      </c>
      <c r="BT708" s="15" t="s">
        <v>194</v>
      </c>
      <c r="BU708" s="15" t="s">
        <v>195</v>
      </c>
      <c r="BV708" s="15" t="s">
        <v>196</v>
      </c>
      <c r="BW708" s="15" t="s">
        <v>404</v>
      </c>
      <c r="CA708" s="15" t="s">
        <v>2357</v>
      </c>
      <c r="CB708" s="15" t="s">
        <v>78</v>
      </c>
      <c r="CC708" s="15">
        <v>1</v>
      </c>
      <c r="CN708" s="15" t="s">
        <v>198</v>
      </c>
      <c r="CW708" s="10">
        <v>2</v>
      </c>
      <c r="CX708" s="15" t="s">
        <v>2430</v>
      </c>
    </row>
    <row r="709" spans="1:102" s="15" customFormat="1" x14ac:dyDescent="0.3">
      <c r="A709" s="11" t="s">
        <v>2349</v>
      </c>
      <c r="B709" s="10" t="s">
        <v>1114</v>
      </c>
      <c r="C709" s="12" t="s">
        <v>1145</v>
      </c>
      <c r="D709" s="10">
        <v>12</v>
      </c>
      <c r="E709" s="13">
        <v>1000000</v>
      </c>
      <c r="F709" s="14" t="s">
        <v>243</v>
      </c>
      <c r="G709" s="14" t="s">
        <v>244</v>
      </c>
      <c r="H709" s="15" t="s">
        <v>254</v>
      </c>
      <c r="I709" s="8"/>
      <c r="J709" s="10"/>
      <c r="AV709" s="15" t="s">
        <v>181</v>
      </c>
      <c r="AW709" s="15" t="s">
        <v>182</v>
      </c>
      <c r="AX709" s="15" t="s">
        <v>1115</v>
      </c>
      <c r="BH709" s="15" t="s">
        <v>184</v>
      </c>
      <c r="BI709" s="15" t="s">
        <v>185</v>
      </c>
      <c r="BJ709" s="15" t="s">
        <v>2351</v>
      </c>
      <c r="BK709" s="15" t="s">
        <v>2352</v>
      </c>
      <c r="BL709" s="15" t="s">
        <v>2353</v>
      </c>
      <c r="BM709" s="15" t="s">
        <v>2354</v>
      </c>
      <c r="BN709" s="15" t="s">
        <v>2355</v>
      </c>
      <c r="BO709" s="15" t="s">
        <v>2356</v>
      </c>
      <c r="BR709" s="15" t="s">
        <v>192</v>
      </c>
      <c r="BS709" s="15" t="s">
        <v>193</v>
      </c>
      <c r="BT709" s="15" t="s">
        <v>194</v>
      </c>
      <c r="BU709" s="15" t="s">
        <v>195</v>
      </c>
      <c r="BV709" s="15" t="s">
        <v>196</v>
      </c>
      <c r="BW709" s="15" t="s">
        <v>404</v>
      </c>
      <c r="CA709" s="15" t="s">
        <v>2357</v>
      </c>
      <c r="CB709" s="15" t="s">
        <v>78</v>
      </c>
      <c r="CC709" s="15">
        <v>1</v>
      </c>
      <c r="CN709" s="15" t="s">
        <v>198</v>
      </c>
      <c r="CW709" s="10">
        <v>2</v>
      </c>
      <c r="CX709" s="15" t="s">
        <v>2431</v>
      </c>
    </row>
    <row r="710" spans="1:102" s="15" customFormat="1" x14ac:dyDescent="0.3">
      <c r="A710" s="11" t="s">
        <v>2349</v>
      </c>
      <c r="B710" s="10" t="s">
        <v>1117</v>
      </c>
      <c r="C710" s="12" t="s">
        <v>1148</v>
      </c>
      <c r="D710" s="10">
        <v>12</v>
      </c>
      <c r="E710" s="13">
        <v>1000000</v>
      </c>
      <c r="F710" s="14" t="s">
        <v>243</v>
      </c>
      <c r="G710" s="14" t="s">
        <v>244</v>
      </c>
      <c r="H710" s="15" t="s">
        <v>254</v>
      </c>
      <c r="I710" s="8"/>
      <c r="J710" s="10"/>
      <c r="AV710" s="15" t="s">
        <v>181</v>
      </c>
      <c r="AW710" s="15" t="s">
        <v>182</v>
      </c>
      <c r="AX710" s="15" t="s">
        <v>1118</v>
      </c>
      <c r="BH710" s="15" t="s">
        <v>184</v>
      </c>
      <c r="BI710" s="15" t="s">
        <v>185</v>
      </c>
      <c r="BJ710" s="15" t="s">
        <v>2351</v>
      </c>
      <c r="BK710" s="15" t="s">
        <v>2352</v>
      </c>
      <c r="BL710" s="15" t="s">
        <v>2353</v>
      </c>
      <c r="BM710" s="15" t="s">
        <v>2354</v>
      </c>
      <c r="BN710" s="15" t="s">
        <v>2355</v>
      </c>
      <c r="BO710" s="15" t="s">
        <v>2356</v>
      </c>
      <c r="BR710" s="15" t="s">
        <v>192</v>
      </c>
      <c r="BS710" s="15" t="s">
        <v>193</v>
      </c>
      <c r="BT710" s="15" t="s">
        <v>194</v>
      </c>
      <c r="BU710" s="15" t="s">
        <v>195</v>
      </c>
      <c r="BV710" s="15" t="s">
        <v>196</v>
      </c>
      <c r="BW710" s="15" t="s">
        <v>404</v>
      </c>
      <c r="CA710" s="15" t="s">
        <v>2357</v>
      </c>
      <c r="CB710" s="15" t="s">
        <v>78</v>
      </c>
      <c r="CC710" s="15">
        <v>1</v>
      </c>
      <c r="CN710" s="15" t="s">
        <v>198</v>
      </c>
      <c r="CW710" s="10">
        <v>2</v>
      </c>
      <c r="CX710" s="15" t="s">
        <v>2432</v>
      </c>
    </row>
    <row r="711" spans="1:102" s="15" customFormat="1" x14ac:dyDescent="0.3">
      <c r="A711" s="11" t="s">
        <v>2349</v>
      </c>
      <c r="B711" s="10" t="s">
        <v>2433</v>
      </c>
      <c r="C711" s="12" t="s">
        <v>3949</v>
      </c>
      <c r="D711" s="10"/>
      <c r="E711" s="13">
        <v>0</v>
      </c>
      <c r="F711" s="14"/>
      <c r="G711" s="14"/>
      <c r="I711" s="8"/>
      <c r="J711" s="10"/>
      <c r="BH711" s="15" t="s">
        <v>184</v>
      </c>
      <c r="BI711" s="15" t="s">
        <v>185</v>
      </c>
      <c r="BJ711" s="15" t="s">
        <v>2351</v>
      </c>
      <c r="BK711" s="15" t="s">
        <v>2352</v>
      </c>
      <c r="BL711" s="15" t="s">
        <v>2353</v>
      </c>
      <c r="BM711" s="15" t="s">
        <v>2354</v>
      </c>
      <c r="BN711" s="15" t="s">
        <v>2355</v>
      </c>
      <c r="BO711" s="15" t="s">
        <v>2356</v>
      </c>
      <c r="CW711" s="10"/>
    </row>
    <row r="712" spans="1:102" s="15" customFormat="1" x14ac:dyDescent="0.3">
      <c r="A712" s="11" t="s">
        <v>2349</v>
      </c>
      <c r="B712" s="10" t="s">
        <v>728</v>
      </c>
      <c r="C712" s="12" t="s">
        <v>3826</v>
      </c>
      <c r="D712" s="10">
        <v>12</v>
      </c>
      <c r="E712" s="13">
        <v>100000</v>
      </c>
      <c r="F712" s="14" t="s">
        <v>243</v>
      </c>
      <c r="G712" s="14" t="s">
        <v>244</v>
      </c>
      <c r="H712" s="15" t="s">
        <v>254</v>
      </c>
      <c r="I712" s="8"/>
      <c r="J712" s="10"/>
      <c r="AV712" s="15" t="s">
        <v>181</v>
      </c>
      <c r="AW712" s="15" t="s">
        <v>182</v>
      </c>
      <c r="AX712" s="15" t="s">
        <v>729</v>
      </c>
      <c r="BH712" s="15" t="s">
        <v>184</v>
      </c>
      <c r="BI712" s="15" t="s">
        <v>185</v>
      </c>
      <c r="BJ712" s="15" t="s">
        <v>2351</v>
      </c>
      <c r="BK712" s="15" t="s">
        <v>2352</v>
      </c>
      <c r="BL712" s="15" t="s">
        <v>2353</v>
      </c>
      <c r="BM712" s="15" t="s">
        <v>2354</v>
      </c>
      <c r="BN712" s="15" t="s">
        <v>2355</v>
      </c>
      <c r="BO712" s="15" t="s">
        <v>2356</v>
      </c>
      <c r="BR712" s="15" t="s">
        <v>192</v>
      </c>
      <c r="BS712" s="15" t="s">
        <v>193</v>
      </c>
      <c r="BT712" s="15" t="s">
        <v>194</v>
      </c>
      <c r="BU712" s="15" t="s">
        <v>195</v>
      </c>
      <c r="BV712" s="15" t="s">
        <v>196</v>
      </c>
      <c r="BW712" s="15" t="s">
        <v>404</v>
      </c>
      <c r="CA712" s="15" t="s">
        <v>2357</v>
      </c>
      <c r="CB712" s="15" t="s">
        <v>78</v>
      </c>
      <c r="CC712" s="15">
        <v>1</v>
      </c>
      <c r="CN712" s="15" t="s">
        <v>198</v>
      </c>
      <c r="CW712" s="10">
        <v>2</v>
      </c>
      <c r="CX712" s="15" t="s">
        <v>2434</v>
      </c>
    </row>
    <row r="713" spans="1:102" s="15" customFormat="1" x14ac:dyDescent="0.3">
      <c r="A713" s="11" t="s">
        <v>2349</v>
      </c>
      <c r="B713" s="10" t="s">
        <v>731</v>
      </c>
      <c r="C713" s="12" t="s">
        <v>3827</v>
      </c>
      <c r="D713" s="10">
        <v>12</v>
      </c>
      <c r="E713" s="13">
        <v>100000</v>
      </c>
      <c r="F713" s="14" t="s">
        <v>243</v>
      </c>
      <c r="G713" s="14" t="s">
        <v>244</v>
      </c>
      <c r="H713" s="15" t="s">
        <v>254</v>
      </c>
      <c r="I713" s="8"/>
      <c r="J713" s="10"/>
      <c r="AV713" s="15" t="s">
        <v>181</v>
      </c>
      <c r="AW713" s="15" t="s">
        <v>182</v>
      </c>
      <c r="AX713" s="15" t="s">
        <v>732</v>
      </c>
      <c r="BH713" s="15" t="s">
        <v>184</v>
      </c>
      <c r="BI713" s="15" t="s">
        <v>185</v>
      </c>
      <c r="BJ713" s="15" t="s">
        <v>2351</v>
      </c>
      <c r="BK713" s="15" t="s">
        <v>2352</v>
      </c>
      <c r="BL713" s="15" t="s">
        <v>2353</v>
      </c>
      <c r="BM713" s="15" t="s">
        <v>2354</v>
      </c>
      <c r="BN713" s="15" t="s">
        <v>2355</v>
      </c>
      <c r="BO713" s="15" t="s">
        <v>2356</v>
      </c>
      <c r="BR713" s="15" t="s">
        <v>192</v>
      </c>
      <c r="BS713" s="15" t="s">
        <v>193</v>
      </c>
      <c r="BT713" s="15" t="s">
        <v>194</v>
      </c>
      <c r="BU713" s="15" t="s">
        <v>195</v>
      </c>
      <c r="BV713" s="15" t="s">
        <v>196</v>
      </c>
      <c r="BW713" s="15" t="s">
        <v>404</v>
      </c>
      <c r="CA713" s="15" t="s">
        <v>2357</v>
      </c>
      <c r="CB713" s="15" t="s">
        <v>78</v>
      </c>
      <c r="CC713" s="15">
        <v>1</v>
      </c>
      <c r="CN713" s="15" t="s">
        <v>198</v>
      </c>
      <c r="CW713" s="10">
        <v>2</v>
      </c>
      <c r="CX713" s="15" t="s">
        <v>2435</v>
      </c>
    </row>
    <row r="714" spans="1:102" s="15" customFormat="1" x14ac:dyDescent="0.3">
      <c r="A714" s="11" t="s">
        <v>2349</v>
      </c>
      <c r="B714" s="10" t="s">
        <v>734</v>
      </c>
      <c r="C714" s="12" t="s">
        <v>3828</v>
      </c>
      <c r="D714" s="10">
        <v>12</v>
      </c>
      <c r="E714" s="13">
        <v>100000</v>
      </c>
      <c r="F714" s="14" t="s">
        <v>243</v>
      </c>
      <c r="G714" s="14" t="s">
        <v>244</v>
      </c>
      <c r="H714" s="15" t="s">
        <v>254</v>
      </c>
      <c r="I714" s="8"/>
      <c r="J714" s="10"/>
      <c r="AV714" s="15" t="s">
        <v>181</v>
      </c>
      <c r="AW714" s="15" t="s">
        <v>182</v>
      </c>
      <c r="AX714" s="15" t="s">
        <v>735</v>
      </c>
      <c r="BH714" s="15" t="s">
        <v>184</v>
      </c>
      <c r="BI714" s="15" t="s">
        <v>185</v>
      </c>
      <c r="BJ714" s="15" t="s">
        <v>2351</v>
      </c>
      <c r="BK714" s="15" t="s">
        <v>2352</v>
      </c>
      <c r="BL714" s="15" t="s">
        <v>2353</v>
      </c>
      <c r="BM714" s="15" t="s">
        <v>2354</v>
      </c>
      <c r="BN714" s="15" t="s">
        <v>2355</v>
      </c>
      <c r="BO714" s="15" t="s">
        <v>2356</v>
      </c>
      <c r="BR714" s="15" t="s">
        <v>192</v>
      </c>
      <c r="BS714" s="15" t="s">
        <v>193</v>
      </c>
      <c r="BT714" s="15" t="s">
        <v>194</v>
      </c>
      <c r="BU714" s="15" t="s">
        <v>195</v>
      </c>
      <c r="BV714" s="15" t="s">
        <v>196</v>
      </c>
      <c r="BW714" s="15" t="s">
        <v>404</v>
      </c>
      <c r="CA714" s="15" t="s">
        <v>2357</v>
      </c>
      <c r="CB714" s="15" t="s">
        <v>78</v>
      </c>
      <c r="CC714" s="15">
        <v>1</v>
      </c>
      <c r="CN714" s="15" t="s">
        <v>198</v>
      </c>
      <c r="CW714" s="10">
        <v>2</v>
      </c>
      <c r="CX714" s="15" t="s">
        <v>2436</v>
      </c>
    </row>
    <row r="715" spans="1:102" s="15" customFormat="1" x14ac:dyDescent="0.3">
      <c r="A715" s="11" t="s">
        <v>2349</v>
      </c>
      <c r="B715" s="10" t="s">
        <v>737</v>
      </c>
      <c r="C715" s="12" t="s">
        <v>3829</v>
      </c>
      <c r="D715" s="10">
        <v>12</v>
      </c>
      <c r="E715" s="13">
        <v>500000</v>
      </c>
      <c r="F715" s="14" t="s">
        <v>243</v>
      </c>
      <c r="G715" s="14" t="s">
        <v>244</v>
      </c>
      <c r="H715" s="15" t="s">
        <v>254</v>
      </c>
      <c r="I715" s="8"/>
      <c r="J715" s="10"/>
      <c r="AV715" s="15" t="s">
        <v>181</v>
      </c>
      <c r="AW715" s="15" t="s">
        <v>182</v>
      </c>
      <c r="AX715" s="15" t="s">
        <v>738</v>
      </c>
      <c r="BH715" s="15" t="s">
        <v>184</v>
      </c>
      <c r="BI715" s="15" t="s">
        <v>185</v>
      </c>
      <c r="BJ715" s="15" t="s">
        <v>2351</v>
      </c>
      <c r="BK715" s="15" t="s">
        <v>2352</v>
      </c>
      <c r="BL715" s="15" t="s">
        <v>2353</v>
      </c>
      <c r="BM715" s="15" t="s">
        <v>2354</v>
      </c>
      <c r="BN715" s="15" t="s">
        <v>2355</v>
      </c>
      <c r="BO715" s="15" t="s">
        <v>2356</v>
      </c>
      <c r="BR715" s="15" t="s">
        <v>192</v>
      </c>
      <c r="BS715" s="15" t="s">
        <v>193</v>
      </c>
      <c r="BT715" s="15" t="s">
        <v>194</v>
      </c>
      <c r="BU715" s="15" t="s">
        <v>195</v>
      </c>
      <c r="BV715" s="15" t="s">
        <v>196</v>
      </c>
      <c r="BW715" s="15" t="s">
        <v>404</v>
      </c>
      <c r="CA715" s="15" t="s">
        <v>2357</v>
      </c>
      <c r="CB715" s="15" t="s">
        <v>78</v>
      </c>
      <c r="CC715" s="15">
        <v>1</v>
      </c>
      <c r="CN715" s="15" t="s">
        <v>198</v>
      </c>
      <c r="CW715" s="10">
        <v>2</v>
      </c>
      <c r="CX715" s="15" t="s">
        <v>2437</v>
      </c>
    </row>
    <row r="716" spans="1:102" s="15" customFormat="1" x14ac:dyDescent="0.3">
      <c r="A716" s="11" t="s">
        <v>2349</v>
      </c>
      <c r="B716" s="10" t="s">
        <v>740</v>
      </c>
      <c r="C716" s="12" t="s">
        <v>3830</v>
      </c>
      <c r="D716" s="10">
        <v>12</v>
      </c>
      <c r="E716" s="13">
        <v>500000</v>
      </c>
      <c r="F716" s="14" t="s">
        <v>243</v>
      </c>
      <c r="G716" s="14" t="s">
        <v>244</v>
      </c>
      <c r="H716" s="15" t="s">
        <v>254</v>
      </c>
      <c r="I716" s="8"/>
      <c r="J716" s="10"/>
      <c r="AV716" s="15" t="s">
        <v>181</v>
      </c>
      <c r="AW716" s="15" t="s">
        <v>182</v>
      </c>
      <c r="AX716" s="15" t="s">
        <v>741</v>
      </c>
      <c r="BH716" s="15" t="s">
        <v>184</v>
      </c>
      <c r="BI716" s="15" t="s">
        <v>185</v>
      </c>
      <c r="BJ716" s="15" t="s">
        <v>2351</v>
      </c>
      <c r="BK716" s="15" t="s">
        <v>2352</v>
      </c>
      <c r="BL716" s="15" t="s">
        <v>2353</v>
      </c>
      <c r="BM716" s="15" t="s">
        <v>2354</v>
      </c>
      <c r="BN716" s="15" t="s">
        <v>2355</v>
      </c>
      <c r="BO716" s="15" t="s">
        <v>2356</v>
      </c>
      <c r="BR716" s="15" t="s">
        <v>192</v>
      </c>
      <c r="BS716" s="15" t="s">
        <v>193</v>
      </c>
      <c r="BT716" s="15" t="s">
        <v>194</v>
      </c>
      <c r="BU716" s="15" t="s">
        <v>195</v>
      </c>
      <c r="BV716" s="15" t="s">
        <v>196</v>
      </c>
      <c r="BW716" s="15" t="s">
        <v>404</v>
      </c>
      <c r="CA716" s="15" t="s">
        <v>2357</v>
      </c>
      <c r="CB716" s="15" t="s">
        <v>78</v>
      </c>
      <c r="CC716" s="15">
        <v>1</v>
      </c>
      <c r="CN716" s="15" t="s">
        <v>198</v>
      </c>
      <c r="CW716" s="10">
        <v>2</v>
      </c>
      <c r="CX716" s="15" t="s">
        <v>2438</v>
      </c>
    </row>
    <row r="717" spans="1:102" s="15" customFormat="1" x14ac:dyDescent="0.3">
      <c r="A717" s="11" t="s">
        <v>2349</v>
      </c>
      <c r="B717" s="10" t="s">
        <v>743</v>
      </c>
      <c r="C717" s="12" t="s">
        <v>3831</v>
      </c>
      <c r="D717" s="10">
        <v>12</v>
      </c>
      <c r="E717" s="13">
        <v>1000000</v>
      </c>
      <c r="F717" s="14" t="s">
        <v>243</v>
      </c>
      <c r="G717" s="14" t="s">
        <v>244</v>
      </c>
      <c r="H717" s="15" t="s">
        <v>254</v>
      </c>
      <c r="I717" s="8"/>
      <c r="J717" s="10"/>
      <c r="AV717" s="15" t="s">
        <v>181</v>
      </c>
      <c r="AW717" s="15" t="s">
        <v>182</v>
      </c>
      <c r="AX717" s="15" t="s">
        <v>744</v>
      </c>
      <c r="BH717" s="15" t="s">
        <v>184</v>
      </c>
      <c r="BI717" s="15" t="s">
        <v>185</v>
      </c>
      <c r="BJ717" s="15" t="s">
        <v>2351</v>
      </c>
      <c r="BK717" s="15" t="s">
        <v>2352</v>
      </c>
      <c r="BL717" s="15" t="s">
        <v>2353</v>
      </c>
      <c r="BM717" s="15" t="s">
        <v>2354</v>
      </c>
      <c r="BN717" s="15" t="s">
        <v>2355</v>
      </c>
      <c r="BO717" s="15" t="s">
        <v>2356</v>
      </c>
      <c r="BR717" s="15" t="s">
        <v>192</v>
      </c>
      <c r="BS717" s="15" t="s">
        <v>193</v>
      </c>
      <c r="BT717" s="15" t="s">
        <v>194</v>
      </c>
      <c r="BU717" s="15" t="s">
        <v>195</v>
      </c>
      <c r="BV717" s="15" t="s">
        <v>196</v>
      </c>
      <c r="BW717" s="15" t="s">
        <v>404</v>
      </c>
      <c r="CA717" s="15" t="s">
        <v>2357</v>
      </c>
      <c r="CB717" s="15" t="s">
        <v>78</v>
      </c>
      <c r="CC717" s="15">
        <v>1</v>
      </c>
      <c r="CN717" s="15" t="s">
        <v>198</v>
      </c>
      <c r="CW717" s="10">
        <v>2</v>
      </c>
      <c r="CX717" s="15" t="s">
        <v>2439</v>
      </c>
    </row>
    <row r="718" spans="1:102" s="15" customFormat="1" x14ac:dyDescent="0.3">
      <c r="A718" s="11" t="s">
        <v>2349</v>
      </c>
      <c r="B718" s="10" t="s">
        <v>746</v>
      </c>
      <c r="C718" s="12" t="s">
        <v>3832</v>
      </c>
      <c r="D718" s="10">
        <v>12</v>
      </c>
      <c r="E718" s="13">
        <v>2000000</v>
      </c>
      <c r="F718" s="14" t="s">
        <v>243</v>
      </c>
      <c r="G718" s="14" t="s">
        <v>244</v>
      </c>
      <c r="H718" s="15" t="s">
        <v>254</v>
      </c>
      <c r="I718" s="8"/>
      <c r="J718" s="10"/>
      <c r="AV718" s="15" t="s">
        <v>181</v>
      </c>
      <c r="AW718" s="15" t="s">
        <v>182</v>
      </c>
      <c r="AX718" s="15" t="s">
        <v>747</v>
      </c>
      <c r="BH718" s="15" t="s">
        <v>184</v>
      </c>
      <c r="BI718" s="15" t="s">
        <v>185</v>
      </c>
      <c r="BJ718" s="15" t="s">
        <v>2351</v>
      </c>
      <c r="BK718" s="15" t="s">
        <v>2352</v>
      </c>
      <c r="BL718" s="15" t="s">
        <v>2353</v>
      </c>
      <c r="BM718" s="15" t="s">
        <v>2354</v>
      </c>
      <c r="BN718" s="15" t="s">
        <v>2355</v>
      </c>
      <c r="BO718" s="15" t="s">
        <v>2356</v>
      </c>
      <c r="BR718" s="15" t="s">
        <v>192</v>
      </c>
      <c r="BS718" s="15" t="s">
        <v>193</v>
      </c>
      <c r="BT718" s="15" t="s">
        <v>194</v>
      </c>
      <c r="BU718" s="15" t="s">
        <v>195</v>
      </c>
      <c r="BV718" s="15" t="s">
        <v>196</v>
      </c>
      <c r="BW718" s="15" t="s">
        <v>404</v>
      </c>
      <c r="CA718" s="15" t="s">
        <v>2357</v>
      </c>
      <c r="CB718" s="15" t="s">
        <v>78</v>
      </c>
      <c r="CC718" s="15">
        <v>1</v>
      </c>
      <c r="CN718" s="15" t="s">
        <v>198</v>
      </c>
      <c r="CW718" s="10">
        <v>2</v>
      </c>
      <c r="CX718" s="15" t="s">
        <v>2440</v>
      </c>
    </row>
    <row r="719" spans="1:102" s="15" customFormat="1" x14ac:dyDescent="0.3">
      <c r="A719" s="11" t="s">
        <v>2349</v>
      </c>
      <c r="B719" s="10" t="s">
        <v>749</v>
      </c>
      <c r="C719" s="12" t="s">
        <v>3833</v>
      </c>
      <c r="D719" s="10">
        <v>12</v>
      </c>
      <c r="E719" s="13">
        <v>2000000</v>
      </c>
      <c r="F719" s="14" t="s">
        <v>243</v>
      </c>
      <c r="G719" s="14" t="s">
        <v>244</v>
      </c>
      <c r="H719" s="15" t="s">
        <v>254</v>
      </c>
      <c r="I719" s="8"/>
      <c r="J719" s="10"/>
      <c r="AV719" s="15" t="s">
        <v>181</v>
      </c>
      <c r="AW719" s="15" t="s">
        <v>182</v>
      </c>
      <c r="AX719" s="15" t="s">
        <v>750</v>
      </c>
      <c r="BH719" s="15" t="s">
        <v>184</v>
      </c>
      <c r="BI719" s="15" t="s">
        <v>185</v>
      </c>
      <c r="BJ719" s="15" t="s">
        <v>2351</v>
      </c>
      <c r="BK719" s="15" t="s">
        <v>2352</v>
      </c>
      <c r="BL719" s="15" t="s">
        <v>2353</v>
      </c>
      <c r="BM719" s="15" t="s">
        <v>2354</v>
      </c>
      <c r="BN719" s="15" t="s">
        <v>2355</v>
      </c>
      <c r="BO719" s="15" t="s">
        <v>2356</v>
      </c>
      <c r="BR719" s="15" t="s">
        <v>192</v>
      </c>
      <c r="BS719" s="15" t="s">
        <v>193</v>
      </c>
      <c r="BT719" s="15" t="s">
        <v>194</v>
      </c>
      <c r="BU719" s="15" t="s">
        <v>195</v>
      </c>
      <c r="BV719" s="15" t="s">
        <v>196</v>
      </c>
      <c r="BW719" s="15" t="s">
        <v>404</v>
      </c>
      <c r="CA719" s="15" t="s">
        <v>2357</v>
      </c>
      <c r="CB719" s="15" t="s">
        <v>78</v>
      </c>
      <c r="CC719" s="15">
        <v>1</v>
      </c>
      <c r="CN719" s="15" t="s">
        <v>198</v>
      </c>
      <c r="CW719" s="10">
        <v>2</v>
      </c>
      <c r="CX719" s="15" t="s">
        <v>2441</v>
      </c>
    </row>
    <row r="720" spans="1:102" s="15" customFormat="1" x14ac:dyDescent="0.3">
      <c r="A720" s="11" t="s">
        <v>2349</v>
      </c>
      <c r="B720" s="10" t="s">
        <v>918</v>
      </c>
      <c r="C720" s="12" t="s">
        <v>3872</v>
      </c>
      <c r="D720" s="10">
        <v>12</v>
      </c>
      <c r="E720" s="13">
        <v>1</v>
      </c>
      <c r="F720" s="14" t="s">
        <v>243</v>
      </c>
      <c r="G720" s="14" t="s">
        <v>244</v>
      </c>
      <c r="H720" s="15" t="s">
        <v>254</v>
      </c>
      <c r="I720" s="8"/>
      <c r="J720" s="10"/>
      <c r="AV720" s="15" t="s">
        <v>181</v>
      </c>
      <c r="AW720" s="15" t="s">
        <v>182</v>
      </c>
      <c r="AX720" s="15" t="s">
        <v>2442</v>
      </c>
      <c r="BH720" s="15" t="s">
        <v>184</v>
      </c>
      <c r="BI720" s="15" t="s">
        <v>185</v>
      </c>
      <c r="BJ720" s="15" t="s">
        <v>2351</v>
      </c>
      <c r="BK720" s="15" t="s">
        <v>2352</v>
      </c>
      <c r="BL720" s="15" t="s">
        <v>2353</v>
      </c>
      <c r="BM720" s="15" t="s">
        <v>2354</v>
      </c>
      <c r="BN720" s="15" t="s">
        <v>2355</v>
      </c>
      <c r="BO720" s="15" t="s">
        <v>2356</v>
      </c>
      <c r="BR720" s="15" t="s">
        <v>192</v>
      </c>
      <c r="BS720" s="15" t="s">
        <v>193</v>
      </c>
      <c r="BT720" s="15" t="s">
        <v>194</v>
      </c>
      <c r="BU720" s="15" t="s">
        <v>195</v>
      </c>
      <c r="BV720" s="15" t="s">
        <v>196</v>
      </c>
      <c r="BW720" s="15" t="s">
        <v>404</v>
      </c>
      <c r="CA720" s="15" t="s">
        <v>2357</v>
      </c>
      <c r="CB720" s="15" t="s">
        <v>78</v>
      </c>
      <c r="CC720" s="15">
        <v>1</v>
      </c>
      <c r="CN720" s="15" t="s">
        <v>198</v>
      </c>
      <c r="CW720" s="10">
        <v>1</v>
      </c>
      <c r="CX720" s="15" t="s">
        <v>2443</v>
      </c>
    </row>
    <row r="721" spans="1:102" s="15" customFormat="1" x14ac:dyDescent="0.3">
      <c r="A721" s="11" t="s">
        <v>2349</v>
      </c>
      <c r="B721" s="10" t="s">
        <v>630</v>
      </c>
      <c r="C721" s="12" t="s">
        <v>3588</v>
      </c>
      <c r="D721" s="10">
        <v>12</v>
      </c>
      <c r="E721" s="13">
        <v>10000</v>
      </c>
      <c r="F721" s="14" t="s">
        <v>243</v>
      </c>
      <c r="G721" s="14" t="s">
        <v>244</v>
      </c>
      <c r="H721" s="15" t="s">
        <v>402</v>
      </c>
      <c r="I721" s="8"/>
      <c r="J721" s="10"/>
      <c r="AV721" s="15" t="s">
        <v>181</v>
      </c>
      <c r="AW721" s="15" t="s">
        <v>182</v>
      </c>
      <c r="AX721" s="15" t="s">
        <v>2444</v>
      </c>
      <c r="BH721" s="15" t="s">
        <v>184</v>
      </c>
      <c r="BI721" s="15" t="s">
        <v>185</v>
      </c>
      <c r="BJ721" s="15" t="s">
        <v>2351</v>
      </c>
      <c r="BK721" s="15" t="s">
        <v>2352</v>
      </c>
      <c r="BL721" s="15" t="s">
        <v>2353</v>
      </c>
      <c r="BM721" s="15" t="s">
        <v>2354</v>
      </c>
      <c r="BN721" s="15" t="s">
        <v>2355</v>
      </c>
      <c r="BO721" s="15" t="s">
        <v>2356</v>
      </c>
      <c r="BR721" s="15" t="s">
        <v>192</v>
      </c>
      <c r="BS721" s="15" t="s">
        <v>193</v>
      </c>
      <c r="BT721" s="15" t="s">
        <v>194</v>
      </c>
      <c r="BU721" s="15" t="s">
        <v>195</v>
      </c>
      <c r="BV721" s="15" t="s">
        <v>196</v>
      </c>
      <c r="BW721" s="15" t="s">
        <v>205</v>
      </c>
      <c r="CA721" s="15" t="s">
        <v>2357</v>
      </c>
      <c r="CB721" s="15" t="s">
        <v>78</v>
      </c>
      <c r="CC721" s="15">
        <v>1</v>
      </c>
      <c r="CN721" s="15" t="s">
        <v>198</v>
      </c>
      <c r="CW721" s="10">
        <v>2</v>
      </c>
      <c r="CX721" s="15" t="s">
        <v>2445</v>
      </c>
    </row>
    <row r="722" spans="1:102" s="15" customFormat="1" x14ac:dyDescent="0.3">
      <c r="A722" s="11" t="s">
        <v>2349</v>
      </c>
      <c r="B722" s="10" t="s">
        <v>706</v>
      </c>
      <c r="C722" s="12" t="s">
        <v>3572</v>
      </c>
      <c r="D722" s="10">
        <v>12</v>
      </c>
      <c r="E722" s="13">
        <v>10000</v>
      </c>
      <c r="F722" s="14" t="s">
        <v>243</v>
      </c>
      <c r="G722" s="14" t="s">
        <v>244</v>
      </c>
      <c r="H722" s="15" t="s">
        <v>402</v>
      </c>
      <c r="I722" s="8"/>
      <c r="J722" s="10"/>
      <c r="AV722" s="15" t="s">
        <v>181</v>
      </c>
      <c r="AW722" s="15" t="s">
        <v>182</v>
      </c>
      <c r="AX722" s="15" t="s">
        <v>2446</v>
      </c>
      <c r="BH722" s="15" t="s">
        <v>184</v>
      </c>
      <c r="BI722" s="15" t="s">
        <v>185</v>
      </c>
      <c r="BJ722" s="15" t="s">
        <v>2351</v>
      </c>
      <c r="BK722" s="15" t="s">
        <v>2352</v>
      </c>
      <c r="BL722" s="15" t="s">
        <v>2353</v>
      </c>
      <c r="BM722" s="15" t="s">
        <v>2354</v>
      </c>
      <c r="BN722" s="15" t="s">
        <v>2355</v>
      </c>
      <c r="BO722" s="15" t="s">
        <v>2356</v>
      </c>
      <c r="BR722" s="15" t="s">
        <v>192</v>
      </c>
      <c r="BS722" s="15" t="s">
        <v>193</v>
      </c>
      <c r="BT722" s="15" t="s">
        <v>194</v>
      </c>
      <c r="BU722" s="15" t="s">
        <v>195</v>
      </c>
      <c r="BV722" s="15" t="s">
        <v>196</v>
      </c>
      <c r="BW722" s="15" t="s">
        <v>205</v>
      </c>
      <c r="CA722" s="15" t="s">
        <v>2357</v>
      </c>
      <c r="CB722" s="15" t="s">
        <v>78</v>
      </c>
      <c r="CC722" s="15">
        <v>1</v>
      </c>
      <c r="CN722" s="15" t="s">
        <v>198</v>
      </c>
      <c r="CW722" s="10">
        <v>1</v>
      </c>
      <c r="CX722" s="15" t="s">
        <v>2447</v>
      </c>
    </row>
    <row r="723" spans="1:102" s="15" customFormat="1" x14ac:dyDescent="0.3">
      <c r="A723" s="11" t="s">
        <v>2349</v>
      </c>
      <c r="B723" s="10" t="s">
        <v>536</v>
      </c>
      <c r="C723" s="12" t="s">
        <v>3670</v>
      </c>
      <c r="D723" s="10">
        <v>12</v>
      </c>
      <c r="E723" s="13">
        <v>10000</v>
      </c>
      <c r="F723" s="14" t="s">
        <v>243</v>
      </c>
      <c r="G723" s="14" t="s">
        <v>244</v>
      </c>
      <c r="H723" s="15" t="s">
        <v>402</v>
      </c>
      <c r="I723" s="8"/>
      <c r="J723" s="10"/>
      <c r="AV723" s="15" t="s">
        <v>181</v>
      </c>
      <c r="AW723" s="15" t="s">
        <v>182</v>
      </c>
      <c r="AX723" s="15" t="s">
        <v>2448</v>
      </c>
      <c r="BH723" s="15" t="s">
        <v>184</v>
      </c>
      <c r="BI723" s="15" t="s">
        <v>185</v>
      </c>
      <c r="BJ723" s="15" t="s">
        <v>2351</v>
      </c>
      <c r="BK723" s="15" t="s">
        <v>2352</v>
      </c>
      <c r="BL723" s="15" t="s">
        <v>2353</v>
      </c>
      <c r="BM723" s="15" t="s">
        <v>2354</v>
      </c>
      <c r="BN723" s="15" t="s">
        <v>2355</v>
      </c>
      <c r="BO723" s="15" t="s">
        <v>2356</v>
      </c>
      <c r="BR723" s="15" t="s">
        <v>192</v>
      </c>
      <c r="BS723" s="15" t="s">
        <v>193</v>
      </c>
      <c r="BT723" s="15" t="s">
        <v>194</v>
      </c>
      <c r="BU723" s="15" t="s">
        <v>195</v>
      </c>
      <c r="BV723" s="15" t="s">
        <v>196</v>
      </c>
      <c r="BW723" s="15" t="s">
        <v>205</v>
      </c>
      <c r="CA723" s="15" t="s">
        <v>2357</v>
      </c>
      <c r="CB723" s="15" t="s">
        <v>78</v>
      </c>
      <c r="CC723" s="15">
        <v>1</v>
      </c>
      <c r="CN723" s="15" t="s">
        <v>198</v>
      </c>
      <c r="CW723" s="10">
        <v>1</v>
      </c>
      <c r="CX723" s="15" t="s">
        <v>2449</v>
      </c>
    </row>
    <row r="724" spans="1:102" s="15" customFormat="1" x14ac:dyDescent="0.3">
      <c r="A724" s="11" t="s">
        <v>2349</v>
      </c>
      <c r="B724" s="10" t="s">
        <v>571</v>
      </c>
      <c r="C724" s="12" t="s">
        <v>3798</v>
      </c>
      <c r="D724" s="10">
        <v>12</v>
      </c>
      <c r="E724" s="13">
        <v>10000</v>
      </c>
      <c r="F724" s="14" t="s">
        <v>243</v>
      </c>
      <c r="G724" s="14" t="s">
        <v>244</v>
      </c>
      <c r="H724" s="15" t="s">
        <v>402</v>
      </c>
      <c r="I724" s="8"/>
      <c r="J724" s="10"/>
      <c r="AV724" s="15" t="s">
        <v>181</v>
      </c>
      <c r="AW724" s="15" t="s">
        <v>182</v>
      </c>
      <c r="AX724" s="15" t="s">
        <v>2450</v>
      </c>
      <c r="BH724" s="15" t="s">
        <v>184</v>
      </c>
      <c r="BI724" s="15" t="s">
        <v>185</v>
      </c>
      <c r="BJ724" s="15" t="s">
        <v>2351</v>
      </c>
      <c r="BK724" s="15" t="s">
        <v>2352</v>
      </c>
      <c r="BL724" s="15" t="s">
        <v>2353</v>
      </c>
      <c r="BM724" s="15" t="s">
        <v>2354</v>
      </c>
      <c r="BN724" s="15" t="s">
        <v>2355</v>
      </c>
      <c r="BO724" s="15" t="s">
        <v>2356</v>
      </c>
      <c r="BR724" s="15" t="s">
        <v>192</v>
      </c>
      <c r="BS724" s="15" t="s">
        <v>193</v>
      </c>
      <c r="BT724" s="15" t="s">
        <v>194</v>
      </c>
      <c r="BU724" s="15" t="s">
        <v>195</v>
      </c>
      <c r="BV724" s="15" t="s">
        <v>196</v>
      </c>
      <c r="BW724" s="15" t="s">
        <v>205</v>
      </c>
      <c r="CA724" s="15" t="s">
        <v>2357</v>
      </c>
      <c r="CB724" s="15" t="s">
        <v>78</v>
      </c>
      <c r="CC724" s="15">
        <v>1</v>
      </c>
      <c r="CN724" s="15" t="s">
        <v>198</v>
      </c>
      <c r="CW724" s="10">
        <v>1</v>
      </c>
      <c r="CX724" s="15" t="s">
        <v>2451</v>
      </c>
    </row>
    <row r="725" spans="1:102" s="15" customFormat="1" x14ac:dyDescent="0.3">
      <c r="A725" s="11" t="s">
        <v>2349</v>
      </c>
      <c r="B725" s="10" t="s">
        <v>2078</v>
      </c>
      <c r="C725" s="12" t="s">
        <v>2082</v>
      </c>
      <c r="D725" s="10">
        <v>12</v>
      </c>
      <c r="E725" s="13">
        <v>10000</v>
      </c>
      <c r="F725" s="14" t="s">
        <v>243</v>
      </c>
      <c r="G725" s="14" t="s">
        <v>244</v>
      </c>
      <c r="H725" s="15" t="s">
        <v>254</v>
      </c>
      <c r="I725" s="8"/>
      <c r="J725" s="10"/>
      <c r="AV725" s="15" t="s">
        <v>181</v>
      </c>
      <c r="AW725" s="15" t="s">
        <v>182</v>
      </c>
      <c r="AX725" s="15" t="s">
        <v>2452</v>
      </c>
      <c r="BH725" s="15" t="s">
        <v>184</v>
      </c>
      <c r="BI725" s="15" t="s">
        <v>185</v>
      </c>
      <c r="BJ725" s="15" t="s">
        <v>2351</v>
      </c>
      <c r="BK725" s="15" t="s">
        <v>2352</v>
      </c>
      <c r="BL725" s="15" t="s">
        <v>2353</v>
      </c>
      <c r="BM725" s="15" t="s">
        <v>2354</v>
      </c>
      <c r="BN725" s="15" t="s">
        <v>2355</v>
      </c>
      <c r="BO725" s="15" t="s">
        <v>2356</v>
      </c>
      <c r="BR725" s="15" t="s">
        <v>192</v>
      </c>
      <c r="BS725" s="15" t="s">
        <v>193</v>
      </c>
      <c r="BT725" s="15" t="s">
        <v>194</v>
      </c>
      <c r="BU725" s="15" t="s">
        <v>195</v>
      </c>
      <c r="BV725" s="15" t="s">
        <v>196</v>
      </c>
      <c r="BW725" s="15" t="s">
        <v>205</v>
      </c>
      <c r="CA725" s="15" t="s">
        <v>2357</v>
      </c>
      <c r="CB725" s="15" t="s">
        <v>78</v>
      </c>
      <c r="CC725" s="15">
        <v>1</v>
      </c>
      <c r="CN725" s="15" t="s">
        <v>198</v>
      </c>
      <c r="CW725" s="10">
        <v>2</v>
      </c>
      <c r="CX725" s="15" t="s">
        <v>2453</v>
      </c>
    </row>
    <row r="726" spans="1:102" s="15" customFormat="1" x14ac:dyDescent="0.3">
      <c r="A726" s="11" t="s">
        <v>2349</v>
      </c>
      <c r="B726" s="10" t="s">
        <v>2072</v>
      </c>
      <c r="C726" s="12" t="s">
        <v>2076</v>
      </c>
      <c r="D726" s="10">
        <v>12</v>
      </c>
      <c r="E726" s="13">
        <v>150000</v>
      </c>
      <c r="F726" s="14" t="s">
        <v>243</v>
      </c>
      <c r="G726" s="14" t="s">
        <v>244</v>
      </c>
      <c r="H726" s="15" t="s">
        <v>254</v>
      </c>
      <c r="I726" s="8"/>
      <c r="J726" s="10"/>
      <c r="AV726" s="15" t="s">
        <v>181</v>
      </c>
      <c r="AW726" s="15" t="s">
        <v>182</v>
      </c>
      <c r="AX726" s="15" t="s">
        <v>2454</v>
      </c>
      <c r="BH726" s="15" t="s">
        <v>184</v>
      </c>
      <c r="BI726" s="15" t="s">
        <v>185</v>
      </c>
      <c r="BJ726" s="15" t="s">
        <v>2351</v>
      </c>
      <c r="BK726" s="15" t="s">
        <v>2352</v>
      </c>
      <c r="BL726" s="15" t="s">
        <v>2353</v>
      </c>
      <c r="BM726" s="15" t="s">
        <v>2354</v>
      </c>
      <c r="BN726" s="15" t="s">
        <v>2355</v>
      </c>
      <c r="BO726" s="15" t="s">
        <v>2356</v>
      </c>
      <c r="BR726" s="15" t="s">
        <v>192</v>
      </c>
      <c r="BS726" s="15" t="s">
        <v>193</v>
      </c>
      <c r="BT726" s="15" t="s">
        <v>194</v>
      </c>
      <c r="BU726" s="15" t="s">
        <v>195</v>
      </c>
      <c r="BV726" s="15" t="s">
        <v>196</v>
      </c>
      <c r="BW726" s="15" t="s">
        <v>205</v>
      </c>
      <c r="CA726" s="15" t="s">
        <v>2357</v>
      </c>
      <c r="CB726" s="15" t="s">
        <v>78</v>
      </c>
      <c r="CC726" s="15">
        <v>1</v>
      </c>
      <c r="CN726" s="15" t="s">
        <v>198</v>
      </c>
      <c r="CW726" s="10">
        <v>2</v>
      </c>
      <c r="CX726" s="15" t="s">
        <v>2455</v>
      </c>
    </row>
    <row r="727" spans="1:102" s="15" customFormat="1" x14ac:dyDescent="0.3">
      <c r="A727" s="11" t="s">
        <v>2349</v>
      </c>
      <c r="B727" s="10" t="s">
        <v>2456</v>
      </c>
      <c r="C727" s="12" t="s">
        <v>3950</v>
      </c>
      <c r="D727" s="10"/>
      <c r="E727" s="13">
        <v>0</v>
      </c>
      <c r="F727" s="14"/>
      <c r="G727" s="14"/>
      <c r="I727" s="8"/>
      <c r="J727" s="10"/>
      <c r="BH727" s="15" t="s">
        <v>184</v>
      </c>
      <c r="BI727" s="15" t="s">
        <v>185</v>
      </c>
      <c r="BJ727" s="15" t="s">
        <v>2351</v>
      </c>
      <c r="BK727" s="15" t="s">
        <v>2352</v>
      </c>
      <c r="BL727" s="15" t="s">
        <v>2353</v>
      </c>
      <c r="BM727" s="15" t="s">
        <v>2354</v>
      </c>
      <c r="BN727" s="15" t="s">
        <v>2355</v>
      </c>
      <c r="BO727" s="15" t="s">
        <v>2356</v>
      </c>
      <c r="CW727" s="10"/>
    </row>
    <row r="728" spans="1:102" s="15" customFormat="1" x14ac:dyDescent="0.3">
      <c r="A728" s="11" t="s">
        <v>2349</v>
      </c>
      <c r="B728" s="10" t="s">
        <v>903</v>
      </c>
      <c r="C728" s="12" t="s">
        <v>3867</v>
      </c>
      <c r="D728" s="10">
        <v>12</v>
      </c>
      <c r="E728" s="13">
        <v>10000</v>
      </c>
      <c r="F728" s="14" t="s">
        <v>243</v>
      </c>
      <c r="G728" s="14" t="s">
        <v>244</v>
      </c>
      <c r="H728" s="15" t="s">
        <v>894</v>
      </c>
      <c r="I728" s="8"/>
      <c r="J728" s="10"/>
      <c r="AV728" s="15" t="s">
        <v>181</v>
      </c>
      <c r="AW728" s="15" t="s">
        <v>182</v>
      </c>
      <c r="AX728" s="15" t="s">
        <v>2457</v>
      </c>
      <c r="AY728" s="15" t="s">
        <v>2458</v>
      </c>
      <c r="BH728" s="15" t="s">
        <v>184</v>
      </c>
      <c r="BI728" s="15" t="s">
        <v>185</v>
      </c>
      <c r="BJ728" s="15" t="s">
        <v>2351</v>
      </c>
      <c r="BK728" s="15" t="s">
        <v>2352</v>
      </c>
      <c r="BL728" s="15" t="s">
        <v>2353</v>
      </c>
      <c r="BM728" s="15" t="s">
        <v>2354</v>
      </c>
      <c r="BN728" s="15" t="s">
        <v>2355</v>
      </c>
      <c r="BO728" s="15" t="s">
        <v>2356</v>
      </c>
      <c r="BR728" s="15" t="s">
        <v>192</v>
      </c>
      <c r="BS728" s="15" t="s">
        <v>193</v>
      </c>
      <c r="BT728" s="15" t="s">
        <v>194</v>
      </c>
      <c r="BU728" s="15" t="s">
        <v>195</v>
      </c>
      <c r="BV728" s="15" t="s">
        <v>196</v>
      </c>
      <c r="BW728" s="15" t="s">
        <v>205</v>
      </c>
      <c r="CA728" s="15" t="s">
        <v>2357</v>
      </c>
      <c r="CB728" s="15" t="s">
        <v>78</v>
      </c>
      <c r="CC728" s="15">
        <v>1</v>
      </c>
      <c r="CN728" s="15" t="s">
        <v>198</v>
      </c>
      <c r="CW728" s="10">
        <v>2</v>
      </c>
      <c r="CX728" s="15" t="s">
        <v>2459</v>
      </c>
    </row>
    <row r="729" spans="1:102" s="15" customFormat="1" x14ac:dyDescent="0.3">
      <c r="A729" s="11" t="s">
        <v>2349</v>
      </c>
      <c r="B729" s="10" t="s">
        <v>907</v>
      </c>
      <c r="C729" s="12" t="s">
        <v>3868</v>
      </c>
      <c r="D729" s="10">
        <v>12</v>
      </c>
      <c r="E729" s="13">
        <v>30000</v>
      </c>
      <c r="F729" s="14" t="s">
        <v>243</v>
      </c>
      <c r="G729" s="14" t="s">
        <v>244</v>
      </c>
      <c r="H729" s="15" t="s">
        <v>254</v>
      </c>
      <c r="I729" s="8"/>
      <c r="J729" s="10"/>
      <c r="AV729" s="15" t="s">
        <v>181</v>
      </c>
      <c r="AW729" s="15" t="s">
        <v>182</v>
      </c>
      <c r="AX729" s="15" t="s">
        <v>2460</v>
      </c>
      <c r="BH729" s="15" t="s">
        <v>184</v>
      </c>
      <c r="BI729" s="15" t="s">
        <v>185</v>
      </c>
      <c r="BJ729" s="15" t="s">
        <v>2351</v>
      </c>
      <c r="BK729" s="15" t="s">
        <v>2352</v>
      </c>
      <c r="BL729" s="15" t="s">
        <v>2353</v>
      </c>
      <c r="BM729" s="15" t="s">
        <v>2354</v>
      </c>
      <c r="BN729" s="15" t="s">
        <v>2355</v>
      </c>
      <c r="BO729" s="15" t="s">
        <v>2356</v>
      </c>
      <c r="BR729" s="15" t="s">
        <v>192</v>
      </c>
      <c r="BS729" s="15" t="s">
        <v>193</v>
      </c>
      <c r="BT729" s="15" t="s">
        <v>194</v>
      </c>
      <c r="BU729" s="15" t="s">
        <v>195</v>
      </c>
      <c r="BV729" s="15" t="s">
        <v>196</v>
      </c>
      <c r="BW729" s="15" t="s">
        <v>205</v>
      </c>
      <c r="CA729" s="15" t="s">
        <v>2357</v>
      </c>
      <c r="CB729" s="15" t="s">
        <v>78</v>
      </c>
      <c r="CC729" s="15">
        <v>1</v>
      </c>
      <c r="CN729" s="15" t="s">
        <v>198</v>
      </c>
      <c r="CW729" s="10">
        <v>2</v>
      </c>
      <c r="CX729" s="15" t="s">
        <v>2461</v>
      </c>
    </row>
    <row r="730" spans="1:102" s="15" customFormat="1" x14ac:dyDescent="0.3">
      <c r="A730" s="11" t="s">
        <v>2349</v>
      </c>
      <c r="B730" s="10" t="s">
        <v>910</v>
      </c>
      <c r="C730" s="12" t="s">
        <v>3869</v>
      </c>
      <c r="D730" s="10">
        <v>12</v>
      </c>
      <c r="E730" s="13">
        <v>10000</v>
      </c>
      <c r="F730" s="14" t="s">
        <v>243</v>
      </c>
      <c r="G730" s="14" t="s">
        <v>244</v>
      </c>
      <c r="H730" s="15" t="s">
        <v>254</v>
      </c>
      <c r="I730" s="8"/>
      <c r="J730" s="10"/>
      <c r="AV730" s="15" t="s">
        <v>181</v>
      </c>
      <c r="AW730" s="15" t="s">
        <v>182</v>
      </c>
      <c r="AX730" s="15" t="s">
        <v>2462</v>
      </c>
      <c r="BH730" s="15" t="s">
        <v>184</v>
      </c>
      <c r="BI730" s="15" t="s">
        <v>185</v>
      </c>
      <c r="BJ730" s="15" t="s">
        <v>2351</v>
      </c>
      <c r="BK730" s="15" t="s">
        <v>2352</v>
      </c>
      <c r="BL730" s="15" t="s">
        <v>2353</v>
      </c>
      <c r="BM730" s="15" t="s">
        <v>2354</v>
      </c>
      <c r="BN730" s="15" t="s">
        <v>2355</v>
      </c>
      <c r="BO730" s="15" t="s">
        <v>2356</v>
      </c>
      <c r="BR730" s="15" t="s">
        <v>192</v>
      </c>
      <c r="BS730" s="15" t="s">
        <v>193</v>
      </c>
      <c r="BT730" s="15" t="s">
        <v>194</v>
      </c>
      <c r="BU730" s="15" t="s">
        <v>195</v>
      </c>
      <c r="BV730" s="15" t="s">
        <v>196</v>
      </c>
      <c r="BW730" s="15" t="s">
        <v>205</v>
      </c>
      <c r="CA730" s="15" t="s">
        <v>2357</v>
      </c>
      <c r="CB730" s="15" t="s">
        <v>78</v>
      </c>
      <c r="CC730" s="15">
        <v>1</v>
      </c>
      <c r="CN730" s="15" t="s">
        <v>198</v>
      </c>
      <c r="CW730" s="10">
        <v>2</v>
      </c>
      <c r="CX730" s="15" t="s">
        <v>2463</v>
      </c>
    </row>
    <row r="731" spans="1:102" s="15" customFormat="1" x14ac:dyDescent="0.3">
      <c r="A731" s="11" t="s">
        <v>2349</v>
      </c>
      <c r="B731" s="10" t="s">
        <v>722</v>
      </c>
      <c r="C731" s="12" t="s">
        <v>926</v>
      </c>
      <c r="D731" s="10">
        <v>12</v>
      </c>
      <c r="E731" s="13">
        <v>1000000</v>
      </c>
      <c r="F731" s="14" t="s">
        <v>723</v>
      </c>
      <c r="G731" s="14" t="s">
        <v>724</v>
      </c>
      <c r="H731" s="15" t="s">
        <v>725</v>
      </c>
      <c r="I731" s="8"/>
      <c r="J731" s="10"/>
      <c r="AV731" s="15" t="s">
        <v>181</v>
      </c>
      <c r="AW731" s="15" t="s">
        <v>182</v>
      </c>
      <c r="AX731" s="15" t="s">
        <v>2464</v>
      </c>
      <c r="BH731" s="15" t="s">
        <v>184</v>
      </c>
      <c r="BI731" s="15" t="s">
        <v>185</v>
      </c>
      <c r="BJ731" s="15" t="s">
        <v>2351</v>
      </c>
      <c r="BK731" s="15" t="s">
        <v>2352</v>
      </c>
      <c r="BL731" s="15" t="s">
        <v>2353</v>
      </c>
      <c r="BM731" s="15" t="s">
        <v>2354</v>
      </c>
      <c r="BN731" s="15" t="s">
        <v>2355</v>
      </c>
      <c r="BO731" s="15" t="s">
        <v>2356</v>
      </c>
      <c r="BR731" s="15" t="s">
        <v>192</v>
      </c>
      <c r="BS731" s="15" t="s">
        <v>193</v>
      </c>
      <c r="BT731" s="15" t="s">
        <v>194</v>
      </c>
      <c r="BU731" s="15" t="s">
        <v>195</v>
      </c>
      <c r="BV731" s="15" t="s">
        <v>196</v>
      </c>
      <c r="CA731" s="15" t="s">
        <v>2357</v>
      </c>
      <c r="CB731" s="15" t="s">
        <v>78</v>
      </c>
      <c r="CC731" s="15" t="s">
        <v>197</v>
      </c>
      <c r="CN731" s="15" t="s">
        <v>198</v>
      </c>
      <c r="CW731" s="10">
        <v>2</v>
      </c>
      <c r="CX731" s="15" t="s">
        <v>2465</v>
      </c>
    </row>
    <row r="732" spans="1:102" s="15" customFormat="1" x14ac:dyDescent="0.3">
      <c r="A732" s="11" t="s">
        <v>2349</v>
      </c>
      <c r="B732" s="10" t="s">
        <v>921</v>
      </c>
      <c r="C732" s="12" t="s">
        <v>3873</v>
      </c>
      <c r="D732" s="10">
        <v>12</v>
      </c>
      <c r="E732" s="13">
        <v>1000000</v>
      </c>
      <c r="F732" s="14" t="s">
        <v>2466</v>
      </c>
      <c r="G732" s="14" t="s">
        <v>2467</v>
      </c>
      <c r="H732" s="15" t="s">
        <v>725</v>
      </c>
      <c r="I732" s="8"/>
      <c r="J732" s="10"/>
      <c r="AV732" s="15" t="s">
        <v>922</v>
      </c>
      <c r="AW732" s="15" t="s">
        <v>923</v>
      </c>
      <c r="AX732" s="15" t="s">
        <v>2464</v>
      </c>
      <c r="BH732" s="15" t="s">
        <v>184</v>
      </c>
      <c r="BI732" s="15" t="s">
        <v>185</v>
      </c>
      <c r="BJ732" s="15" t="s">
        <v>2351</v>
      </c>
      <c r="BK732" s="15" t="s">
        <v>2352</v>
      </c>
      <c r="BL732" s="15" t="s">
        <v>2353</v>
      </c>
      <c r="BM732" s="15" t="s">
        <v>2354</v>
      </c>
      <c r="BN732" s="15" t="s">
        <v>2355</v>
      </c>
      <c r="BO732" s="15" t="s">
        <v>2356</v>
      </c>
      <c r="BR732" s="15" t="s">
        <v>192</v>
      </c>
      <c r="BS732" s="15" t="s">
        <v>193</v>
      </c>
      <c r="BT732" s="15" t="s">
        <v>194</v>
      </c>
      <c r="BU732" s="15" t="s">
        <v>195</v>
      </c>
      <c r="BV732" s="15" t="s">
        <v>196</v>
      </c>
      <c r="CA732" s="15" t="s">
        <v>2357</v>
      </c>
      <c r="CB732" s="15" t="s">
        <v>78</v>
      </c>
      <c r="CN732" s="15" t="s">
        <v>2468</v>
      </c>
      <c r="CW732" s="10">
        <v>2</v>
      </c>
      <c r="CX732" s="15" t="s">
        <v>2469</v>
      </c>
    </row>
    <row r="733" spans="1:102" s="15" customFormat="1" x14ac:dyDescent="0.3">
      <c r="A733" s="11" t="s">
        <v>2349</v>
      </c>
      <c r="B733" s="10" t="s">
        <v>925</v>
      </c>
      <c r="C733" s="12" t="s">
        <v>926</v>
      </c>
      <c r="D733" s="10">
        <v>12</v>
      </c>
      <c r="E733" s="13">
        <v>1000000</v>
      </c>
      <c r="F733" s="14" t="s">
        <v>724</v>
      </c>
      <c r="G733" s="14" t="s">
        <v>724</v>
      </c>
      <c r="H733" s="15" t="s">
        <v>725</v>
      </c>
      <c r="I733" s="8"/>
      <c r="J733" s="10"/>
      <c r="AW733" s="15" t="s">
        <v>128</v>
      </c>
      <c r="AX733" s="15" t="s">
        <v>2464</v>
      </c>
      <c r="BH733" s="15" t="s">
        <v>184</v>
      </c>
      <c r="BI733" s="15" t="s">
        <v>185</v>
      </c>
      <c r="BJ733" s="15" t="s">
        <v>2351</v>
      </c>
      <c r="BK733" s="15" t="s">
        <v>2352</v>
      </c>
      <c r="BL733" s="15" t="s">
        <v>2353</v>
      </c>
      <c r="BM733" s="15" t="s">
        <v>2354</v>
      </c>
      <c r="BN733" s="15" t="s">
        <v>2355</v>
      </c>
      <c r="BO733" s="15" t="s">
        <v>2356</v>
      </c>
      <c r="BR733" s="15" t="s">
        <v>192</v>
      </c>
      <c r="BS733" s="15" t="s">
        <v>193</v>
      </c>
      <c r="BT733" s="15" t="s">
        <v>194</v>
      </c>
      <c r="BU733" s="15" t="s">
        <v>195</v>
      </c>
      <c r="BV733" s="15" t="s">
        <v>196</v>
      </c>
      <c r="CB733" s="15" t="s">
        <v>128</v>
      </c>
      <c r="CC733" s="15" t="s">
        <v>197</v>
      </c>
      <c r="CN733" s="15" t="s">
        <v>198</v>
      </c>
      <c r="CW733" s="10">
        <v>2</v>
      </c>
      <c r="CX733" s="15" t="s">
        <v>2470</v>
      </c>
    </row>
    <row r="734" spans="1:102" s="15" customFormat="1" x14ac:dyDescent="0.3">
      <c r="A734" s="11" t="s">
        <v>2349</v>
      </c>
      <c r="B734" s="10" t="s">
        <v>1070</v>
      </c>
      <c r="C734" s="12" t="s">
        <v>3910</v>
      </c>
      <c r="D734" s="10">
        <v>12</v>
      </c>
      <c r="E734" s="13">
        <v>500000</v>
      </c>
      <c r="F734" s="14" t="s">
        <v>178</v>
      </c>
      <c r="G734" s="14" t="s">
        <v>179</v>
      </c>
      <c r="H734" s="15" t="s">
        <v>1068</v>
      </c>
      <c r="I734" s="8"/>
      <c r="J734" s="10"/>
      <c r="AV734" s="15" t="s">
        <v>181</v>
      </c>
      <c r="AW734" s="15" t="s">
        <v>182</v>
      </c>
      <c r="AX734" s="15" t="s">
        <v>2464</v>
      </c>
      <c r="BH734" s="15" t="s">
        <v>184</v>
      </c>
      <c r="BI734" s="15" t="s">
        <v>185</v>
      </c>
      <c r="BJ734" s="15" t="s">
        <v>2351</v>
      </c>
      <c r="BK734" s="15" t="s">
        <v>2352</v>
      </c>
      <c r="BL734" s="15" t="s">
        <v>2353</v>
      </c>
      <c r="BM734" s="15" t="s">
        <v>2354</v>
      </c>
      <c r="BN734" s="15" t="s">
        <v>2355</v>
      </c>
      <c r="BO734" s="15" t="s">
        <v>2356</v>
      </c>
      <c r="BR734" s="15" t="s">
        <v>192</v>
      </c>
      <c r="BS734" s="15" t="s">
        <v>193</v>
      </c>
      <c r="BT734" s="15" t="s">
        <v>194</v>
      </c>
      <c r="BU734" s="15" t="s">
        <v>195</v>
      </c>
      <c r="BV734" s="15" t="s">
        <v>196</v>
      </c>
      <c r="BW734" s="15" t="s">
        <v>196</v>
      </c>
      <c r="CA734" s="15" t="s">
        <v>2357</v>
      </c>
      <c r="CB734" s="15" t="s">
        <v>78</v>
      </c>
      <c r="CC734" s="15" t="s">
        <v>197</v>
      </c>
      <c r="CN734" s="15" t="s">
        <v>198</v>
      </c>
      <c r="CW734" s="10">
        <v>2</v>
      </c>
      <c r="CX734" s="15" t="s">
        <v>2471</v>
      </c>
    </row>
    <row r="735" spans="1:102" s="15" customFormat="1" x14ac:dyDescent="0.3">
      <c r="A735" s="11" t="s">
        <v>2349</v>
      </c>
      <c r="B735" s="10" t="s">
        <v>131</v>
      </c>
      <c r="C735" s="12" t="s">
        <v>3783</v>
      </c>
      <c r="D735" s="10">
        <v>12</v>
      </c>
      <c r="E735" s="13"/>
      <c r="F735" s="14" t="s">
        <v>178</v>
      </c>
      <c r="G735" s="14" t="s">
        <v>179</v>
      </c>
      <c r="H735" s="15" t="s">
        <v>1068</v>
      </c>
      <c r="I735" s="8"/>
      <c r="J735" s="10"/>
      <c r="AV735" s="15" t="s">
        <v>181</v>
      </c>
      <c r="AW735" s="15" t="s">
        <v>182</v>
      </c>
      <c r="AX735" s="15" t="s">
        <v>2464</v>
      </c>
      <c r="BH735" s="15" t="s">
        <v>184</v>
      </c>
      <c r="BI735" s="15" t="s">
        <v>185</v>
      </c>
      <c r="BJ735" s="15" t="s">
        <v>2351</v>
      </c>
      <c r="BK735" s="15" t="s">
        <v>2352</v>
      </c>
      <c r="BL735" s="15" t="s">
        <v>2353</v>
      </c>
      <c r="BM735" s="15" t="s">
        <v>2354</v>
      </c>
      <c r="BN735" s="15" t="s">
        <v>2355</v>
      </c>
      <c r="BO735" s="15" t="s">
        <v>2356</v>
      </c>
      <c r="BR735" s="15" t="s">
        <v>192</v>
      </c>
      <c r="BS735" s="15" t="s">
        <v>193</v>
      </c>
      <c r="BT735" s="15" t="s">
        <v>194</v>
      </c>
      <c r="BU735" s="15" t="s">
        <v>195</v>
      </c>
      <c r="BV735" s="15" t="s">
        <v>196</v>
      </c>
      <c r="CA735" s="15" t="s">
        <v>2357</v>
      </c>
      <c r="CB735" s="15" t="s">
        <v>78</v>
      </c>
      <c r="CC735" s="15" t="s">
        <v>197</v>
      </c>
      <c r="CN735" s="15" t="s">
        <v>198</v>
      </c>
      <c r="CW735" s="10">
        <v>2</v>
      </c>
    </row>
    <row r="736" spans="1:102" s="15" customFormat="1" x14ac:dyDescent="0.3">
      <c r="A736" s="11" t="s">
        <v>2349</v>
      </c>
      <c r="B736" s="10" t="s">
        <v>574</v>
      </c>
      <c r="C736" s="12" t="s">
        <v>578</v>
      </c>
      <c r="D736" s="10">
        <v>12</v>
      </c>
      <c r="E736" s="13">
        <v>1000000</v>
      </c>
      <c r="F736" s="14" t="s">
        <v>243</v>
      </c>
      <c r="G736" s="14" t="s">
        <v>244</v>
      </c>
      <c r="H736" s="15" t="s">
        <v>254</v>
      </c>
      <c r="I736" s="8"/>
      <c r="J736" s="10"/>
      <c r="AV736" s="15" t="s">
        <v>181</v>
      </c>
      <c r="AW736" s="15" t="s">
        <v>182</v>
      </c>
      <c r="AX736" s="15" t="s">
        <v>575</v>
      </c>
      <c r="BH736" s="15" t="s">
        <v>184</v>
      </c>
      <c r="BI736" s="15" t="s">
        <v>185</v>
      </c>
      <c r="BJ736" s="15" t="s">
        <v>2351</v>
      </c>
      <c r="BK736" s="15" t="s">
        <v>2352</v>
      </c>
      <c r="BL736" s="15" t="s">
        <v>2353</v>
      </c>
      <c r="BM736" s="15" t="s">
        <v>2354</v>
      </c>
      <c r="BN736" s="15" t="s">
        <v>2355</v>
      </c>
      <c r="BO736" s="15" t="s">
        <v>2356</v>
      </c>
      <c r="BR736" s="15" t="s">
        <v>192</v>
      </c>
      <c r="BS736" s="15" t="s">
        <v>193</v>
      </c>
      <c r="BT736" s="15" t="s">
        <v>194</v>
      </c>
      <c r="BU736" s="15" t="s">
        <v>195</v>
      </c>
      <c r="BV736" s="15" t="s">
        <v>196</v>
      </c>
      <c r="BW736" s="15" t="s">
        <v>196</v>
      </c>
      <c r="CA736" s="15" t="s">
        <v>2357</v>
      </c>
      <c r="CB736" s="15" t="s">
        <v>78</v>
      </c>
      <c r="CC736" s="15">
        <v>1</v>
      </c>
      <c r="CN736" s="15" t="s">
        <v>198</v>
      </c>
      <c r="CW736" s="10">
        <v>2</v>
      </c>
      <c r="CX736" s="15" t="s">
        <v>2472</v>
      </c>
    </row>
    <row r="737" spans="1:102" s="15" customFormat="1" x14ac:dyDescent="0.3">
      <c r="A737" s="11" t="s">
        <v>2349</v>
      </c>
      <c r="B737" s="10" t="s">
        <v>577</v>
      </c>
      <c r="C737" s="12" t="s">
        <v>578</v>
      </c>
      <c r="D737" s="10">
        <v>12</v>
      </c>
      <c r="E737" s="13">
        <v>1000000</v>
      </c>
      <c r="F737" s="14" t="s">
        <v>244</v>
      </c>
      <c r="G737" s="14" t="s">
        <v>244</v>
      </c>
      <c r="H737" s="15" t="s">
        <v>254</v>
      </c>
      <c r="I737" s="8"/>
      <c r="J737" s="10"/>
      <c r="AW737" s="15" t="s">
        <v>128</v>
      </c>
      <c r="AX737" s="15" t="s">
        <v>575</v>
      </c>
      <c r="BH737" s="15" t="s">
        <v>184</v>
      </c>
      <c r="BI737" s="15" t="s">
        <v>185</v>
      </c>
      <c r="BJ737" s="15" t="s">
        <v>2351</v>
      </c>
      <c r="BK737" s="15" t="s">
        <v>2352</v>
      </c>
      <c r="BL737" s="15" t="s">
        <v>2353</v>
      </c>
      <c r="BM737" s="15" t="s">
        <v>2354</v>
      </c>
      <c r="BN737" s="15" t="s">
        <v>2355</v>
      </c>
      <c r="BO737" s="15" t="s">
        <v>2356</v>
      </c>
      <c r="BR737" s="15" t="s">
        <v>192</v>
      </c>
      <c r="BS737" s="15" t="s">
        <v>193</v>
      </c>
      <c r="BT737" s="15" t="s">
        <v>194</v>
      </c>
      <c r="BU737" s="15" t="s">
        <v>195</v>
      </c>
      <c r="BV737" s="15" t="s">
        <v>196</v>
      </c>
      <c r="BW737" s="15" t="s">
        <v>196</v>
      </c>
      <c r="CB737" s="15" t="s">
        <v>128</v>
      </c>
      <c r="CC737" s="15">
        <v>1</v>
      </c>
      <c r="CN737" s="15" t="s">
        <v>198</v>
      </c>
      <c r="CW737" s="10">
        <v>2</v>
      </c>
      <c r="CX737" s="15" t="s">
        <v>2473</v>
      </c>
    </row>
    <row r="738" spans="1:102" s="15" customFormat="1" x14ac:dyDescent="0.3">
      <c r="A738" s="11" t="s">
        <v>2349</v>
      </c>
      <c r="B738" s="10" t="s">
        <v>719</v>
      </c>
      <c r="C738" s="12" t="s">
        <v>3628</v>
      </c>
      <c r="D738" s="10">
        <v>12</v>
      </c>
      <c r="E738" s="13">
        <v>2000000</v>
      </c>
      <c r="F738" s="14" t="s">
        <v>209</v>
      </c>
      <c r="G738" s="14" t="s">
        <v>210</v>
      </c>
      <c r="H738" s="15" t="s">
        <v>254</v>
      </c>
      <c r="I738" s="8"/>
      <c r="J738" s="10"/>
      <c r="AV738" s="15" t="s">
        <v>212</v>
      </c>
      <c r="AW738" s="15" t="s">
        <v>213</v>
      </c>
      <c r="AX738" s="15" t="s">
        <v>2474</v>
      </c>
      <c r="BH738" s="15" t="s">
        <v>184</v>
      </c>
      <c r="BI738" s="15" t="s">
        <v>185</v>
      </c>
      <c r="BJ738" s="15" t="s">
        <v>2351</v>
      </c>
      <c r="BK738" s="15" t="s">
        <v>2352</v>
      </c>
      <c r="BL738" s="15" t="s">
        <v>2353</v>
      </c>
      <c r="BM738" s="15" t="s">
        <v>2354</v>
      </c>
      <c r="BN738" s="15" t="s">
        <v>2355</v>
      </c>
      <c r="BO738" s="15" t="s">
        <v>2356</v>
      </c>
      <c r="BR738" s="15" t="s">
        <v>192</v>
      </c>
      <c r="BS738" s="15" t="s">
        <v>193</v>
      </c>
      <c r="BT738" s="15" t="s">
        <v>194</v>
      </c>
      <c r="BU738" s="15" t="s">
        <v>195</v>
      </c>
      <c r="BV738" s="15" t="s">
        <v>196</v>
      </c>
      <c r="BW738" s="15" t="s">
        <v>192</v>
      </c>
      <c r="CA738" s="15" t="s">
        <v>2357</v>
      </c>
      <c r="CB738" s="15" t="s">
        <v>78</v>
      </c>
      <c r="CC738" s="15">
        <v>1</v>
      </c>
      <c r="CN738" s="15" t="s">
        <v>720</v>
      </c>
      <c r="CW738" s="10">
        <v>2</v>
      </c>
      <c r="CX738" s="15" t="s">
        <v>2475</v>
      </c>
    </row>
    <row r="739" spans="1:102" s="15" customFormat="1" x14ac:dyDescent="0.3">
      <c r="A739" s="11" t="s">
        <v>2349</v>
      </c>
      <c r="B739" s="10" t="s">
        <v>311</v>
      </c>
      <c r="C739" s="12" t="s">
        <v>316</v>
      </c>
      <c r="D739" s="10">
        <v>12</v>
      </c>
      <c r="E739" s="13">
        <v>1000000</v>
      </c>
      <c r="F739" s="14" t="s">
        <v>209</v>
      </c>
      <c r="G739" s="14" t="s">
        <v>210</v>
      </c>
      <c r="H739" s="15" t="s">
        <v>312</v>
      </c>
      <c r="I739" s="8"/>
      <c r="J739" s="10"/>
      <c r="AV739" s="15" t="s">
        <v>212</v>
      </c>
      <c r="AW739" s="15" t="s">
        <v>213</v>
      </c>
      <c r="AX739" s="15" t="s">
        <v>2356</v>
      </c>
      <c r="BH739" s="15" t="s">
        <v>184</v>
      </c>
      <c r="BI739" s="15" t="s">
        <v>185</v>
      </c>
      <c r="BJ739" s="15" t="s">
        <v>2351</v>
      </c>
      <c r="BK739" s="15" t="s">
        <v>2352</v>
      </c>
      <c r="BL739" s="15" t="s">
        <v>2353</v>
      </c>
      <c r="BM739" s="15" t="s">
        <v>2354</v>
      </c>
      <c r="BN739" s="15" t="s">
        <v>2355</v>
      </c>
      <c r="BO739" s="15" t="s">
        <v>2356</v>
      </c>
      <c r="BR739" s="15" t="s">
        <v>192</v>
      </c>
      <c r="BS739" s="15" t="s">
        <v>193</v>
      </c>
      <c r="BT739" s="15" t="s">
        <v>194</v>
      </c>
      <c r="BU739" s="15" t="s">
        <v>195</v>
      </c>
      <c r="BV739" s="15" t="s">
        <v>196</v>
      </c>
      <c r="BW739" s="15" t="s">
        <v>193</v>
      </c>
      <c r="CA739" s="15" t="s">
        <v>2357</v>
      </c>
      <c r="CB739" s="15" t="s">
        <v>78</v>
      </c>
      <c r="CC739" s="15">
        <v>1</v>
      </c>
      <c r="CN739" s="15" t="s">
        <v>313</v>
      </c>
      <c r="CW739" s="10">
        <v>2</v>
      </c>
      <c r="CX739" s="15" t="s">
        <v>2476</v>
      </c>
    </row>
    <row r="740" spans="1:102" s="15" customFormat="1" x14ac:dyDescent="0.3">
      <c r="A740" s="11" t="s">
        <v>2349</v>
      </c>
      <c r="B740" s="10" t="s">
        <v>315</v>
      </c>
      <c r="C740" s="12" t="s">
        <v>316</v>
      </c>
      <c r="D740" s="10">
        <v>12</v>
      </c>
      <c r="E740" s="13">
        <v>1000000</v>
      </c>
      <c r="F740" s="14" t="s">
        <v>210</v>
      </c>
      <c r="G740" s="14" t="s">
        <v>210</v>
      </c>
      <c r="H740" s="15" t="s">
        <v>312</v>
      </c>
      <c r="I740" s="8"/>
      <c r="J740" s="10"/>
      <c r="AW740" s="15" t="s">
        <v>128</v>
      </c>
      <c r="AX740" s="15" t="s">
        <v>2356</v>
      </c>
      <c r="BH740" s="15" t="s">
        <v>184</v>
      </c>
      <c r="BI740" s="15" t="s">
        <v>185</v>
      </c>
      <c r="BJ740" s="15" t="s">
        <v>2351</v>
      </c>
      <c r="BK740" s="15" t="s">
        <v>2352</v>
      </c>
      <c r="BL740" s="15" t="s">
        <v>2353</v>
      </c>
      <c r="BM740" s="15" t="s">
        <v>2354</v>
      </c>
      <c r="BN740" s="15" t="s">
        <v>2355</v>
      </c>
      <c r="BO740" s="15" t="s">
        <v>2356</v>
      </c>
      <c r="BR740" s="15" t="s">
        <v>192</v>
      </c>
      <c r="BS740" s="15" t="s">
        <v>193</v>
      </c>
      <c r="BT740" s="15" t="s">
        <v>194</v>
      </c>
      <c r="BU740" s="15" t="s">
        <v>195</v>
      </c>
      <c r="BV740" s="15" t="s">
        <v>196</v>
      </c>
      <c r="BW740" s="15" t="s">
        <v>193</v>
      </c>
      <c r="CB740" s="15" t="s">
        <v>128</v>
      </c>
      <c r="CC740" s="15">
        <v>1</v>
      </c>
      <c r="CN740" s="15" t="s">
        <v>313</v>
      </c>
      <c r="CW740" s="10">
        <v>2</v>
      </c>
      <c r="CX740" s="15" t="s">
        <v>2477</v>
      </c>
    </row>
    <row r="741" spans="1:102" s="15" customFormat="1" x14ac:dyDescent="0.3">
      <c r="A741" s="11" t="s">
        <v>2349</v>
      </c>
      <c r="B741" s="10" t="s">
        <v>2478</v>
      </c>
      <c r="C741" s="12" t="s">
        <v>2488</v>
      </c>
      <c r="D741" s="10"/>
      <c r="E741" s="13">
        <v>0</v>
      </c>
      <c r="F741" s="14"/>
      <c r="G741" s="14"/>
      <c r="I741" s="8"/>
      <c r="J741" s="10"/>
      <c r="BH741" s="15" t="s">
        <v>184</v>
      </c>
      <c r="BI741" s="15" t="s">
        <v>185</v>
      </c>
      <c r="BJ741" s="15" t="s">
        <v>2351</v>
      </c>
      <c r="BK741" s="15" t="s">
        <v>2352</v>
      </c>
      <c r="BL741" s="15" t="s">
        <v>2353</v>
      </c>
      <c r="BM741" s="15" t="s">
        <v>2354</v>
      </c>
      <c r="BN741" s="15" t="s">
        <v>2355</v>
      </c>
      <c r="BO741" s="15" t="s">
        <v>2356</v>
      </c>
      <c r="CW741" s="10"/>
    </row>
    <row r="742" spans="1:102" s="15" customFormat="1" x14ac:dyDescent="0.3">
      <c r="A742" s="11" t="s">
        <v>2349</v>
      </c>
      <c r="B742" s="10" t="s">
        <v>2048</v>
      </c>
      <c r="C742" s="12" t="s">
        <v>2055</v>
      </c>
      <c r="D742" s="10">
        <v>12</v>
      </c>
      <c r="E742" s="13">
        <v>1000000</v>
      </c>
      <c r="F742" s="14" t="s">
        <v>1853</v>
      </c>
      <c r="G742" s="14" t="s">
        <v>1854</v>
      </c>
      <c r="H742" s="15" t="s">
        <v>2049</v>
      </c>
      <c r="I742" s="8"/>
      <c r="J742" s="10"/>
      <c r="AB742" s="15" t="s">
        <v>1856</v>
      </c>
      <c r="AV742" s="15" t="s">
        <v>1857</v>
      </c>
      <c r="AW742" s="15" t="s">
        <v>1858</v>
      </c>
      <c r="AX742" s="15" t="s">
        <v>2479</v>
      </c>
      <c r="AY742" s="15" t="s">
        <v>2480</v>
      </c>
      <c r="AZ742" s="15" t="s">
        <v>2481</v>
      </c>
      <c r="BA742" s="15" t="s">
        <v>2482</v>
      </c>
      <c r="BH742" s="15" t="s">
        <v>184</v>
      </c>
      <c r="BI742" s="15" t="s">
        <v>185</v>
      </c>
      <c r="BJ742" s="15" t="s">
        <v>2351</v>
      </c>
      <c r="BK742" s="15" t="s">
        <v>2352</v>
      </c>
      <c r="BL742" s="15" t="s">
        <v>2353</v>
      </c>
      <c r="BM742" s="15" t="s">
        <v>2354</v>
      </c>
      <c r="BN742" s="15" t="s">
        <v>2355</v>
      </c>
      <c r="BO742" s="15" t="s">
        <v>2356</v>
      </c>
      <c r="BR742" s="15" t="s">
        <v>192</v>
      </c>
      <c r="BS742" s="15" t="s">
        <v>193</v>
      </c>
      <c r="BT742" s="15" t="s">
        <v>194</v>
      </c>
      <c r="BU742" s="15" t="s">
        <v>195</v>
      </c>
      <c r="BV742" s="15" t="s">
        <v>196</v>
      </c>
      <c r="CA742" s="15" t="s">
        <v>2357</v>
      </c>
      <c r="CB742" s="15" t="s">
        <v>78</v>
      </c>
      <c r="CC742" s="15">
        <v>1</v>
      </c>
      <c r="CN742" s="15" t="s">
        <v>1859</v>
      </c>
      <c r="CW742" s="10">
        <v>2</v>
      </c>
      <c r="CX742" s="15" t="s">
        <v>2483</v>
      </c>
    </row>
    <row r="743" spans="1:102" s="15" customFormat="1" x14ac:dyDescent="0.3">
      <c r="A743" s="11" t="s">
        <v>2349</v>
      </c>
      <c r="B743" s="10" t="s">
        <v>2030</v>
      </c>
      <c r="C743" s="12" t="s">
        <v>2037</v>
      </c>
      <c r="D743" s="10">
        <v>12</v>
      </c>
      <c r="E743" s="13">
        <v>1000000</v>
      </c>
      <c r="F743" s="14" t="s">
        <v>1830</v>
      </c>
      <c r="G743" s="14" t="s">
        <v>1831</v>
      </c>
      <c r="H743" s="15" t="s">
        <v>2031</v>
      </c>
      <c r="I743" s="8"/>
      <c r="J743" s="10"/>
      <c r="AB743" s="15" t="s">
        <v>1833</v>
      </c>
      <c r="AV743" s="15" t="s">
        <v>1834</v>
      </c>
      <c r="AW743" s="15" t="s">
        <v>1835</v>
      </c>
      <c r="AX743" s="15" t="s">
        <v>2479</v>
      </c>
      <c r="AY743" s="15" t="s">
        <v>2480</v>
      </c>
      <c r="AZ743" s="15" t="s">
        <v>2481</v>
      </c>
      <c r="BA743" s="15" t="s">
        <v>2482</v>
      </c>
      <c r="BH743" s="15" t="s">
        <v>184</v>
      </c>
      <c r="BI743" s="15" t="s">
        <v>185</v>
      </c>
      <c r="BJ743" s="15" t="s">
        <v>2351</v>
      </c>
      <c r="BK743" s="15" t="s">
        <v>2352</v>
      </c>
      <c r="BL743" s="15" t="s">
        <v>2353</v>
      </c>
      <c r="BM743" s="15" t="s">
        <v>2354</v>
      </c>
      <c r="BN743" s="15" t="s">
        <v>2355</v>
      </c>
      <c r="BO743" s="15" t="s">
        <v>2356</v>
      </c>
      <c r="BR743" s="15" t="s">
        <v>192</v>
      </c>
      <c r="BS743" s="15" t="s">
        <v>193</v>
      </c>
      <c r="BT743" s="15" t="s">
        <v>194</v>
      </c>
      <c r="BU743" s="15" t="s">
        <v>195</v>
      </c>
      <c r="BV743" s="15" t="s">
        <v>196</v>
      </c>
      <c r="CA743" s="15" t="s">
        <v>2357</v>
      </c>
      <c r="CB743" s="15" t="s">
        <v>78</v>
      </c>
      <c r="CC743" s="15">
        <v>1</v>
      </c>
      <c r="CN743" s="15" t="s">
        <v>1836</v>
      </c>
      <c r="CW743" s="10">
        <v>2</v>
      </c>
      <c r="CX743" s="15" t="s">
        <v>2484</v>
      </c>
    </row>
    <row r="744" spans="1:102" s="15" customFormat="1" x14ac:dyDescent="0.3">
      <c r="A744" s="11" t="s">
        <v>2349</v>
      </c>
      <c r="B744" s="10" t="s">
        <v>2057</v>
      </c>
      <c r="C744" s="12" t="s">
        <v>2064</v>
      </c>
      <c r="D744" s="10">
        <v>12</v>
      </c>
      <c r="E744" s="13">
        <v>1000000</v>
      </c>
      <c r="F744" s="14" t="s">
        <v>1865</v>
      </c>
      <c r="G744" s="14" t="s">
        <v>1866</v>
      </c>
      <c r="H744" s="15" t="s">
        <v>2058</v>
      </c>
      <c r="I744" s="8"/>
      <c r="J744" s="10"/>
      <c r="AB744" s="15" t="s">
        <v>1868</v>
      </c>
      <c r="AV744" s="15" t="s">
        <v>1869</v>
      </c>
      <c r="AW744" s="15" t="s">
        <v>1870</v>
      </c>
      <c r="AX744" s="15" t="s">
        <v>2479</v>
      </c>
      <c r="AY744" s="15" t="s">
        <v>2480</v>
      </c>
      <c r="AZ744" s="15" t="s">
        <v>2481</v>
      </c>
      <c r="BA744" s="15" t="s">
        <v>2482</v>
      </c>
      <c r="BH744" s="15" t="s">
        <v>184</v>
      </c>
      <c r="BI744" s="15" t="s">
        <v>185</v>
      </c>
      <c r="BJ744" s="15" t="s">
        <v>2351</v>
      </c>
      <c r="BK744" s="15" t="s">
        <v>2352</v>
      </c>
      <c r="BL744" s="15" t="s">
        <v>2353</v>
      </c>
      <c r="BM744" s="15" t="s">
        <v>2354</v>
      </c>
      <c r="BN744" s="15" t="s">
        <v>2355</v>
      </c>
      <c r="BO744" s="15" t="s">
        <v>2356</v>
      </c>
      <c r="BR744" s="15" t="s">
        <v>192</v>
      </c>
      <c r="BS744" s="15" t="s">
        <v>193</v>
      </c>
      <c r="BT744" s="15" t="s">
        <v>194</v>
      </c>
      <c r="BU744" s="15" t="s">
        <v>195</v>
      </c>
      <c r="BV744" s="15" t="s">
        <v>196</v>
      </c>
      <c r="CA744" s="15" t="s">
        <v>2357</v>
      </c>
      <c r="CB744" s="15" t="s">
        <v>78</v>
      </c>
      <c r="CC744" s="15">
        <v>1</v>
      </c>
      <c r="CN744" s="15" t="s">
        <v>198</v>
      </c>
      <c r="CW744" s="10">
        <v>2</v>
      </c>
      <c r="CX744" s="15" t="s">
        <v>2485</v>
      </c>
    </row>
    <row r="745" spans="1:102" s="15" customFormat="1" x14ac:dyDescent="0.3">
      <c r="A745" s="11" t="s">
        <v>2349</v>
      </c>
      <c r="B745" s="10" t="s">
        <v>2039</v>
      </c>
      <c r="C745" s="12" t="s">
        <v>2046</v>
      </c>
      <c r="D745" s="10">
        <v>12</v>
      </c>
      <c r="E745" s="13">
        <v>1000000</v>
      </c>
      <c r="F745" s="14" t="s">
        <v>1842</v>
      </c>
      <c r="G745" s="14" t="s">
        <v>1843</v>
      </c>
      <c r="H745" s="15" t="s">
        <v>2040</v>
      </c>
      <c r="I745" s="8"/>
      <c r="J745" s="10"/>
      <c r="AB745" s="15" t="s">
        <v>1845</v>
      </c>
      <c r="AV745" s="15" t="s">
        <v>1846</v>
      </c>
      <c r="AW745" s="15" t="s">
        <v>1847</v>
      </c>
      <c r="AX745" s="15" t="s">
        <v>2479</v>
      </c>
      <c r="AY745" s="15" t="s">
        <v>2480</v>
      </c>
      <c r="AZ745" s="15" t="s">
        <v>2481</v>
      </c>
      <c r="BA745" s="15" t="s">
        <v>2482</v>
      </c>
      <c r="BH745" s="15" t="s">
        <v>184</v>
      </c>
      <c r="BI745" s="15" t="s">
        <v>185</v>
      </c>
      <c r="BJ745" s="15" t="s">
        <v>2351</v>
      </c>
      <c r="BK745" s="15" t="s">
        <v>2352</v>
      </c>
      <c r="BL745" s="15" t="s">
        <v>2353</v>
      </c>
      <c r="BM745" s="15" t="s">
        <v>2354</v>
      </c>
      <c r="BN745" s="15" t="s">
        <v>2355</v>
      </c>
      <c r="BO745" s="15" t="s">
        <v>2356</v>
      </c>
      <c r="BR745" s="15" t="s">
        <v>192</v>
      </c>
      <c r="BS745" s="15" t="s">
        <v>193</v>
      </c>
      <c r="BT745" s="15" t="s">
        <v>194</v>
      </c>
      <c r="BU745" s="15" t="s">
        <v>195</v>
      </c>
      <c r="BV745" s="15" t="s">
        <v>196</v>
      </c>
      <c r="CA745" s="15" t="s">
        <v>2357</v>
      </c>
      <c r="CB745" s="15" t="s">
        <v>78</v>
      </c>
      <c r="CC745" s="15">
        <v>1</v>
      </c>
      <c r="CN745" s="15" t="s">
        <v>198</v>
      </c>
      <c r="CW745" s="10">
        <v>2</v>
      </c>
      <c r="CX745" s="15" t="s">
        <v>2486</v>
      </c>
    </row>
    <row r="746" spans="1:102" s="15" customFormat="1" x14ac:dyDescent="0.3">
      <c r="A746" s="11" t="s">
        <v>2349</v>
      </c>
      <c r="B746" s="10" t="s">
        <v>2487</v>
      </c>
      <c r="C746" s="12" t="s">
        <v>2488</v>
      </c>
      <c r="D746" s="10"/>
      <c r="E746" s="13">
        <v>0</v>
      </c>
      <c r="F746" s="14"/>
      <c r="G746" s="14"/>
      <c r="I746" s="8"/>
      <c r="J746" s="10"/>
      <c r="BH746" s="15" t="s">
        <v>184</v>
      </c>
      <c r="BI746" s="15" t="s">
        <v>185</v>
      </c>
      <c r="BJ746" s="15" t="s">
        <v>2351</v>
      </c>
      <c r="BK746" s="15" t="s">
        <v>2352</v>
      </c>
      <c r="BL746" s="15" t="s">
        <v>2353</v>
      </c>
      <c r="BM746" s="15" t="s">
        <v>2354</v>
      </c>
      <c r="BN746" s="15" t="s">
        <v>2355</v>
      </c>
      <c r="BO746" s="15" t="s">
        <v>2356</v>
      </c>
      <c r="CW746" s="10"/>
    </row>
    <row r="747" spans="1:102" s="15" customFormat="1" x14ac:dyDescent="0.3">
      <c r="A747" s="11" t="s">
        <v>2349</v>
      </c>
      <c r="B747" s="10" t="s">
        <v>2054</v>
      </c>
      <c r="C747" s="12" t="s">
        <v>2055</v>
      </c>
      <c r="D747" s="10">
        <v>12</v>
      </c>
      <c r="E747" s="13">
        <v>1000000</v>
      </c>
      <c r="F747" s="14" t="s">
        <v>1854</v>
      </c>
      <c r="G747" s="14" t="s">
        <v>1854</v>
      </c>
      <c r="H747" s="15" t="s">
        <v>2049</v>
      </c>
      <c r="I747" s="8"/>
      <c r="J747" s="10"/>
      <c r="AB747" s="15" t="s">
        <v>1856</v>
      </c>
      <c r="AW747" s="15" t="s">
        <v>128</v>
      </c>
      <c r="AX747" s="15" t="s">
        <v>2479</v>
      </c>
      <c r="AY747" s="15" t="s">
        <v>2480</v>
      </c>
      <c r="AZ747" s="15" t="s">
        <v>2481</v>
      </c>
      <c r="BA747" s="15" t="s">
        <v>2482</v>
      </c>
      <c r="BH747" s="15" t="s">
        <v>184</v>
      </c>
      <c r="BI747" s="15" t="s">
        <v>185</v>
      </c>
      <c r="BJ747" s="15" t="s">
        <v>2351</v>
      </c>
      <c r="BK747" s="15" t="s">
        <v>2352</v>
      </c>
      <c r="BL747" s="15" t="s">
        <v>2353</v>
      </c>
      <c r="BM747" s="15" t="s">
        <v>2354</v>
      </c>
      <c r="BN747" s="15" t="s">
        <v>2355</v>
      </c>
      <c r="BO747" s="15" t="s">
        <v>2356</v>
      </c>
      <c r="BR747" s="15" t="s">
        <v>192</v>
      </c>
      <c r="BS747" s="15" t="s">
        <v>193</v>
      </c>
      <c r="BT747" s="15" t="s">
        <v>194</v>
      </c>
      <c r="BU747" s="15" t="s">
        <v>195</v>
      </c>
      <c r="BV747" s="15" t="s">
        <v>196</v>
      </c>
      <c r="CB747" s="15" t="s">
        <v>128</v>
      </c>
      <c r="CC747" s="15">
        <v>1</v>
      </c>
      <c r="CN747" s="15" t="s">
        <v>1859</v>
      </c>
      <c r="CW747" s="10">
        <v>2</v>
      </c>
      <c r="CX747" s="15" t="s">
        <v>2489</v>
      </c>
    </row>
    <row r="748" spans="1:102" s="15" customFormat="1" x14ac:dyDescent="0.3">
      <c r="A748" s="11" t="s">
        <v>2349</v>
      </c>
      <c r="B748" s="10" t="s">
        <v>2036</v>
      </c>
      <c r="C748" s="12" t="s">
        <v>2037</v>
      </c>
      <c r="D748" s="10">
        <v>12</v>
      </c>
      <c r="E748" s="13">
        <v>1000000</v>
      </c>
      <c r="F748" s="14" t="s">
        <v>1831</v>
      </c>
      <c r="G748" s="14" t="s">
        <v>1831</v>
      </c>
      <c r="H748" s="15" t="s">
        <v>2031</v>
      </c>
      <c r="I748" s="8"/>
      <c r="J748" s="10"/>
      <c r="AB748" s="15" t="s">
        <v>1833</v>
      </c>
      <c r="AW748" s="15" t="s">
        <v>128</v>
      </c>
      <c r="AX748" s="15" t="s">
        <v>2479</v>
      </c>
      <c r="AY748" s="15" t="s">
        <v>2480</v>
      </c>
      <c r="AZ748" s="15" t="s">
        <v>2481</v>
      </c>
      <c r="BA748" s="15" t="s">
        <v>2482</v>
      </c>
      <c r="BH748" s="15" t="s">
        <v>184</v>
      </c>
      <c r="BI748" s="15" t="s">
        <v>185</v>
      </c>
      <c r="BJ748" s="15" t="s">
        <v>2351</v>
      </c>
      <c r="BK748" s="15" t="s">
        <v>2352</v>
      </c>
      <c r="BL748" s="15" t="s">
        <v>2353</v>
      </c>
      <c r="BM748" s="15" t="s">
        <v>2354</v>
      </c>
      <c r="BN748" s="15" t="s">
        <v>2355</v>
      </c>
      <c r="BO748" s="15" t="s">
        <v>2356</v>
      </c>
      <c r="BR748" s="15" t="s">
        <v>192</v>
      </c>
      <c r="BS748" s="15" t="s">
        <v>193</v>
      </c>
      <c r="BT748" s="15" t="s">
        <v>194</v>
      </c>
      <c r="BU748" s="15" t="s">
        <v>195</v>
      </c>
      <c r="BV748" s="15" t="s">
        <v>196</v>
      </c>
      <c r="CB748" s="15" t="s">
        <v>128</v>
      </c>
      <c r="CC748" s="15">
        <v>1</v>
      </c>
      <c r="CN748" s="15" t="s">
        <v>1836</v>
      </c>
      <c r="CW748" s="10">
        <v>2</v>
      </c>
      <c r="CX748" s="15" t="s">
        <v>2490</v>
      </c>
    </row>
    <row r="749" spans="1:102" s="15" customFormat="1" x14ac:dyDescent="0.3">
      <c r="A749" s="11" t="s">
        <v>2349</v>
      </c>
      <c r="B749" s="10" t="s">
        <v>2063</v>
      </c>
      <c r="C749" s="12" t="s">
        <v>2064</v>
      </c>
      <c r="D749" s="10">
        <v>12</v>
      </c>
      <c r="E749" s="13">
        <v>1000000</v>
      </c>
      <c r="F749" s="14" t="s">
        <v>1866</v>
      </c>
      <c r="G749" s="14" t="s">
        <v>1866</v>
      </c>
      <c r="H749" s="15" t="s">
        <v>2058</v>
      </c>
      <c r="I749" s="8"/>
      <c r="J749" s="10"/>
      <c r="AB749" s="15" t="s">
        <v>1868</v>
      </c>
      <c r="AW749" s="15" t="s">
        <v>128</v>
      </c>
      <c r="AX749" s="15" t="s">
        <v>2479</v>
      </c>
      <c r="AY749" s="15" t="s">
        <v>2480</v>
      </c>
      <c r="AZ749" s="15" t="s">
        <v>2481</v>
      </c>
      <c r="BA749" s="15" t="s">
        <v>2482</v>
      </c>
      <c r="BH749" s="15" t="s">
        <v>184</v>
      </c>
      <c r="BI749" s="15" t="s">
        <v>185</v>
      </c>
      <c r="BJ749" s="15" t="s">
        <v>2351</v>
      </c>
      <c r="BK749" s="15" t="s">
        <v>2352</v>
      </c>
      <c r="BL749" s="15" t="s">
        <v>2353</v>
      </c>
      <c r="BM749" s="15" t="s">
        <v>2354</v>
      </c>
      <c r="BN749" s="15" t="s">
        <v>2355</v>
      </c>
      <c r="BO749" s="15" t="s">
        <v>2356</v>
      </c>
      <c r="BR749" s="15" t="s">
        <v>192</v>
      </c>
      <c r="BS749" s="15" t="s">
        <v>193</v>
      </c>
      <c r="BT749" s="15" t="s">
        <v>194</v>
      </c>
      <c r="BU749" s="15" t="s">
        <v>195</v>
      </c>
      <c r="BV749" s="15" t="s">
        <v>196</v>
      </c>
      <c r="CB749" s="15" t="s">
        <v>128</v>
      </c>
      <c r="CC749" s="15">
        <v>1</v>
      </c>
      <c r="CN749" s="15" t="s">
        <v>198</v>
      </c>
      <c r="CW749" s="10">
        <v>2</v>
      </c>
      <c r="CX749" s="15" t="s">
        <v>2491</v>
      </c>
    </row>
    <row r="750" spans="1:102" s="15" customFormat="1" x14ac:dyDescent="0.3">
      <c r="A750" s="11" t="s">
        <v>2349</v>
      </c>
      <c r="B750" s="10" t="s">
        <v>2045</v>
      </c>
      <c r="C750" s="12" t="s">
        <v>2046</v>
      </c>
      <c r="D750" s="10">
        <v>12</v>
      </c>
      <c r="E750" s="13">
        <v>1000000</v>
      </c>
      <c r="F750" s="14" t="s">
        <v>1843</v>
      </c>
      <c r="G750" s="14" t="s">
        <v>1843</v>
      </c>
      <c r="H750" s="15" t="s">
        <v>2040</v>
      </c>
      <c r="I750" s="8"/>
      <c r="J750" s="10"/>
      <c r="AB750" s="15" t="s">
        <v>1845</v>
      </c>
      <c r="AW750" s="15" t="s">
        <v>128</v>
      </c>
      <c r="AX750" s="15" t="s">
        <v>2479</v>
      </c>
      <c r="AY750" s="15" t="s">
        <v>2480</v>
      </c>
      <c r="AZ750" s="15" t="s">
        <v>2481</v>
      </c>
      <c r="BA750" s="15" t="s">
        <v>2482</v>
      </c>
      <c r="BH750" s="15" t="s">
        <v>184</v>
      </c>
      <c r="BI750" s="15" t="s">
        <v>185</v>
      </c>
      <c r="BJ750" s="15" t="s">
        <v>2351</v>
      </c>
      <c r="BK750" s="15" t="s">
        <v>2352</v>
      </c>
      <c r="BL750" s="15" t="s">
        <v>2353</v>
      </c>
      <c r="BM750" s="15" t="s">
        <v>2354</v>
      </c>
      <c r="BN750" s="15" t="s">
        <v>2355</v>
      </c>
      <c r="BO750" s="15" t="s">
        <v>2356</v>
      </c>
      <c r="BR750" s="15" t="s">
        <v>192</v>
      </c>
      <c r="BS750" s="15" t="s">
        <v>193</v>
      </c>
      <c r="BT750" s="15" t="s">
        <v>194</v>
      </c>
      <c r="BU750" s="15" t="s">
        <v>195</v>
      </c>
      <c r="BV750" s="15" t="s">
        <v>196</v>
      </c>
      <c r="CB750" s="15" t="s">
        <v>128</v>
      </c>
      <c r="CC750" s="15">
        <v>1</v>
      </c>
      <c r="CN750" s="15" t="s">
        <v>198</v>
      </c>
      <c r="CW750" s="10">
        <v>2</v>
      </c>
      <c r="CX750" s="15" t="s">
        <v>2492</v>
      </c>
    </row>
    <row r="751" spans="1:102" s="15" customFormat="1" x14ac:dyDescent="0.3">
      <c r="A751" s="11" t="s">
        <v>2349</v>
      </c>
      <c r="B751" s="10" t="s">
        <v>2493</v>
      </c>
      <c r="C751" s="12" t="s">
        <v>3951</v>
      </c>
      <c r="D751" s="10"/>
      <c r="E751" s="13">
        <v>0</v>
      </c>
      <c r="F751" s="14"/>
      <c r="G751" s="14"/>
      <c r="I751" s="8"/>
      <c r="J751" s="10"/>
      <c r="BH751" s="15" t="s">
        <v>184</v>
      </c>
      <c r="BI751" s="15" t="s">
        <v>185</v>
      </c>
      <c r="BJ751" s="15" t="s">
        <v>2351</v>
      </c>
      <c r="BK751" s="15" t="s">
        <v>2352</v>
      </c>
      <c r="BL751" s="15" t="s">
        <v>2353</v>
      </c>
      <c r="BM751" s="15" t="s">
        <v>2354</v>
      </c>
      <c r="BN751" s="15" t="s">
        <v>2355</v>
      </c>
      <c r="BO751" s="15" t="s">
        <v>2356</v>
      </c>
      <c r="CW751" s="10"/>
    </row>
    <row r="752" spans="1:102" s="15" customFormat="1" x14ac:dyDescent="0.3">
      <c r="A752" s="11" t="s">
        <v>2349</v>
      </c>
      <c r="B752" s="10" t="s">
        <v>831</v>
      </c>
      <c r="C752" s="12" t="s">
        <v>1094</v>
      </c>
      <c r="D752" s="10">
        <v>12</v>
      </c>
      <c r="E752" s="13">
        <v>1000000</v>
      </c>
      <c r="F752" s="14" t="s">
        <v>269</v>
      </c>
      <c r="G752" s="14" t="s">
        <v>210</v>
      </c>
      <c r="H752" s="15" t="s">
        <v>312</v>
      </c>
      <c r="I752" s="8"/>
      <c r="J752" s="10"/>
      <c r="AV752" s="15" t="s">
        <v>212</v>
      </c>
      <c r="AW752" s="15" t="s">
        <v>213</v>
      </c>
      <c r="AX752" s="15" t="s">
        <v>2494</v>
      </c>
      <c r="BH752" s="15" t="s">
        <v>184</v>
      </c>
      <c r="BI752" s="15" t="s">
        <v>185</v>
      </c>
      <c r="BJ752" s="15" t="s">
        <v>2351</v>
      </c>
      <c r="BK752" s="15" t="s">
        <v>2352</v>
      </c>
      <c r="BL752" s="15" t="s">
        <v>2353</v>
      </c>
      <c r="BM752" s="15" t="s">
        <v>2354</v>
      </c>
      <c r="BN752" s="15" t="s">
        <v>2355</v>
      </c>
      <c r="BO752" s="15" t="s">
        <v>2356</v>
      </c>
      <c r="BR752" s="15" t="s">
        <v>192</v>
      </c>
      <c r="BS752" s="15" t="s">
        <v>193</v>
      </c>
      <c r="BT752" s="15" t="s">
        <v>194</v>
      </c>
      <c r="BU752" s="15" t="s">
        <v>195</v>
      </c>
      <c r="BV752" s="15" t="s">
        <v>196</v>
      </c>
      <c r="BW752" s="15" t="s">
        <v>193</v>
      </c>
      <c r="CA752" s="15" t="s">
        <v>2357</v>
      </c>
      <c r="CB752" s="15" t="s">
        <v>78</v>
      </c>
      <c r="CC752" s="15">
        <v>1</v>
      </c>
      <c r="CN752" s="15" t="s">
        <v>833</v>
      </c>
      <c r="CW752" s="10">
        <v>2</v>
      </c>
      <c r="CX752" s="15" t="s">
        <v>2495</v>
      </c>
    </row>
    <row r="753" spans="1:102" s="15" customFormat="1" x14ac:dyDescent="0.3">
      <c r="A753" s="11" t="s">
        <v>2349</v>
      </c>
      <c r="B753" s="10" t="s">
        <v>835</v>
      </c>
      <c r="C753" s="12" t="s">
        <v>1100</v>
      </c>
      <c r="D753" s="10">
        <v>12</v>
      </c>
      <c r="E753" s="13">
        <v>1000000</v>
      </c>
      <c r="F753" s="14" t="s">
        <v>269</v>
      </c>
      <c r="G753" s="14" t="s">
        <v>210</v>
      </c>
      <c r="H753" s="15" t="s">
        <v>312</v>
      </c>
      <c r="I753" s="8"/>
      <c r="J753" s="10"/>
      <c r="AV753" s="15" t="s">
        <v>212</v>
      </c>
      <c r="AW753" s="15" t="s">
        <v>213</v>
      </c>
      <c r="AX753" s="15" t="s">
        <v>2496</v>
      </c>
      <c r="BH753" s="15" t="s">
        <v>184</v>
      </c>
      <c r="BI753" s="15" t="s">
        <v>185</v>
      </c>
      <c r="BJ753" s="15" t="s">
        <v>2351</v>
      </c>
      <c r="BK753" s="15" t="s">
        <v>2352</v>
      </c>
      <c r="BL753" s="15" t="s">
        <v>2353</v>
      </c>
      <c r="BM753" s="15" t="s">
        <v>2354</v>
      </c>
      <c r="BN753" s="15" t="s">
        <v>2355</v>
      </c>
      <c r="BO753" s="15" t="s">
        <v>2356</v>
      </c>
      <c r="BR753" s="15" t="s">
        <v>192</v>
      </c>
      <c r="BS753" s="15" t="s">
        <v>193</v>
      </c>
      <c r="BT753" s="15" t="s">
        <v>194</v>
      </c>
      <c r="BU753" s="15" t="s">
        <v>195</v>
      </c>
      <c r="BV753" s="15" t="s">
        <v>196</v>
      </c>
      <c r="BW753" s="15" t="s">
        <v>193</v>
      </c>
      <c r="CA753" s="15" t="s">
        <v>2357</v>
      </c>
      <c r="CB753" s="15" t="s">
        <v>78</v>
      </c>
      <c r="CC753" s="15">
        <v>1</v>
      </c>
      <c r="CN753" s="15" t="s">
        <v>833</v>
      </c>
      <c r="CW753" s="10">
        <v>2</v>
      </c>
      <c r="CX753" s="15" t="s">
        <v>2497</v>
      </c>
    </row>
    <row r="754" spans="1:102" s="15" customFormat="1" x14ac:dyDescent="0.3">
      <c r="A754" s="11" t="s">
        <v>2349</v>
      </c>
      <c r="B754" s="10" t="s">
        <v>169</v>
      </c>
      <c r="C754" s="12" t="s">
        <v>172</v>
      </c>
      <c r="D754" s="10"/>
      <c r="E754" s="13">
        <v>0</v>
      </c>
      <c r="F754" s="14"/>
      <c r="G754" s="14"/>
      <c r="I754" s="8"/>
      <c r="J754" s="10"/>
      <c r="BH754" s="15" t="s">
        <v>184</v>
      </c>
      <c r="BI754" s="15" t="s">
        <v>185</v>
      </c>
      <c r="BJ754" s="15" t="s">
        <v>2351</v>
      </c>
      <c r="BK754" s="15" t="s">
        <v>2352</v>
      </c>
      <c r="BL754" s="15" t="s">
        <v>2353</v>
      </c>
      <c r="BM754" s="15" t="s">
        <v>2354</v>
      </c>
      <c r="BN754" s="15" t="s">
        <v>2355</v>
      </c>
      <c r="BO754" s="15" t="s">
        <v>2356</v>
      </c>
      <c r="CW754" s="10"/>
    </row>
    <row r="755" spans="1:102" s="15" customFormat="1" x14ac:dyDescent="0.3">
      <c r="A755" s="11" t="s">
        <v>2349</v>
      </c>
      <c r="B755" s="10" t="s">
        <v>1746</v>
      </c>
      <c r="C755" s="12" t="s">
        <v>1749</v>
      </c>
      <c r="D755" s="10">
        <v>12</v>
      </c>
      <c r="E755" s="13">
        <v>1000000</v>
      </c>
      <c r="F755" s="14" t="s">
        <v>269</v>
      </c>
      <c r="G755" s="14" t="s">
        <v>210</v>
      </c>
      <c r="H755" s="15" t="s">
        <v>312</v>
      </c>
      <c r="I755" s="8"/>
      <c r="J755" s="10"/>
      <c r="AV755" s="15" t="s">
        <v>212</v>
      </c>
      <c r="AW755" s="15" t="s">
        <v>213</v>
      </c>
      <c r="AX755" s="15" t="s">
        <v>2498</v>
      </c>
      <c r="BH755" s="15" t="s">
        <v>184</v>
      </c>
      <c r="BI755" s="15" t="s">
        <v>185</v>
      </c>
      <c r="BJ755" s="15" t="s">
        <v>2351</v>
      </c>
      <c r="BK755" s="15" t="s">
        <v>2352</v>
      </c>
      <c r="BL755" s="15" t="s">
        <v>2353</v>
      </c>
      <c r="BM755" s="15" t="s">
        <v>2354</v>
      </c>
      <c r="BN755" s="15" t="s">
        <v>2355</v>
      </c>
      <c r="BO755" s="15" t="s">
        <v>2356</v>
      </c>
      <c r="BR755" s="15" t="s">
        <v>192</v>
      </c>
      <c r="BS755" s="15" t="s">
        <v>193</v>
      </c>
      <c r="BT755" s="15" t="s">
        <v>194</v>
      </c>
      <c r="BU755" s="15" t="s">
        <v>195</v>
      </c>
      <c r="BV755" s="15" t="s">
        <v>196</v>
      </c>
      <c r="BW755" s="15" t="s">
        <v>193</v>
      </c>
      <c r="CA755" s="15" t="s">
        <v>2357</v>
      </c>
      <c r="CB755" s="15" t="s">
        <v>78</v>
      </c>
      <c r="CC755" s="15">
        <v>1</v>
      </c>
      <c r="CN755" s="15" t="s">
        <v>1643</v>
      </c>
      <c r="CW755" s="10">
        <v>2</v>
      </c>
      <c r="CX755" s="15" t="s">
        <v>2499</v>
      </c>
    </row>
    <row r="756" spans="1:102" s="15" customFormat="1" x14ac:dyDescent="0.3">
      <c r="A756" s="11" t="s">
        <v>2349</v>
      </c>
      <c r="B756" s="10" t="s">
        <v>1754</v>
      </c>
      <c r="C756" s="12" t="s">
        <v>1757</v>
      </c>
      <c r="D756" s="10">
        <v>12</v>
      </c>
      <c r="E756" s="13">
        <v>1000000</v>
      </c>
      <c r="F756" s="14" t="s">
        <v>269</v>
      </c>
      <c r="G756" s="14" t="s">
        <v>210</v>
      </c>
      <c r="H756" s="15" t="s">
        <v>312</v>
      </c>
      <c r="I756" s="8"/>
      <c r="J756" s="10"/>
      <c r="AV756" s="15" t="s">
        <v>212</v>
      </c>
      <c r="AW756" s="15" t="s">
        <v>213</v>
      </c>
      <c r="AX756" s="15" t="s">
        <v>2500</v>
      </c>
      <c r="BH756" s="15" t="s">
        <v>184</v>
      </c>
      <c r="BI756" s="15" t="s">
        <v>185</v>
      </c>
      <c r="BJ756" s="15" t="s">
        <v>2351</v>
      </c>
      <c r="BK756" s="15" t="s">
        <v>2352</v>
      </c>
      <c r="BL756" s="15" t="s">
        <v>2353</v>
      </c>
      <c r="BM756" s="15" t="s">
        <v>2354</v>
      </c>
      <c r="BN756" s="15" t="s">
        <v>2355</v>
      </c>
      <c r="BO756" s="15" t="s">
        <v>2356</v>
      </c>
      <c r="BR756" s="15" t="s">
        <v>192</v>
      </c>
      <c r="BS756" s="15" t="s">
        <v>193</v>
      </c>
      <c r="BT756" s="15" t="s">
        <v>194</v>
      </c>
      <c r="BU756" s="15" t="s">
        <v>195</v>
      </c>
      <c r="BV756" s="15" t="s">
        <v>196</v>
      </c>
      <c r="BW756" s="15" t="s">
        <v>193</v>
      </c>
      <c r="CA756" s="15" t="s">
        <v>2357</v>
      </c>
      <c r="CB756" s="15" t="s">
        <v>78</v>
      </c>
      <c r="CC756" s="15">
        <v>1</v>
      </c>
      <c r="CN756" s="15" t="s">
        <v>1643</v>
      </c>
      <c r="CW756" s="10">
        <v>2</v>
      </c>
      <c r="CX756" s="15" t="s">
        <v>2501</v>
      </c>
    </row>
    <row r="757" spans="1:102" s="15" customFormat="1" x14ac:dyDescent="0.3">
      <c r="A757" s="11" t="s">
        <v>2349</v>
      </c>
      <c r="B757" s="10" t="s">
        <v>1762</v>
      </c>
      <c r="C757" s="12" t="s">
        <v>1765</v>
      </c>
      <c r="D757" s="10">
        <v>12</v>
      </c>
      <c r="E757" s="13">
        <v>1000000</v>
      </c>
      <c r="F757" s="14" t="s">
        <v>269</v>
      </c>
      <c r="G757" s="14" t="s">
        <v>210</v>
      </c>
      <c r="H757" s="15" t="s">
        <v>312</v>
      </c>
      <c r="I757" s="8"/>
      <c r="J757" s="10"/>
      <c r="AV757" s="15" t="s">
        <v>212</v>
      </c>
      <c r="AW757" s="15" t="s">
        <v>213</v>
      </c>
      <c r="AX757" s="15" t="s">
        <v>2502</v>
      </c>
      <c r="BH757" s="15" t="s">
        <v>184</v>
      </c>
      <c r="BI757" s="15" t="s">
        <v>185</v>
      </c>
      <c r="BJ757" s="15" t="s">
        <v>2351</v>
      </c>
      <c r="BK757" s="15" t="s">
        <v>2352</v>
      </c>
      <c r="BL757" s="15" t="s">
        <v>2353</v>
      </c>
      <c r="BM757" s="15" t="s">
        <v>2354</v>
      </c>
      <c r="BN757" s="15" t="s">
        <v>2355</v>
      </c>
      <c r="BO757" s="15" t="s">
        <v>2356</v>
      </c>
      <c r="BR757" s="15" t="s">
        <v>192</v>
      </c>
      <c r="BS757" s="15" t="s">
        <v>193</v>
      </c>
      <c r="BT757" s="15" t="s">
        <v>194</v>
      </c>
      <c r="BU757" s="15" t="s">
        <v>195</v>
      </c>
      <c r="BV757" s="15" t="s">
        <v>196</v>
      </c>
      <c r="BW757" s="15" t="s">
        <v>193</v>
      </c>
      <c r="CA757" s="15" t="s">
        <v>2357</v>
      </c>
      <c r="CB757" s="15" t="s">
        <v>78</v>
      </c>
      <c r="CC757" s="15">
        <v>1</v>
      </c>
      <c r="CN757" s="15" t="s">
        <v>1643</v>
      </c>
      <c r="CW757" s="10">
        <v>2</v>
      </c>
      <c r="CX757" s="15" t="s">
        <v>2503</v>
      </c>
    </row>
    <row r="758" spans="1:102" s="15" customFormat="1" x14ac:dyDescent="0.3">
      <c r="A758" s="11" t="s">
        <v>2349</v>
      </c>
      <c r="B758" s="10" t="s">
        <v>1770</v>
      </c>
      <c r="C758" s="12" t="s">
        <v>1773</v>
      </c>
      <c r="D758" s="10">
        <v>12</v>
      </c>
      <c r="E758" s="13">
        <v>1000000</v>
      </c>
      <c r="F758" s="14" t="s">
        <v>269</v>
      </c>
      <c r="G758" s="14" t="s">
        <v>210</v>
      </c>
      <c r="H758" s="15" t="s">
        <v>312</v>
      </c>
      <c r="I758" s="8"/>
      <c r="J758" s="10"/>
      <c r="AV758" s="15" t="s">
        <v>212</v>
      </c>
      <c r="AW758" s="15" t="s">
        <v>213</v>
      </c>
      <c r="AX758" s="15" t="s">
        <v>2504</v>
      </c>
      <c r="BH758" s="15" t="s">
        <v>184</v>
      </c>
      <c r="BI758" s="15" t="s">
        <v>185</v>
      </c>
      <c r="BJ758" s="15" t="s">
        <v>2351</v>
      </c>
      <c r="BK758" s="15" t="s">
        <v>2352</v>
      </c>
      <c r="BL758" s="15" t="s">
        <v>2353</v>
      </c>
      <c r="BM758" s="15" t="s">
        <v>2354</v>
      </c>
      <c r="BN758" s="15" t="s">
        <v>2355</v>
      </c>
      <c r="BO758" s="15" t="s">
        <v>2356</v>
      </c>
      <c r="BR758" s="15" t="s">
        <v>192</v>
      </c>
      <c r="BS758" s="15" t="s">
        <v>193</v>
      </c>
      <c r="BT758" s="15" t="s">
        <v>194</v>
      </c>
      <c r="BU758" s="15" t="s">
        <v>195</v>
      </c>
      <c r="BV758" s="15" t="s">
        <v>196</v>
      </c>
      <c r="BW758" s="15" t="s">
        <v>193</v>
      </c>
      <c r="CA758" s="15" t="s">
        <v>2357</v>
      </c>
      <c r="CB758" s="15" t="s">
        <v>78</v>
      </c>
      <c r="CC758" s="15">
        <v>1</v>
      </c>
      <c r="CN758" s="15" t="s">
        <v>1643</v>
      </c>
      <c r="CW758" s="10">
        <v>2</v>
      </c>
      <c r="CX758" s="15" t="s">
        <v>2505</v>
      </c>
    </row>
    <row r="759" spans="1:102" s="15" customFormat="1" x14ac:dyDescent="0.3">
      <c r="A759" s="11" t="s">
        <v>2349</v>
      </c>
      <c r="B759" s="10" t="s">
        <v>1778</v>
      </c>
      <c r="C759" s="12" t="s">
        <v>1781</v>
      </c>
      <c r="D759" s="10">
        <v>12</v>
      </c>
      <c r="E759" s="13">
        <v>1000000</v>
      </c>
      <c r="F759" s="14" t="s">
        <v>269</v>
      </c>
      <c r="G759" s="14" t="s">
        <v>210</v>
      </c>
      <c r="H759" s="15" t="s">
        <v>312</v>
      </c>
      <c r="I759" s="8"/>
      <c r="J759" s="10"/>
      <c r="AV759" s="15" t="s">
        <v>212</v>
      </c>
      <c r="AW759" s="15" t="s">
        <v>213</v>
      </c>
      <c r="AX759" s="15" t="s">
        <v>2506</v>
      </c>
      <c r="BH759" s="15" t="s">
        <v>184</v>
      </c>
      <c r="BI759" s="15" t="s">
        <v>185</v>
      </c>
      <c r="BJ759" s="15" t="s">
        <v>2351</v>
      </c>
      <c r="BK759" s="15" t="s">
        <v>2352</v>
      </c>
      <c r="BL759" s="15" t="s">
        <v>2353</v>
      </c>
      <c r="BM759" s="15" t="s">
        <v>2354</v>
      </c>
      <c r="BN759" s="15" t="s">
        <v>2355</v>
      </c>
      <c r="BO759" s="15" t="s">
        <v>2356</v>
      </c>
      <c r="BR759" s="15" t="s">
        <v>192</v>
      </c>
      <c r="BS759" s="15" t="s">
        <v>193</v>
      </c>
      <c r="BT759" s="15" t="s">
        <v>194</v>
      </c>
      <c r="BU759" s="15" t="s">
        <v>195</v>
      </c>
      <c r="BV759" s="15" t="s">
        <v>196</v>
      </c>
      <c r="BW759" s="15" t="s">
        <v>193</v>
      </c>
      <c r="CA759" s="15" t="s">
        <v>2357</v>
      </c>
      <c r="CB759" s="15" t="s">
        <v>78</v>
      </c>
      <c r="CC759" s="15">
        <v>1</v>
      </c>
      <c r="CN759" s="15" t="s">
        <v>1643</v>
      </c>
      <c r="CW759" s="10">
        <v>2</v>
      </c>
      <c r="CX759" s="15" t="s">
        <v>2507</v>
      </c>
    </row>
    <row r="760" spans="1:102" s="15" customFormat="1" x14ac:dyDescent="0.3">
      <c r="A760" s="11" t="s">
        <v>2349</v>
      </c>
      <c r="B760" s="10" t="s">
        <v>1786</v>
      </c>
      <c r="C760" s="12" t="s">
        <v>1789</v>
      </c>
      <c r="D760" s="10">
        <v>12</v>
      </c>
      <c r="E760" s="13">
        <v>1000000</v>
      </c>
      <c r="F760" s="14" t="s">
        <v>269</v>
      </c>
      <c r="G760" s="14" t="s">
        <v>210</v>
      </c>
      <c r="H760" s="15" t="s">
        <v>312</v>
      </c>
      <c r="I760" s="8"/>
      <c r="J760" s="10"/>
      <c r="AV760" s="15" t="s">
        <v>212</v>
      </c>
      <c r="AW760" s="15" t="s">
        <v>213</v>
      </c>
      <c r="AX760" s="15" t="s">
        <v>2508</v>
      </c>
      <c r="BH760" s="15" t="s">
        <v>184</v>
      </c>
      <c r="BI760" s="15" t="s">
        <v>185</v>
      </c>
      <c r="BJ760" s="15" t="s">
        <v>2351</v>
      </c>
      <c r="BK760" s="15" t="s">
        <v>2352</v>
      </c>
      <c r="BL760" s="15" t="s">
        <v>2353</v>
      </c>
      <c r="BM760" s="15" t="s">
        <v>2354</v>
      </c>
      <c r="BN760" s="15" t="s">
        <v>2355</v>
      </c>
      <c r="BO760" s="15" t="s">
        <v>2356</v>
      </c>
      <c r="BR760" s="15" t="s">
        <v>192</v>
      </c>
      <c r="BS760" s="15" t="s">
        <v>193</v>
      </c>
      <c r="BT760" s="15" t="s">
        <v>194</v>
      </c>
      <c r="BU760" s="15" t="s">
        <v>195</v>
      </c>
      <c r="BV760" s="15" t="s">
        <v>196</v>
      </c>
      <c r="BW760" s="15" t="s">
        <v>193</v>
      </c>
      <c r="CA760" s="15" t="s">
        <v>2357</v>
      </c>
      <c r="CB760" s="15" t="s">
        <v>78</v>
      </c>
      <c r="CC760" s="15">
        <v>1</v>
      </c>
      <c r="CN760" s="15" t="s">
        <v>1643</v>
      </c>
      <c r="CW760" s="10">
        <v>2</v>
      </c>
      <c r="CX760" s="15" t="s">
        <v>2509</v>
      </c>
    </row>
    <row r="761" spans="1:102" s="15" customFormat="1" x14ac:dyDescent="0.3">
      <c r="A761" s="11" t="s">
        <v>2349</v>
      </c>
      <c r="B761" s="10" t="s">
        <v>1794</v>
      </c>
      <c r="C761" s="12" t="s">
        <v>1797</v>
      </c>
      <c r="D761" s="10">
        <v>12</v>
      </c>
      <c r="E761" s="13">
        <v>1000000</v>
      </c>
      <c r="F761" s="14" t="s">
        <v>269</v>
      </c>
      <c r="G761" s="14" t="s">
        <v>210</v>
      </c>
      <c r="H761" s="15" t="s">
        <v>312</v>
      </c>
      <c r="I761" s="8"/>
      <c r="J761" s="10"/>
      <c r="AV761" s="15" t="s">
        <v>212</v>
      </c>
      <c r="AW761" s="15" t="s">
        <v>213</v>
      </c>
      <c r="AX761" s="15" t="s">
        <v>2510</v>
      </c>
      <c r="BH761" s="15" t="s">
        <v>184</v>
      </c>
      <c r="BI761" s="15" t="s">
        <v>185</v>
      </c>
      <c r="BJ761" s="15" t="s">
        <v>2351</v>
      </c>
      <c r="BK761" s="15" t="s">
        <v>2352</v>
      </c>
      <c r="BL761" s="15" t="s">
        <v>2353</v>
      </c>
      <c r="BM761" s="15" t="s">
        <v>2354</v>
      </c>
      <c r="BN761" s="15" t="s">
        <v>2355</v>
      </c>
      <c r="BO761" s="15" t="s">
        <v>2356</v>
      </c>
      <c r="BR761" s="15" t="s">
        <v>192</v>
      </c>
      <c r="BS761" s="15" t="s">
        <v>193</v>
      </c>
      <c r="BT761" s="15" t="s">
        <v>194</v>
      </c>
      <c r="BU761" s="15" t="s">
        <v>195</v>
      </c>
      <c r="BV761" s="15" t="s">
        <v>196</v>
      </c>
      <c r="BW761" s="15" t="s">
        <v>193</v>
      </c>
      <c r="CA761" s="15" t="s">
        <v>2357</v>
      </c>
      <c r="CB761" s="15" t="s">
        <v>78</v>
      </c>
      <c r="CC761" s="15">
        <v>1</v>
      </c>
      <c r="CN761" s="15" t="s">
        <v>1643</v>
      </c>
      <c r="CW761" s="10">
        <v>2</v>
      </c>
      <c r="CX761" s="15" t="s">
        <v>2511</v>
      </c>
    </row>
    <row r="762" spans="1:102" s="15" customFormat="1" x14ac:dyDescent="0.3">
      <c r="A762" s="11" t="s">
        <v>2349</v>
      </c>
      <c r="B762" s="10" t="s">
        <v>1802</v>
      </c>
      <c r="C762" s="12" t="s">
        <v>1805</v>
      </c>
      <c r="D762" s="10">
        <v>12</v>
      </c>
      <c r="E762" s="13">
        <v>1000000</v>
      </c>
      <c r="F762" s="14" t="s">
        <v>269</v>
      </c>
      <c r="G762" s="14" t="s">
        <v>210</v>
      </c>
      <c r="H762" s="15" t="s">
        <v>312</v>
      </c>
      <c r="I762" s="8"/>
      <c r="J762" s="10"/>
      <c r="AV762" s="15" t="s">
        <v>212</v>
      </c>
      <c r="AW762" s="15" t="s">
        <v>213</v>
      </c>
      <c r="AX762" s="15" t="s">
        <v>2512</v>
      </c>
      <c r="BH762" s="15" t="s">
        <v>184</v>
      </c>
      <c r="BI762" s="15" t="s">
        <v>185</v>
      </c>
      <c r="BJ762" s="15" t="s">
        <v>2351</v>
      </c>
      <c r="BK762" s="15" t="s">
        <v>2352</v>
      </c>
      <c r="BL762" s="15" t="s">
        <v>2353</v>
      </c>
      <c r="BM762" s="15" t="s">
        <v>2354</v>
      </c>
      <c r="BN762" s="15" t="s">
        <v>2355</v>
      </c>
      <c r="BO762" s="15" t="s">
        <v>2356</v>
      </c>
      <c r="BR762" s="15" t="s">
        <v>192</v>
      </c>
      <c r="BS762" s="15" t="s">
        <v>193</v>
      </c>
      <c r="BT762" s="15" t="s">
        <v>194</v>
      </c>
      <c r="BU762" s="15" t="s">
        <v>195</v>
      </c>
      <c r="BV762" s="15" t="s">
        <v>196</v>
      </c>
      <c r="BW762" s="15" t="s">
        <v>193</v>
      </c>
      <c r="CA762" s="15" t="s">
        <v>2357</v>
      </c>
      <c r="CB762" s="15" t="s">
        <v>78</v>
      </c>
      <c r="CC762" s="15">
        <v>1</v>
      </c>
      <c r="CN762" s="15" t="s">
        <v>1643</v>
      </c>
      <c r="CW762" s="10">
        <v>2</v>
      </c>
      <c r="CX762" s="15" t="s">
        <v>2513</v>
      </c>
    </row>
    <row r="763" spans="1:102" s="15" customFormat="1" x14ac:dyDescent="0.3">
      <c r="A763" s="11" t="s">
        <v>2349</v>
      </c>
      <c r="B763" s="10" t="s">
        <v>1482</v>
      </c>
      <c r="C763" s="12" t="s">
        <v>1494</v>
      </c>
      <c r="D763" s="10">
        <v>12</v>
      </c>
      <c r="E763" s="13">
        <v>5000000</v>
      </c>
      <c r="F763" s="14" t="s">
        <v>1483</v>
      </c>
      <c r="G763" s="14" t="s">
        <v>1484</v>
      </c>
      <c r="H763" s="15" t="s">
        <v>2514</v>
      </c>
      <c r="I763" s="8"/>
      <c r="J763" s="10"/>
      <c r="AV763" s="15" t="s">
        <v>1486</v>
      </c>
      <c r="AW763" s="15" t="s">
        <v>1487</v>
      </c>
      <c r="AX763" s="15" t="s">
        <v>2515</v>
      </c>
      <c r="AY763" s="15" t="s">
        <v>2516</v>
      </c>
      <c r="BH763" s="15" t="s">
        <v>184</v>
      </c>
      <c r="BI763" s="15" t="s">
        <v>185</v>
      </c>
      <c r="BJ763" s="15" t="s">
        <v>2351</v>
      </c>
      <c r="BK763" s="15" t="s">
        <v>2352</v>
      </c>
      <c r="BL763" s="15" t="s">
        <v>2353</v>
      </c>
      <c r="BM763" s="15" t="s">
        <v>2354</v>
      </c>
      <c r="BN763" s="15" t="s">
        <v>2355</v>
      </c>
      <c r="BO763" s="15" t="s">
        <v>2356</v>
      </c>
      <c r="BR763" s="15" t="s">
        <v>192</v>
      </c>
      <c r="BS763" s="15" t="s">
        <v>193</v>
      </c>
      <c r="BT763" s="15" t="s">
        <v>194</v>
      </c>
      <c r="BU763" s="15" t="s">
        <v>195</v>
      </c>
      <c r="BV763" s="15" t="s">
        <v>196</v>
      </c>
      <c r="BW763" s="15" t="s">
        <v>193</v>
      </c>
      <c r="CA763" s="15" t="s">
        <v>2357</v>
      </c>
      <c r="CB763" s="15" t="s">
        <v>78</v>
      </c>
      <c r="CC763" s="15">
        <v>1</v>
      </c>
      <c r="CM763" s="15" t="s">
        <v>1490</v>
      </c>
      <c r="CN763" s="15" t="s">
        <v>1491</v>
      </c>
      <c r="CW763" s="10">
        <v>2</v>
      </c>
      <c r="CX763" s="15" t="s">
        <v>2517</v>
      </c>
    </row>
    <row r="764" spans="1:102" s="15" customFormat="1" x14ac:dyDescent="0.3">
      <c r="A764" s="11" t="s">
        <v>2349</v>
      </c>
      <c r="B764" s="10" t="s">
        <v>838</v>
      </c>
      <c r="C764" s="12" t="s">
        <v>3850</v>
      </c>
      <c r="D764" s="10">
        <v>12</v>
      </c>
      <c r="E764" s="13">
        <v>100000</v>
      </c>
      <c r="F764" s="14" t="s">
        <v>243</v>
      </c>
      <c r="G764" s="14" t="s">
        <v>244</v>
      </c>
      <c r="H764" s="15" t="s">
        <v>211</v>
      </c>
      <c r="I764" s="8"/>
      <c r="J764" s="10"/>
      <c r="AV764" s="15" t="s">
        <v>181</v>
      </c>
      <c r="AW764" s="15" t="s">
        <v>182</v>
      </c>
      <c r="AX764" s="15" t="s">
        <v>2518</v>
      </c>
      <c r="BH764" s="15" t="s">
        <v>184</v>
      </c>
      <c r="BI764" s="15" t="s">
        <v>185</v>
      </c>
      <c r="BJ764" s="15" t="s">
        <v>2351</v>
      </c>
      <c r="BK764" s="15" t="s">
        <v>2352</v>
      </c>
      <c r="BL764" s="15" t="s">
        <v>2353</v>
      </c>
      <c r="BM764" s="15" t="s">
        <v>2354</v>
      </c>
      <c r="BN764" s="15" t="s">
        <v>2355</v>
      </c>
      <c r="BO764" s="15" t="s">
        <v>2356</v>
      </c>
      <c r="BR764" s="15" t="s">
        <v>192</v>
      </c>
      <c r="BS764" s="15" t="s">
        <v>193</v>
      </c>
      <c r="BT764" s="15" t="s">
        <v>194</v>
      </c>
      <c r="BU764" s="15" t="s">
        <v>195</v>
      </c>
      <c r="BV764" s="15" t="s">
        <v>196</v>
      </c>
      <c r="BW764" s="15" t="s">
        <v>272</v>
      </c>
      <c r="CA764" s="15" t="s">
        <v>2357</v>
      </c>
      <c r="CB764" s="15" t="s">
        <v>78</v>
      </c>
      <c r="CC764" s="15">
        <v>1</v>
      </c>
      <c r="CN764" s="15" t="s">
        <v>198</v>
      </c>
      <c r="CW764" s="10">
        <v>2</v>
      </c>
      <c r="CX764" s="15" t="s">
        <v>2519</v>
      </c>
    </row>
    <row r="765" spans="1:102" s="15" customFormat="1" x14ac:dyDescent="0.3">
      <c r="A765" s="11" t="s">
        <v>2349</v>
      </c>
      <c r="B765" s="10" t="s">
        <v>841</v>
      </c>
      <c r="C765" s="12" t="s">
        <v>3851</v>
      </c>
      <c r="D765" s="10">
        <v>12</v>
      </c>
      <c r="E765" s="13">
        <v>100000</v>
      </c>
      <c r="F765" s="14" t="s">
        <v>243</v>
      </c>
      <c r="G765" s="14" t="s">
        <v>244</v>
      </c>
      <c r="H765" s="15" t="s">
        <v>211</v>
      </c>
      <c r="I765" s="8"/>
      <c r="J765" s="10"/>
      <c r="AV765" s="15" t="s">
        <v>181</v>
      </c>
      <c r="AW765" s="15" t="s">
        <v>182</v>
      </c>
      <c r="AX765" s="15" t="s">
        <v>2520</v>
      </c>
      <c r="BH765" s="15" t="s">
        <v>184</v>
      </c>
      <c r="BI765" s="15" t="s">
        <v>185</v>
      </c>
      <c r="BJ765" s="15" t="s">
        <v>2351</v>
      </c>
      <c r="BK765" s="15" t="s">
        <v>2352</v>
      </c>
      <c r="BL765" s="15" t="s">
        <v>2353</v>
      </c>
      <c r="BM765" s="15" t="s">
        <v>2354</v>
      </c>
      <c r="BN765" s="15" t="s">
        <v>2355</v>
      </c>
      <c r="BO765" s="15" t="s">
        <v>2356</v>
      </c>
      <c r="BR765" s="15" t="s">
        <v>192</v>
      </c>
      <c r="BS765" s="15" t="s">
        <v>193</v>
      </c>
      <c r="BT765" s="15" t="s">
        <v>194</v>
      </c>
      <c r="BU765" s="15" t="s">
        <v>195</v>
      </c>
      <c r="BV765" s="15" t="s">
        <v>196</v>
      </c>
      <c r="BW765" s="15" t="s">
        <v>272</v>
      </c>
      <c r="CA765" s="15" t="s">
        <v>2357</v>
      </c>
      <c r="CB765" s="15" t="s">
        <v>78</v>
      </c>
      <c r="CC765" s="15">
        <v>1</v>
      </c>
      <c r="CN765" s="15" t="s">
        <v>198</v>
      </c>
      <c r="CW765" s="10">
        <v>2</v>
      </c>
      <c r="CX765" s="15" t="s">
        <v>2521</v>
      </c>
    </row>
    <row r="766" spans="1:102" s="15" customFormat="1" x14ac:dyDescent="0.3">
      <c r="A766" s="11" t="s">
        <v>2349</v>
      </c>
      <c r="B766" s="10" t="s">
        <v>790</v>
      </c>
      <c r="C766" s="12" t="s">
        <v>3843</v>
      </c>
      <c r="D766" s="10">
        <v>12</v>
      </c>
      <c r="E766" s="13">
        <v>100000</v>
      </c>
      <c r="F766" s="14" t="s">
        <v>243</v>
      </c>
      <c r="G766" s="14" t="s">
        <v>244</v>
      </c>
      <c r="H766" s="15" t="s">
        <v>402</v>
      </c>
      <c r="I766" s="8"/>
      <c r="J766" s="10"/>
      <c r="AV766" s="15" t="s">
        <v>181</v>
      </c>
      <c r="AW766" s="15" t="s">
        <v>182</v>
      </c>
      <c r="AX766" s="15" t="s">
        <v>2522</v>
      </c>
      <c r="BH766" s="15" t="s">
        <v>184</v>
      </c>
      <c r="BI766" s="15" t="s">
        <v>185</v>
      </c>
      <c r="BJ766" s="15" t="s">
        <v>2351</v>
      </c>
      <c r="BK766" s="15" t="s">
        <v>2352</v>
      </c>
      <c r="BL766" s="15" t="s">
        <v>2353</v>
      </c>
      <c r="BM766" s="15" t="s">
        <v>2354</v>
      </c>
      <c r="BN766" s="15" t="s">
        <v>2355</v>
      </c>
      <c r="BO766" s="15" t="s">
        <v>2356</v>
      </c>
      <c r="BR766" s="15" t="s">
        <v>192</v>
      </c>
      <c r="BS766" s="15" t="s">
        <v>193</v>
      </c>
      <c r="BT766" s="15" t="s">
        <v>194</v>
      </c>
      <c r="BU766" s="15" t="s">
        <v>195</v>
      </c>
      <c r="BV766" s="15" t="s">
        <v>196</v>
      </c>
      <c r="BW766" s="15" t="s">
        <v>272</v>
      </c>
      <c r="CA766" s="15" t="s">
        <v>2357</v>
      </c>
      <c r="CB766" s="15" t="s">
        <v>78</v>
      </c>
      <c r="CC766" s="15">
        <v>1</v>
      </c>
      <c r="CN766" s="15" t="s">
        <v>198</v>
      </c>
      <c r="CW766" s="10">
        <v>2</v>
      </c>
      <c r="CX766" s="15" t="s">
        <v>2523</v>
      </c>
    </row>
    <row r="767" spans="1:102" s="15" customFormat="1" x14ac:dyDescent="0.3">
      <c r="A767" s="11" t="s">
        <v>2349</v>
      </c>
      <c r="B767" s="10" t="s">
        <v>793</v>
      </c>
      <c r="C767" s="12" t="s">
        <v>797</v>
      </c>
      <c r="D767" s="10">
        <v>12</v>
      </c>
      <c r="E767" s="13">
        <v>1000000</v>
      </c>
      <c r="F767" s="14" t="s">
        <v>209</v>
      </c>
      <c r="G767" s="14" t="s">
        <v>210</v>
      </c>
      <c r="H767" s="15" t="s">
        <v>312</v>
      </c>
      <c r="I767" s="8"/>
      <c r="J767" s="10"/>
      <c r="AV767" s="15" t="s">
        <v>212</v>
      </c>
      <c r="AW767" s="15" t="s">
        <v>213</v>
      </c>
      <c r="AX767" s="15" t="s">
        <v>2524</v>
      </c>
      <c r="BH767" s="15" t="s">
        <v>184</v>
      </c>
      <c r="BI767" s="15" t="s">
        <v>185</v>
      </c>
      <c r="BJ767" s="15" t="s">
        <v>2351</v>
      </c>
      <c r="BK767" s="15" t="s">
        <v>2352</v>
      </c>
      <c r="BL767" s="15" t="s">
        <v>2353</v>
      </c>
      <c r="BM767" s="15" t="s">
        <v>2354</v>
      </c>
      <c r="BN767" s="15" t="s">
        <v>2355</v>
      </c>
      <c r="BO767" s="15" t="s">
        <v>2356</v>
      </c>
      <c r="BR767" s="15" t="s">
        <v>192</v>
      </c>
      <c r="BS767" s="15" t="s">
        <v>193</v>
      </c>
      <c r="BT767" s="15" t="s">
        <v>194</v>
      </c>
      <c r="BU767" s="15" t="s">
        <v>195</v>
      </c>
      <c r="BV767" s="15" t="s">
        <v>196</v>
      </c>
      <c r="BW767" s="15" t="s">
        <v>196</v>
      </c>
      <c r="CA767" s="15" t="s">
        <v>2357</v>
      </c>
      <c r="CB767" s="15" t="s">
        <v>78</v>
      </c>
      <c r="CC767" s="15">
        <v>1</v>
      </c>
      <c r="CN767" s="15" t="s">
        <v>313</v>
      </c>
      <c r="CW767" s="10">
        <v>2</v>
      </c>
      <c r="CX767" s="15" t="s">
        <v>2525</v>
      </c>
    </row>
    <row r="768" spans="1:102" s="15" customFormat="1" x14ac:dyDescent="0.3">
      <c r="A768" s="11" t="s">
        <v>2349</v>
      </c>
      <c r="B768" s="10" t="s">
        <v>208</v>
      </c>
      <c r="C768" s="12" t="s">
        <v>218</v>
      </c>
      <c r="D768" s="10">
        <v>12</v>
      </c>
      <c r="E768" s="13">
        <v>1000000</v>
      </c>
      <c r="F768" s="14" t="s">
        <v>209</v>
      </c>
      <c r="G768" s="14" t="s">
        <v>210</v>
      </c>
      <c r="H768" s="15" t="s">
        <v>211</v>
      </c>
      <c r="I768" s="8"/>
      <c r="J768" s="10"/>
      <c r="AV768" s="15" t="s">
        <v>212</v>
      </c>
      <c r="AW768" s="15" t="s">
        <v>213</v>
      </c>
      <c r="AX768" s="15" t="s">
        <v>2526</v>
      </c>
      <c r="BH768" s="15" t="s">
        <v>184</v>
      </c>
      <c r="BI768" s="15" t="s">
        <v>185</v>
      </c>
      <c r="BJ768" s="15" t="s">
        <v>2351</v>
      </c>
      <c r="BK768" s="15" t="s">
        <v>2352</v>
      </c>
      <c r="BL768" s="15" t="s">
        <v>2353</v>
      </c>
      <c r="BM768" s="15" t="s">
        <v>2354</v>
      </c>
      <c r="BN768" s="15" t="s">
        <v>2355</v>
      </c>
      <c r="BO768" s="15" t="s">
        <v>2356</v>
      </c>
      <c r="BR768" s="15" t="s">
        <v>192</v>
      </c>
      <c r="BS768" s="15" t="s">
        <v>193</v>
      </c>
      <c r="BT768" s="15" t="s">
        <v>194</v>
      </c>
      <c r="BU768" s="15" t="s">
        <v>195</v>
      </c>
      <c r="BV768" s="15" t="s">
        <v>196</v>
      </c>
      <c r="BW768" s="15" t="s">
        <v>194</v>
      </c>
      <c r="CA768" s="15" t="s">
        <v>2357</v>
      </c>
      <c r="CB768" s="15" t="s">
        <v>78</v>
      </c>
      <c r="CC768" s="15">
        <v>1</v>
      </c>
      <c r="CN768" s="15" t="s">
        <v>215</v>
      </c>
      <c r="CW768" s="10">
        <v>2</v>
      </c>
      <c r="CX768" s="15" t="s">
        <v>2527</v>
      </c>
    </row>
    <row r="769" spans="1:102" s="15" customFormat="1" x14ac:dyDescent="0.3">
      <c r="A769" s="11" t="s">
        <v>2349</v>
      </c>
      <c r="B769" s="10" t="s">
        <v>217</v>
      </c>
      <c r="C769" s="12" t="s">
        <v>218</v>
      </c>
      <c r="D769" s="10">
        <v>12</v>
      </c>
      <c r="E769" s="13">
        <v>1000000</v>
      </c>
      <c r="F769" s="14" t="s">
        <v>210</v>
      </c>
      <c r="G769" s="14" t="s">
        <v>210</v>
      </c>
      <c r="H769" s="15" t="s">
        <v>211</v>
      </c>
      <c r="I769" s="8"/>
      <c r="J769" s="10"/>
      <c r="AW769" s="15" t="s">
        <v>128</v>
      </c>
      <c r="AX769" s="15" t="s">
        <v>2526</v>
      </c>
      <c r="BH769" s="15" t="s">
        <v>184</v>
      </c>
      <c r="BI769" s="15" t="s">
        <v>185</v>
      </c>
      <c r="BJ769" s="15" t="s">
        <v>2351</v>
      </c>
      <c r="BK769" s="15" t="s">
        <v>2352</v>
      </c>
      <c r="BL769" s="15" t="s">
        <v>2353</v>
      </c>
      <c r="BM769" s="15" t="s">
        <v>2354</v>
      </c>
      <c r="BN769" s="15" t="s">
        <v>2355</v>
      </c>
      <c r="BO769" s="15" t="s">
        <v>2356</v>
      </c>
      <c r="BR769" s="15" t="s">
        <v>192</v>
      </c>
      <c r="BS769" s="15" t="s">
        <v>193</v>
      </c>
      <c r="BT769" s="15" t="s">
        <v>194</v>
      </c>
      <c r="BU769" s="15" t="s">
        <v>195</v>
      </c>
      <c r="BV769" s="15" t="s">
        <v>196</v>
      </c>
      <c r="BW769" s="15" t="s">
        <v>194</v>
      </c>
      <c r="CB769" s="15" t="s">
        <v>128</v>
      </c>
      <c r="CC769" s="15">
        <v>1</v>
      </c>
      <c r="CN769" s="15" t="s">
        <v>215</v>
      </c>
      <c r="CW769" s="10">
        <v>2</v>
      </c>
      <c r="CX769" s="15" t="s">
        <v>2528</v>
      </c>
    </row>
    <row r="770" spans="1:102" s="15" customFormat="1" x14ac:dyDescent="0.3">
      <c r="A770" s="11" t="s">
        <v>2349</v>
      </c>
      <c r="B770" s="10" t="s">
        <v>1229</v>
      </c>
      <c r="C770" s="12" t="s">
        <v>3916</v>
      </c>
      <c r="D770" s="10">
        <v>12</v>
      </c>
      <c r="E770" s="13">
        <v>1000000</v>
      </c>
      <c r="F770" s="14" t="s">
        <v>2529</v>
      </c>
      <c r="G770" s="14" t="s">
        <v>2530</v>
      </c>
      <c r="H770" s="15" t="s">
        <v>2531</v>
      </c>
      <c r="I770" s="8"/>
      <c r="J770" s="10"/>
      <c r="AV770" s="15" t="s">
        <v>2532</v>
      </c>
      <c r="AW770" s="15" t="s">
        <v>2533</v>
      </c>
      <c r="AX770" s="15" t="s">
        <v>2534</v>
      </c>
      <c r="BH770" s="15" t="s">
        <v>184</v>
      </c>
      <c r="BI770" s="15" t="s">
        <v>185</v>
      </c>
      <c r="BJ770" s="15" t="s">
        <v>2351</v>
      </c>
      <c r="BK770" s="15" t="s">
        <v>2352</v>
      </c>
      <c r="BL770" s="15" t="s">
        <v>2353</v>
      </c>
      <c r="BM770" s="15" t="s">
        <v>2354</v>
      </c>
      <c r="BN770" s="15" t="s">
        <v>2355</v>
      </c>
      <c r="BO770" s="15" t="s">
        <v>2356</v>
      </c>
      <c r="BR770" s="15" t="s">
        <v>192</v>
      </c>
      <c r="BS770" s="15" t="s">
        <v>193</v>
      </c>
      <c r="BT770" s="15" t="s">
        <v>194</v>
      </c>
      <c r="BU770" s="15" t="s">
        <v>195</v>
      </c>
      <c r="BV770" s="15" t="s">
        <v>196</v>
      </c>
      <c r="BW770" s="15" t="s">
        <v>194</v>
      </c>
      <c r="CA770" s="15" t="s">
        <v>2357</v>
      </c>
      <c r="CB770" s="15" t="s">
        <v>78</v>
      </c>
      <c r="CC770" s="15">
        <v>1</v>
      </c>
      <c r="CN770" s="15" t="s">
        <v>215</v>
      </c>
      <c r="CW770" s="10">
        <v>2</v>
      </c>
      <c r="CX770" s="15" t="s">
        <v>2535</v>
      </c>
    </row>
    <row r="771" spans="1:102" s="15" customFormat="1" x14ac:dyDescent="0.3">
      <c r="A771" s="11" t="s">
        <v>2349</v>
      </c>
      <c r="B771" s="10" t="s">
        <v>233</v>
      </c>
      <c r="C771" s="12" t="s">
        <v>237</v>
      </c>
      <c r="D771" s="10">
        <v>12</v>
      </c>
      <c r="E771" s="13">
        <v>1000000</v>
      </c>
      <c r="F771" s="14" t="s">
        <v>209</v>
      </c>
      <c r="G771" s="14" t="s">
        <v>210</v>
      </c>
      <c r="H771" s="15" t="s">
        <v>211</v>
      </c>
      <c r="I771" s="8"/>
      <c r="J771" s="10"/>
      <c r="AV771" s="15" t="s">
        <v>212</v>
      </c>
      <c r="AW771" s="15" t="s">
        <v>213</v>
      </c>
      <c r="AX771" s="15" t="s">
        <v>2351</v>
      </c>
      <c r="BH771" s="15" t="s">
        <v>184</v>
      </c>
      <c r="BI771" s="15" t="s">
        <v>185</v>
      </c>
      <c r="BJ771" s="15" t="s">
        <v>2351</v>
      </c>
      <c r="BK771" s="15" t="s">
        <v>2352</v>
      </c>
      <c r="BL771" s="15" t="s">
        <v>2353</v>
      </c>
      <c r="BM771" s="15" t="s">
        <v>2354</v>
      </c>
      <c r="BN771" s="15" t="s">
        <v>2355</v>
      </c>
      <c r="BO771" s="15" t="s">
        <v>2356</v>
      </c>
      <c r="BR771" s="15" t="s">
        <v>192</v>
      </c>
      <c r="BS771" s="15" t="s">
        <v>193</v>
      </c>
      <c r="BT771" s="15" t="s">
        <v>194</v>
      </c>
      <c r="BU771" s="15" t="s">
        <v>195</v>
      </c>
      <c r="BV771" s="15" t="s">
        <v>196</v>
      </c>
      <c r="BW771" s="15" t="s">
        <v>194</v>
      </c>
      <c r="CA771" s="15" t="s">
        <v>2357</v>
      </c>
      <c r="CB771" s="15" t="s">
        <v>78</v>
      </c>
      <c r="CC771" s="15">
        <v>1</v>
      </c>
      <c r="CN771" s="15" t="s">
        <v>234</v>
      </c>
      <c r="CW771" s="10">
        <v>2</v>
      </c>
      <c r="CX771" s="15" t="s">
        <v>2536</v>
      </c>
    </row>
    <row r="772" spans="1:102" s="15" customFormat="1" x14ac:dyDescent="0.3">
      <c r="A772" s="11" t="s">
        <v>2349</v>
      </c>
      <c r="B772" s="10" t="s">
        <v>236</v>
      </c>
      <c r="C772" s="12" t="s">
        <v>237</v>
      </c>
      <c r="D772" s="10">
        <v>12</v>
      </c>
      <c r="E772" s="13">
        <v>1000000</v>
      </c>
      <c r="F772" s="14" t="s">
        <v>210</v>
      </c>
      <c r="G772" s="14" t="s">
        <v>210</v>
      </c>
      <c r="H772" s="15" t="s">
        <v>211</v>
      </c>
      <c r="I772" s="8"/>
      <c r="J772" s="10"/>
      <c r="AW772" s="15" t="s">
        <v>128</v>
      </c>
      <c r="AX772" s="15" t="s">
        <v>2351</v>
      </c>
      <c r="BH772" s="15" t="s">
        <v>184</v>
      </c>
      <c r="BI772" s="15" t="s">
        <v>185</v>
      </c>
      <c r="BJ772" s="15" t="s">
        <v>2351</v>
      </c>
      <c r="BK772" s="15" t="s">
        <v>2352</v>
      </c>
      <c r="BL772" s="15" t="s">
        <v>2353</v>
      </c>
      <c r="BM772" s="15" t="s">
        <v>2354</v>
      </c>
      <c r="BN772" s="15" t="s">
        <v>2355</v>
      </c>
      <c r="BO772" s="15" t="s">
        <v>2356</v>
      </c>
      <c r="BR772" s="15" t="s">
        <v>192</v>
      </c>
      <c r="BS772" s="15" t="s">
        <v>193</v>
      </c>
      <c r="BT772" s="15" t="s">
        <v>194</v>
      </c>
      <c r="BU772" s="15" t="s">
        <v>195</v>
      </c>
      <c r="BV772" s="15" t="s">
        <v>196</v>
      </c>
      <c r="BW772" s="15" t="s">
        <v>194</v>
      </c>
      <c r="CB772" s="15" t="s">
        <v>128</v>
      </c>
      <c r="CC772" s="15">
        <v>1</v>
      </c>
      <c r="CN772" s="15" t="s">
        <v>215</v>
      </c>
      <c r="CW772" s="10">
        <v>2</v>
      </c>
      <c r="CX772" s="15" t="s">
        <v>2537</v>
      </c>
    </row>
    <row r="773" spans="1:102" s="15" customFormat="1" x14ac:dyDescent="0.3">
      <c r="A773" s="11" t="s">
        <v>2349</v>
      </c>
      <c r="B773" s="10" t="s">
        <v>133</v>
      </c>
      <c r="C773" s="12" t="s">
        <v>136</v>
      </c>
      <c r="D773" s="10"/>
      <c r="E773" s="13">
        <v>0</v>
      </c>
      <c r="F773" s="14"/>
      <c r="G773" s="14"/>
      <c r="I773" s="8"/>
      <c r="J773" s="10"/>
      <c r="BH773" s="15" t="s">
        <v>184</v>
      </c>
      <c r="BI773" s="15" t="s">
        <v>185</v>
      </c>
      <c r="BJ773" s="15" t="s">
        <v>2351</v>
      </c>
      <c r="BK773" s="15" t="s">
        <v>2352</v>
      </c>
      <c r="BL773" s="15" t="s">
        <v>2353</v>
      </c>
      <c r="BM773" s="15" t="s">
        <v>2354</v>
      </c>
      <c r="BN773" s="15" t="s">
        <v>2355</v>
      </c>
      <c r="BO773" s="15" t="s">
        <v>2356</v>
      </c>
      <c r="CW773" s="10"/>
    </row>
    <row r="774" spans="1:102" s="15" customFormat="1" x14ac:dyDescent="0.3">
      <c r="A774" s="11" t="s">
        <v>2349</v>
      </c>
      <c r="B774" s="10" t="s">
        <v>1273</v>
      </c>
      <c r="C774" s="12" t="s">
        <v>1282</v>
      </c>
      <c r="D774" s="10">
        <v>12</v>
      </c>
      <c r="E774" s="13">
        <v>1000000</v>
      </c>
      <c r="F774" s="14" t="s">
        <v>209</v>
      </c>
      <c r="G774" s="14" t="s">
        <v>210</v>
      </c>
      <c r="H774" s="15" t="s">
        <v>211</v>
      </c>
      <c r="I774" s="8"/>
      <c r="J774" s="10"/>
      <c r="AV774" s="15" t="s">
        <v>212</v>
      </c>
      <c r="AW774" s="15" t="s">
        <v>213</v>
      </c>
      <c r="AX774" s="15" t="s">
        <v>2538</v>
      </c>
      <c r="BH774" s="15" t="s">
        <v>184</v>
      </c>
      <c r="BI774" s="15" t="s">
        <v>185</v>
      </c>
      <c r="BJ774" s="15" t="s">
        <v>2351</v>
      </c>
      <c r="BK774" s="15" t="s">
        <v>2352</v>
      </c>
      <c r="BL774" s="15" t="s">
        <v>2353</v>
      </c>
      <c r="BM774" s="15" t="s">
        <v>2354</v>
      </c>
      <c r="BN774" s="15" t="s">
        <v>2355</v>
      </c>
      <c r="BO774" s="15" t="s">
        <v>2356</v>
      </c>
      <c r="BR774" s="15" t="s">
        <v>192</v>
      </c>
      <c r="BS774" s="15" t="s">
        <v>193</v>
      </c>
      <c r="BT774" s="15" t="s">
        <v>194</v>
      </c>
      <c r="BU774" s="15" t="s">
        <v>195</v>
      </c>
      <c r="BV774" s="15" t="s">
        <v>196</v>
      </c>
      <c r="BW774" s="15" t="s">
        <v>196</v>
      </c>
      <c r="CA774" s="15" t="s">
        <v>2357</v>
      </c>
      <c r="CB774" s="15" t="s">
        <v>78</v>
      </c>
      <c r="CC774" s="15">
        <v>1</v>
      </c>
      <c r="CN774" s="15" t="s">
        <v>198</v>
      </c>
      <c r="CW774" s="10">
        <v>2</v>
      </c>
      <c r="CX774" s="15" t="s">
        <v>2539</v>
      </c>
    </row>
    <row r="775" spans="1:102" s="15" customFormat="1" x14ac:dyDescent="0.3">
      <c r="A775" s="11" t="s">
        <v>2349</v>
      </c>
      <c r="B775" s="10" t="s">
        <v>1275</v>
      </c>
      <c r="C775" s="12" t="s">
        <v>1285</v>
      </c>
      <c r="D775" s="10">
        <v>12</v>
      </c>
      <c r="E775" s="13">
        <v>100000</v>
      </c>
      <c r="F775" s="14" t="s">
        <v>209</v>
      </c>
      <c r="G775" s="14" t="s">
        <v>210</v>
      </c>
      <c r="H775" s="15" t="s">
        <v>211</v>
      </c>
      <c r="I775" s="8"/>
      <c r="J775" s="10"/>
      <c r="AV775" s="15" t="s">
        <v>212</v>
      </c>
      <c r="AW775" s="15" t="s">
        <v>213</v>
      </c>
      <c r="AX775" s="15" t="s">
        <v>2540</v>
      </c>
      <c r="BH775" s="15" t="s">
        <v>184</v>
      </c>
      <c r="BI775" s="15" t="s">
        <v>185</v>
      </c>
      <c r="BJ775" s="15" t="s">
        <v>2351</v>
      </c>
      <c r="BK775" s="15" t="s">
        <v>2352</v>
      </c>
      <c r="BL775" s="15" t="s">
        <v>2353</v>
      </c>
      <c r="BM775" s="15" t="s">
        <v>2354</v>
      </c>
      <c r="BN775" s="15" t="s">
        <v>2355</v>
      </c>
      <c r="BO775" s="15" t="s">
        <v>2356</v>
      </c>
      <c r="BR775" s="15" t="s">
        <v>192</v>
      </c>
      <c r="BS775" s="15" t="s">
        <v>193</v>
      </c>
      <c r="BT775" s="15" t="s">
        <v>194</v>
      </c>
      <c r="BU775" s="15" t="s">
        <v>195</v>
      </c>
      <c r="BV775" s="15" t="s">
        <v>196</v>
      </c>
      <c r="BW775" s="15" t="s">
        <v>196</v>
      </c>
      <c r="CA775" s="15" t="s">
        <v>2357</v>
      </c>
      <c r="CB775" s="15" t="s">
        <v>78</v>
      </c>
      <c r="CC775" s="15">
        <v>1</v>
      </c>
      <c r="CN775" s="15" t="s">
        <v>198</v>
      </c>
      <c r="CW775" s="10">
        <v>2</v>
      </c>
      <c r="CX775" s="15" t="s">
        <v>2541</v>
      </c>
    </row>
    <row r="776" spans="1:102" s="15" customFormat="1" x14ac:dyDescent="0.3">
      <c r="A776" s="11" t="s">
        <v>2349</v>
      </c>
      <c r="B776" s="10" t="s">
        <v>1278</v>
      </c>
      <c r="C776" s="12" t="s">
        <v>1288</v>
      </c>
      <c r="D776" s="10">
        <v>12</v>
      </c>
      <c r="E776" s="13">
        <v>1000000</v>
      </c>
      <c r="F776" s="14" t="s">
        <v>269</v>
      </c>
      <c r="G776" s="14" t="s">
        <v>210</v>
      </c>
      <c r="H776" s="15" t="s">
        <v>211</v>
      </c>
      <c r="I776" s="8"/>
      <c r="J776" s="10"/>
      <c r="AV776" s="15" t="s">
        <v>212</v>
      </c>
      <c r="AW776" s="15" t="s">
        <v>213</v>
      </c>
      <c r="AX776" s="15" t="s">
        <v>2542</v>
      </c>
      <c r="BH776" s="15" t="s">
        <v>184</v>
      </c>
      <c r="BI776" s="15" t="s">
        <v>185</v>
      </c>
      <c r="BJ776" s="15" t="s">
        <v>2351</v>
      </c>
      <c r="BK776" s="15" t="s">
        <v>2352</v>
      </c>
      <c r="BL776" s="15" t="s">
        <v>2353</v>
      </c>
      <c r="BM776" s="15" t="s">
        <v>2354</v>
      </c>
      <c r="BN776" s="15" t="s">
        <v>2355</v>
      </c>
      <c r="BO776" s="15" t="s">
        <v>2356</v>
      </c>
      <c r="BR776" s="15" t="s">
        <v>192</v>
      </c>
      <c r="BS776" s="15" t="s">
        <v>193</v>
      </c>
      <c r="BT776" s="15" t="s">
        <v>194</v>
      </c>
      <c r="BU776" s="15" t="s">
        <v>195</v>
      </c>
      <c r="BV776" s="15" t="s">
        <v>196</v>
      </c>
      <c r="BW776" s="15" t="s">
        <v>194</v>
      </c>
      <c r="CA776" s="15" t="s">
        <v>2357</v>
      </c>
      <c r="CB776" s="15" t="s">
        <v>78</v>
      </c>
      <c r="CC776" s="15">
        <v>1</v>
      </c>
      <c r="CN776" s="15" t="s">
        <v>198</v>
      </c>
      <c r="CW776" s="10">
        <v>2</v>
      </c>
      <c r="CX776" s="15" t="s">
        <v>2543</v>
      </c>
    </row>
    <row r="777" spans="1:102" s="15" customFormat="1" x14ac:dyDescent="0.3">
      <c r="A777" s="11" t="s">
        <v>2349</v>
      </c>
      <c r="B777" s="10" t="s">
        <v>1499</v>
      </c>
      <c r="C777" s="12" t="s">
        <v>1509</v>
      </c>
      <c r="D777" s="10">
        <v>12</v>
      </c>
      <c r="E777" s="13">
        <v>1000000</v>
      </c>
      <c r="F777" s="14" t="s">
        <v>269</v>
      </c>
      <c r="G777" s="14" t="s">
        <v>210</v>
      </c>
      <c r="H777" s="15" t="s">
        <v>211</v>
      </c>
      <c r="I777" s="8"/>
      <c r="J777" s="10"/>
      <c r="AV777" s="15" t="s">
        <v>212</v>
      </c>
      <c r="AW777" s="15" t="s">
        <v>213</v>
      </c>
      <c r="AX777" s="15" t="s">
        <v>2544</v>
      </c>
      <c r="BH777" s="15" t="s">
        <v>184</v>
      </c>
      <c r="BI777" s="15" t="s">
        <v>185</v>
      </c>
      <c r="BJ777" s="15" t="s">
        <v>2351</v>
      </c>
      <c r="BK777" s="15" t="s">
        <v>2352</v>
      </c>
      <c r="BL777" s="15" t="s">
        <v>2353</v>
      </c>
      <c r="BM777" s="15" t="s">
        <v>2354</v>
      </c>
      <c r="BN777" s="15" t="s">
        <v>2355</v>
      </c>
      <c r="BO777" s="15" t="s">
        <v>2356</v>
      </c>
      <c r="BR777" s="15" t="s">
        <v>192</v>
      </c>
      <c r="BS777" s="15" t="s">
        <v>193</v>
      </c>
      <c r="BT777" s="15" t="s">
        <v>194</v>
      </c>
      <c r="BU777" s="15" t="s">
        <v>195</v>
      </c>
      <c r="BV777" s="15" t="s">
        <v>196</v>
      </c>
      <c r="BW777" s="15" t="s">
        <v>194</v>
      </c>
      <c r="CA777" s="15" t="s">
        <v>2357</v>
      </c>
      <c r="CB777" s="15" t="s">
        <v>78</v>
      </c>
      <c r="CC777" s="15">
        <v>1</v>
      </c>
      <c r="CN777" s="15" t="s">
        <v>198</v>
      </c>
      <c r="CW777" s="10">
        <v>2</v>
      </c>
      <c r="CX777" s="15" t="s">
        <v>2545</v>
      </c>
    </row>
    <row r="778" spans="1:102" s="15" customFormat="1" x14ac:dyDescent="0.3">
      <c r="A778" s="11" t="s">
        <v>2349</v>
      </c>
      <c r="B778" s="10" t="s">
        <v>1502</v>
      </c>
      <c r="C778" s="12" t="s">
        <v>1512</v>
      </c>
      <c r="D778" s="10">
        <v>12</v>
      </c>
      <c r="E778" s="13">
        <v>1000000</v>
      </c>
      <c r="F778" s="14" t="s">
        <v>209</v>
      </c>
      <c r="G778" s="14" t="s">
        <v>210</v>
      </c>
      <c r="H778" s="15" t="s">
        <v>211</v>
      </c>
      <c r="I778" s="8"/>
      <c r="J778" s="10"/>
      <c r="AV778" s="15" t="s">
        <v>212</v>
      </c>
      <c r="AW778" s="15" t="s">
        <v>213</v>
      </c>
      <c r="AX778" s="15" t="s">
        <v>2546</v>
      </c>
      <c r="BH778" s="15" t="s">
        <v>184</v>
      </c>
      <c r="BI778" s="15" t="s">
        <v>185</v>
      </c>
      <c r="BJ778" s="15" t="s">
        <v>2351</v>
      </c>
      <c r="BK778" s="15" t="s">
        <v>2352</v>
      </c>
      <c r="BL778" s="15" t="s">
        <v>2353</v>
      </c>
      <c r="BM778" s="15" t="s">
        <v>2354</v>
      </c>
      <c r="BN778" s="15" t="s">
        <v>2355</v>
      </c>
      <c r="BO778" s="15" t="s">
        <v>2356</v>
      </c>
      <c r="BR778" s="15" t="s">
        <v>192</v>
      </c>
      <c r="BS778" s="15" t="s">
        <v>193</v>
      </c>
      <c r="BT778" s="15" t="s">
        <v>194</v>
      </c>
      <c r="BU778" s="15" t="s">
        <v>195</v>
      </c>
      <c r="BV778" s="15" t="s">
        <v>196</v>
      </c>
      <c r="BW778" s="15" t="s">
        <v>194</v>
      </c>
      <c r="CA778" s="15" t="s">
        <v>2357</v>
      </c>
      <c r="CB778" s="15" t="s">
        <v>78</v>
      </c>
      <c r="CC778" s="15">
        <v>1</v>
      </c>
      <c r="CN778" s="15" t="s">
        <v>198</v>
      </c>
      <c r="CW778" s="10">
        <v>2</v>
      </c>
      <c r="CX778" s="15" t="s">
        <v>2547</v>
      </c>
    </row>
    <row r="779" spans="1:102" s="15" customFormat="1" x14ac:dyDescent="0.3">
      <c r="A779" s="11" t="s">
        <v>2349</v>
      </c>
      <c r="B779" s="10" t="s">
        <v>1505</v>
      </c>
      <c r="C779" s="12" t="s">
        <v>1515</v>
      </c>
      <c r="D779" s="10">
        <v>12</v>
      </c>
      <c r="E779" s="13">
        <v>1000000</v>
      </c>
      <c r="F779" s="14" t="s">
        <v>209</v>
      </c>
      <c r="G779" s="14" t="s">
        <v>210</v>
      </c>
      <c r="H779" s="15" t="s">
        <v>254</v>
      </c>
      <c r="I779" s="8"/>
      <c r="J779" s="10"/>
      <c r="AV779" s="15" t="s">
        <v>212</v>
      </c>
      <c r="AW779" s="15" t="s">
        <v>213</v>
      </c>
      <c r="AX779" s="15" t="s">
        <v>2410</v>
      </c>
      <c r="BH779" s="15" t="s">
        <v>184</v>
      </c>
      <c r="BI779" s="15" t="s">
        <v>185</v>
      </c>
      <c r="BJ779" s="15" t="s">
        <v>2351</v>
      </c>
      <c r="BK779" s="15" t="s">
        <v>2352</v>
      </c>
      <c r="BL779" s="15" t="s">
        <v>2353</v>
      </c>
      <c r="BM779" s="15" t="s">
        <v>2354</v>
      </c>
      <c r="BN779" s="15" t="s">
        <v>2355</v>
      </c>
      <c r="BO779" s="15" t="s">
        <v>2356</v>
      </c>
      <c r="BR779" s="15" t="s">
        <v>192</v>
      </c>
      <c r="BS779" s="15" t="s">
        <v>193</v>
      </c>
      <c r="BT779" s="15" t="s">
        <v>194</v>
      </c>
      <c r="BU779" s="15" t="s">
        <v>195</v>
      </c>
      <c r="BV779" s="15" t="s">
        <v>196</v>
      </c>
      <c r="BW779" s="15" t="s">
        <v>460</v>
      </c>
      <c r="CA779" s="15" t="s">
        <v>2357</v>
      </c>
      <c r="CB779" s="15" t="s">
        <v>78</v>
      </c>
      <c r="CC779" s="15">
        <v>1</v>
      </c>
      <c r="CN779" s="15" t="s">
        <v>198</v>
      </c>
      <c r="CW779" s="10">
        <v>2</v>
      </c>
      <c r="CX779" s="15" t="s">
        <v>2548</v>
      </c>
    </row>
    <row r="780" spans="1:102" s="15" customFormat="1" x14ac:dyDescent="0.3">
      <c r="A780" s="11" t="s">
        <v>2349</v>
      </c>
      <c r="B780" s="10" t="s">
        <v>683</v>
      </c>
      <c r="C780" s="12" t="s">
        <v>3821</v>
      </c>
      <c r="D780" s="10">
        <v>12</v>
      </c>
      <c r="E780" s="13">
        <v>1000000</v>
      </c>
      <c r="F780" s="14" t="s">
        <v>209</v>
      </c>
      <c r="G780" s="14" t="s">
        <v>210</v>
      </c>
      <c r="H780" s="15" t="s">
        <v>211</v>
      </c>
      <c r="I780" s="8"/>
      <c r="J780" s="10"/>
      <c r="AV780" s="15" t="s">
        <v>212</v>
      </c>
      <c r="AW780" s="15" t="s">
        <v>213</v>
      </c>
      <c r="AX780" s="15" t="s">
        <v>2538</v>
      </c>
      <c r="BH780" s="15" t="s">
        <v>184</v>
      </c>
      <c r="BI780" s="15" t="s">
        <v>185</v>
      </c>
      <c r="BJ780" s="15" t="s">
        <v>2351</v>
      </c>
      <c r="BK780" s="15" t="s">
        <v>2352</v>
      </c>
      <c r="BL780" s="15" t="s">
        <v>2353</v>
      </c>
      <c r="BM780" s="15" t="s">
        <v>2354</v>
      </c>
      <c r="BN780" s="15" t="s">
        <v>2355</v>
      </c>
      <c r="BO780" s="15" t="s">
        <v>2356</v>
      </c>
      <c r="BR780" s="15" t="s">
        <v>192</v>
      </c>
      <c r="BS780" s="15" t="s">
        <v>193</v>
      </c>
      <c r="BT780" s="15" t="s">
        <v>194</v>
      </c>
      <c r="BU780" s="15" t="s">
        <v>195</v>
      </c>
      <c r="BV780" s="15" t="s">
        <v>196</v>
      </c>
      <c r="BW780" s="15" t="s">
        <v>196</v>
      </c>
      <c r="CA780" s="15" t="s">
        <v>2357</v>
      </c>
      <c r="CB780" s="15" t="s">
        <v>78</v>
      </c>
      <c r="CC780" s="15">
        <v>1</v>
      </c>
      <c r="CN780" s="15" t="s">
        <v>198</v>
      </c>
      <c r="CW780" s="10">
        <v>2</v>
      </c>
      <c r="CX780" s="15" t="s">
        <v>2549</v>
      </c>
    </row>
    <row r="781" spans="1:102" s="15" customFormat="1" x14ac:dyDescent="0.3">
      <c r="A781" s="11" t="s">
        <v>2349</v>
      </c>
      <c r="B781" s="10" t="s">
        <v>223</v>
      </c>
      <c r="C781" s="12" t="s">
        <v>228</v>
      </c>
      <c r="D781" s="10">
        <v>12</v>
      </c>
      <c r="E781" s="13">
        <v>1000000</v>
      </c>
      <c r="F781" s="14" t="s">
        <v>209</v>
      </c>
      <c r="G781" s="14" t="s">
        <v>210</v>
      </c>
      <c r="H781" s="15" t="s">
        <v>211</v>
      </c>
      <c r="I781" s="8"/>
      <c r="J781" s="10"/>
      <c r="AV781" s="15" t="s">
        <v>212</v>
      </c>
      <c r="AW781" s="15" t="s">
        <v>213</v>
      </c>
      <c r="AX781" s="15" t="s">
        <v>2550</v>
      </c>
      <c r="BH781" s="15" t="s">
        <v>184</v>
      </c>
      <c r="BI781" s="15" t="s">
        <v>185</v>
      </c>
      <c r="BJ781" s="15" t="s">
        <v>2351</v>
      </c>
      <c r="BK781" s="15" t="s">
        <v>2352</v>
      </c>
      <c r="BL781" s="15" t="s">
        <v>2353</v>
      </c>
      <c r="BM781" s="15" t="s">
        <v>2354</v>
      </c>
      <c r="BN781" s="15" t="s">
        <v>2355</v>
      </c>
      <c r="BO781" s="15" t="s">
        <v>2356</v>
      </c>
      <c r="BR781" s="15" t="s">
        <v>192</v>
      </c>
      <c r="BS781" s="15" t="s">
        <v>193</v>
      </c>
      <c r="BT781" s="15" t="s">
        <v>194</v>
      </c>
      <c r="BU781" s="15" t="s">
        <v>195</v>
      </c>
      <c r="BV781" s="15" t="s">
        <v>196</v>
      </c>
      <c r="BW781" s="15" t="s">
        <v>195</v>
      </c>
      <c r="CA781" s="15" t="s">
        <v>2357</v>
      </c>
      <c r="CB781" s="15" t="s">
        <v>78</v>
      </c>
      <c r="CC781" s="15">
        <v>1</v>
      </c>
      <c r="CN781" s="15" t="s">
        <v>225</v>
      </c>
      <c r="CW781" s="10">
        <v>2</v>
      </c>
      <c r="CX781" s="15" t="s">
        <v>2551</v>
      </c>
    </row>
    <row r="782" spans="1:102" s="15" customFormat="1" x14ac:dyDescent="0.3">
      <c r="A782" s="11" t="s">
        <v>2349</v>
      </c>
      <c r="B782" s="10" t="s">
        <v>227</v>
      </c>
      <c r="C782" s="12" t="s">
        <v>228</v>
      </c>
      <c r="D782" s="10">
        <v>12</v>
      </c>
      <c r="E782" s="13">
        <v>1000000</v>
      </c>
      <c r="F782" s="14" t="s">
        <v>210</v>
      </c>
      <c r="G782" s="14" t="s">
        <v>210</v>
      </c>
      <c r="H782" s="15" t="s">
        <v>211</v>
      </c>
      <c r="I782" s="8"/>
      <c r="J782" s="10"/>
      <c r="AW782" s="15" t="s">
        <v>128</v>
      </c>
      <c r="AX782" s="15" t="s">
        <v>2550</v>
      </c>
      <c r="BH782" s="15" t="s">
        <v>184</v>
      </c>
      <c r="BI782" s="15" t="s">
        <v>185</v>
      </c>
      <c r="BJ782" s="15" t="s">
        <v>2351</v>
      </c>
      <c r="BK782" s="15" t="s">
        <v>2352</v>
      </c>
      <c r="BL782" s="15" t="s">
        <v>2353</v>
      </c>
      <c r="BM782" s="15" t="s">
        <v>2354</v>
      </c>
      <c r="BN782" s="15" t="s">
        <v>2355</v>
      </c>
      <c r="BO782" s="15" t="s">
        <v>2356</v>
      </c>
      <c r="BR782" s="15" t="s">
        <v>192</v>
      </c>
      <c r="BS782" s="15" t="s">
        <v>193</v>
      </c>
      <c r="BT782" s="15" t="s">
        <v>194</v>
      </c>
      <c r="BU782" s="15" t="s">
        <v>195</v>
      </c>
      <c r="BV782" s="15" t="s">
        <v>196</v>
      </c>
      <c r="BW782" s="15" t="s">
        <v>195</v>
      </c>
      <c r="CB782" s="15" t="s">
        <v>128</v>
      </c>
      <c r="CC782" s="15">
        <v>1</v>
      </c>
      <c r="CN782" s="15" t="s">
        <v>225</v>
      </c>
      <c r="CW782" s="10">
        <v>2</v>
      </c>
      <c r="CX782" s="15" t="s">
        <v>2552</v>
      </c>
    </row>
    <row r="783" spans="1:102" s="15" customFormat="1" x14ac:dyDescent="0.3">
      <c r="A783" s="11" t="s">
        <v>2349</v>
      </c>
      <c r="B783" s="10" t="s">
        <v>266</v>
      </c>
      <c r="C783" s="12" t="s">
        <v>2922</v>
      </c>
      <c r="D783" s="10">
        <v>12</v>
      </c>
      <c r="E783" s="13">
        <v>1000000</v>
      </c>
      <c r="F783" s="14" t="s">
        <v>209</v>
      </c>
      <c r="G783" s="14" t="s">
        <v>210</v>
      </c>
      <c r="H783" s="15" t="s">
        <v>211</v>
      </c>
      <c r="I783" s="8"/>
      <c r="J783" s="10"/>
      <c r="AV783" s="15" t="s">
        <v>212</v>
      </c>
      <c r="AW783" s="15" t="s">
        <v>213</v>
      </c>
      <c r="AX783" s="15" t="s">
        <v>2352</v>
      </c>
      <c r="BH783" s="15" t="s">
        <v>184</v>
      </c>
      <c r="BI783" s="15" t="s">
        <v>185</v>
      </c>
      <c r="BJ783" s="15" t="s">
        <v>2351</v>
      </c>
      <c r="BK783" s="15" t="s">
        <v>2352</v>
      </c>
      <c r="BL783" s="15" t="s">
        <v>2353</v>
      </c>
      <c r="BM783" s="15" t="s">
        <v>2354</v>
      </c>
      <c r="BN783" s="15" t="s">
        <v>2355</v>
      </c>
      <c r="BO783" s="15" t="s">
        <v>2356</v>
      </c>
      <c r="BR783" s="15" t="s">
        <v>192</v>
      </c>
      <c r="BS783" s="15" t="s">
        <v>193</v>
      </c>
      <c r="BT783" s="15" t="s">
        <v>194</v>
      </c>
      <c r="BU783" s="15" t="s">
        <v>195</v>
      </c>
      <c r="BV783" s="15" t="s">
        <v>196</v>
      </c>
      <c r="BW783" s="15" t="s">
        <v>195</v>
      </c>
      <c r="CA783" s="15" t="s">
        <v>2357</v>
      </c>
      <c r="CB783" s="15" t="s">
        <v>78</v>
      </c>
      <c r="CC783" s="15">
        <v>1</v>
      </c>
      <c r="CN783" s="15" t="s">
        <v>225</v>
      </c>
      <c r="CW783" s="10">
        <v>2</v>
      </c>
      <c r="CX783" s="15" t="s">
        <v>2553</v>
      </c>
    </row>
    <row r="784" spans="1:102" s="15" customFormat="1" x14ac:dyDescent="0.3">
      <c r="A784" s="11" t="s">
        <v>2349</v>
      </c>
      <c r="B784" s="10" t="s">
        <v>1232</v>
      </c>
      <c r="C784" s="12" t="s">
        <v>3917</v>
      </c>
      <c r="D784" s="10">
        <v>12</v>
      </c>
      <c r="E784" s="13">
        <v>1000000</v>
      </c>
      <c r="F784" s="14" t="s">
        <v>209</v>
      </c>
      <c r="G784" s="14" t="s">
        <v>210</v>
      </c>
      <c r="H784" s="15" t="s">
        <v>211</v>
      </c>
      <c r="I784" s="8"/>
      <c r="J784" s="10"/>
      <c r="AV784" s="15" t="s">
        <v>212</v>
      </c>
      <c r="AW784" s="15" t="s">
        <v>213</v>
      </c>
      <c r="AX784" s="15" t="s">
        <v>2554</v>
      </c>
      <c r="BH784" s="15" t="s">
        <v>184</v>
      </c>
      <c r="BI784" s="15" t="s">
        <v>185</v>
      </c>
      <c r="BJ784" s="15" t="s">
        <v>2351</v>
      </c>
      <c r="BK784" s="15" t="s">
        <v>2352</v>
      </c>
      <c r="BL784" s="15" t="s">
        <v>2353</v>
      </c>
      <c r="BM784" s="15" t="s">
        <v>2354</v>
      </c>
      <c r="BN784" s="15" t="s">
        <v>2355</v>
      </c>
      <c r="BO784" s="15" t="s">
        <v>2356</v>
      </c>
      <c r="BR784" s="15" t="s">
        <v>192</v>
      </c>
      <c r="BS784" s="15" t="s">
        <v>193</v>
      </c>
      <c r="BT784" s="15" t="s">
        <v>194</v>
      </c>
      <c r="BU784" s="15" t="s">
        <v>195</v>
      </c>
      <c r="BV784" s="15" t="s">
        <v>196</v>
      </c>
      <c r="BW784" s="15" t="s">
        <v>195</v>
      </c>
      <c r="CA784" s="15" t="s">
        <v>2357</v>
      </c>
      <c r="CB784" s="15" t="s">
        <v>78</v>
      </c>
      <c r="CC784" s="15">
        <v>1</v>
      </c>
      <c r="CN784" s="15" t="s">
        <v>225</v>
      </c>
      <c r="CW784" s="10">
        <v>2</v>
      </c>
      <c r="CX784" s="15" t="s">
        <v>2555</v>
      </c>
    </row>
    <row r="785" spans="1:102" s="15" customFormat="1" x14ac:dyDescent="0.3">
      <c r="A785" s="11" t="s">
        <v>2349</v>
      </c>
      <c r="B785" s="10" t="s">
        <v>141</v>
      </c>
      <c r="C785" s="12" t="s">
        <v>144</v>
      </c>
      <c r="D785" s="10"/>
      <c r="E785" s="13">
        <v>0</v>
      </c>
      <c r="F785" s="14"/>
      <c r="G785" s="14"/>
      <c r="I785" s="8"/>
      <c r="J785" s="10"/>
      <c r="BH785" s="15" t="s">
        <v>184</v>
      </c>
      <c r="BI785" s="15" t="s">
        <v>185</v>
      </c>
      <c r="BJ785" s="15" t="s">
        <v>2351</v>
      </c>
      <c r="BK785" s="15" t="s">
        <v>2352</v>
      </c>
      <c r="BL785" s="15" t="s">
        <v>2353</v>
      </c>
      <c r="BM785" s="15" t="s">
        <v>2354</v>
      </c>
      <c r="BN785" s="15" t="s">
        <v>2355</v>
      </c>
      <c r="BO785" s="15" t="s">
        <v>2356</v>
      </c>
      <c r="CW785" s="10"/>
    </row>
    <row r="786" spans="1:102" s="15" customFormat="1" x14ac:dyDescent="0.3">
      <c r="A786" s="11" t="s">
        <v>2349</v>
      </c>
      <c r="B786" s="10" t="s">
        <v>1299</v>
      </c>
      <c r="C786" s="12" t="s">
        <v>1319</v>
      </c>
      <c r="D786" s="10">
        <v>12</v>
      </c>
      <c r="E786" s="13">
        <v>1000000</v>
      </c>
      <c r="F786" s="14" t="s">
        <v>209</v>
      </c>
      <c r="G786" s="14" t="s">
        <v>210</v>
      </c>
      <c r="H786" s="15" t="s">
        <v>211</v>
      </c>
      <c r="I786" s="8"/>
      <c r="J786" s="10"/>
      <c r="AV786" s="15" t="s">
        <v>212</v>
      </c>
      <c r="AW786" s="15" t="s">
        <v>213</v>
      </c>
      <c r="AX786" s="15" t="s">
        <v>2556</v>
      </c>
      <c r="BH786" s="15" t="s">
        <v>184</v>
      </c>
      <c r="BI786" s="15" t="s">
        <v>185</v>
      </c>
      <c r="BJ786" s="15" t="s">
        <v>2351</v>
      </c>
      <c r="BK786" s="15" t="s">
        <v>2352</v>
      </c>
      <c r="BL786" s="15" t="s">
        <v>2353</v>
      </c>
      <c r="BM786" s="15" t="s">
        <v>2354</v>
      </c>
      <c r="BN786" s="15" t="s">
        <v>2355</v>
      </c>
      <c r="BO786" s="15" t="s">
        <v>2356</v>
      </c>
      <c r="BR786" s="15" t="s">
        <v>192</v>
      </c>
      <c r="BS786" s="15" t="s">
        <v>193</v>
      </c>
      <c r="BT786" s="15" t="s">
        <v>194</v>
      </c>
      <c r="BU786" s="15" t="s">
        <v>195</v>
      </c>
      <c r="BV786" s="15" t="s">
        <v>196</v>
      </c>
      <c r="BW786" s="15" t="s">
        <v>196</v>
      </c>
      <c r="CA786" s="15" t="s">
        <v>2357</v>
      </c>
      <c r="CB786" s="15" t="s">
        <v>78</v>
      </c>
      <c r="CC786" s="15">
        <v>1</v>
      </c>
      <c r="CN786" s="15" t="s">
        <v>198</v>
      </c>
      <c r="CW786" s="10">
        <v>2</v>
      </c>
      <c r="CX786" s="15" t="s">
        <v>2557</v>
      </c>
    </row>
    <row r="787" spans="1:102" s="15" customFormat="1" x14ac:dyDescent="0.3">
      <c r="A787" s="11" t="s">
        <v>2349</v>
      </c>
      <c r="B787" s="10" t="s">
        <v>1302</v>
      </c>
      <c r="C787" s="12" t="s">
        <v>1322</v>
      </c>
      <c r="D787" s="10">
        <v>12</v>
      </c>
      <c r="E787" s="13">
        <v>1000000</v>
      </c>
      <c r="F787" s="14" t="s">
        <v>209</v>
      </c>
      <c r="G787" s="14" t="s">
        <v>210</v>
      </c>
      <c r="H787" s="15" t="s">
        <v>211</v>
      </c>
      <c r="I787" s="8"/>
      <c r="J787" s="10"/>
      <c r="AV787" s="15" t="s">
        <v>212</v>
      </c>
      <c r="AW787" s="15" t="s">
        <v>213</v>
      </c>
      <c r="AX787" s="15" t="s">
        <v>2558</v>
      </c>
      <c r="BH787" s="15" t="s">
        <v>184</v>
      </c>
      <c r="BI787" s="15" t="s">
        <v>185</v>
      </c>
      <c r="BJ787" s="15" t="s">
        <v>2351</v>
      </c>
      <c r="BK787" s="15" t="s">
        <v>2352</v>
      </c>
      <c r="BL787" s="15" t="s">
        <v>2353</v>
      </c>
      <c r="BM787" s="15" t="s">
        <v>2354</v>
      </c>
      <c r="BN787" s="15" t="s">
        <v>2355</v>
      </c>
      <c r="BO787" s="15" t="s">
        <v>2356</v>
      </c>
      <c r="BR787" s="15" t="s">
        <v>192</v>
      </c>
      <c r="BS787" s="15" t="s">
        <v>193</v>
      </c>
      <c r="BT787" s="15" t="s">
        <v>194</v>
      </c>
      <c r="BU787" s="15" t="s">
        <v>195</v>
      </c>
      <c r="BV787" s="15" t="s">
        <v>196</v>
      </c>
      <c r="BW787" s="15" t="s">
        <v>196</v>
      </c>
      <c r="CA787" s="15" t="s">
        <v>2357</v>
      </c>
      <c r="CB787" s="15" t="s">
        <v>78</v>
      </c>
      <c r="CC787" s="15">
        <v>1</v>
      </c>
      <c r="CN787" s="15" t="s">
        <v>198</v>
      </c>
      <c r="CW787" s="10">
        <v>2</v>
      </c>
      <c r="CX787" s="15" t="s">
        <v>2559</v>
      </c>
    </row>
    <row r="788" spans="1:102" s="15" customFormat="1" x14ac:dyDescent="0.3">
      <c r="A788" s="11" t="s">
        <v>2349</v>
      </c>
      <c r="B788" s="10" t="s">
        <v>1305</v>
      </c>
      <c r="C788" s="12" t="s">
        <v>1325</v>
      </c>
      <c r="D788" s="10">
        <v>12</v>
      </c>
      <c r="E788" s="13">
        <v>1000000</v>
      </c>
      <c r="F788" s="14" t="s">
        <v>209</v>
      </c>
      <c r="G788" s="14" t="s">
        <v>210</v>
      </c>
      <c r="H788" s="15" t="s">
        <v>211</v>
      </c>
      <c r="I788" s="8"/>
      <c r="J788" s="10"/>
      <c r="AV788" s="15" t="s">
        <v>212</v>
      </c>
      <c r="AW788" s="15" t="s">
        <v>213</v>
      </c>
      <c r="AX788" s="15" t="s">
        <v>2560</v>
      </c>
      <c r="BH788" s="15" t="s">
        <v>184</v>
      </c>
      <c r="BI788" s="15" t="s">
        <v>185</v>
      </c>
      <c r="BJ788" s="15" t="s">
        <v>2351</v>
      </c>
      <c r="BK788" s="15" t="s">
        <v>2352</v>
      </c>
      <c r="BL788" s="15" t="s">
        <v>2353</v>
      </c>
      <c r="BM788" s="15" t="s">
        <v>2354</v>
      </c>
      <c r="BN788" s="15" t="s">
        <v>2355</v>
      </c>
      <c r="BO788" s="15" t="s">
        <v>2356</v>
      </c>
      <c r="BR788" s="15" t="s">
        <v>192</v>
      </c>
      <c r="BS788" s="15" t="s">
        <v>193</v>
      </c>
      <c r="BT788" s="15" t="s">
        <v>194</v>
      </c>
      <c r="BU788" s="15" t="s">
        <v>195</v>
      </c>
      <c r="BV788" s="15" t="s">
        <v>196</v>
      </c>
      <c r="BW788" s="15" t="s">
        <v>196</v>
      </c>
      <c r="CA788" s="15" t="s">
        <v>2357</v>
      </c>
      <c r="CB788" s="15" t="s">
        <v>78</v>
      </c>
      <c r="CC788" s="15">
        <v>1</v>
      </c>
      <c r="CN788" s="15" t="s">
        <v>198</v>
      </c>
      <c r="CW788" s="10">
        <v>2</v>
      </c>
      <c r="CX788" s="15" t="s">
        <v>2561</v>
      </c>
    </row>
    <row r="789" spans="1:102" s="15" customFormat="1" x14ac:dyDescent="0.3">
      <c r="A789" s="11" t="s">
        <v>2349</v>
      </c>
      <c r="B789" s="10" t="s">
        <v>1308</v>
      </c>
      <c r="C789" s="12" t="s">
        <v>1328</v>
      </c>
      <c r="D789" s="10">
        <v>12</v>
      </c>
      <c r="E789" s="13">
        <v>1000000</v>
      </c>
      <c r="F789" s="14" t="s">
        <v>209</v>
      </c>
      <c r="G789" s="14" t="s">
        <v>210</v>
      </c>
      <c r="H789" s="15" t="s">
        <v>211</v>
      </c>
      <c r="I789" s="8"/>
      <c r="J789" s="10"/>
      <c r="AV789" s="15" t="s">
        <v>212</v>
      </c>
      <c r="AW789" s="15" t="s">
        <v>213</v>
      </c>
      <c r="AX789" s="15" t="s">
        <v>2562</v>
      </c>
      <c r="BH789" s="15" t="s">
        <v>184</v>
      </c>
      <c r="BI789" s="15" t="s">
        <v>185</v>
      </c>
      <c r="BJ789" s="15" t="s">
        <v>2351</v>
      </c>
      <c r="BK789" s="15" t="s">
        <v>2352</v>
      </c>
      <c r="BL789" s="15" t="s">
        <v>2353</v>
      </c>
      <c r="BM789" s="15" t="s">
        <v>2354</v>
      </c>
      <c r="BN789" s="15" t="s">
        <v>2355</v>
      </c>
      <c r="BO789" s="15" t="s">
        <v>2356</v>
      </c>
      <c r="BR789" s="15" t="s">
        <v>192</v>
      </c>
      <c r="BS789" s="15" t="s">
        <v>193</v>
      </c>
      <c r="BT789" s="15" t="s">
        <v>194</v>
      </c>
      <c r="BU789" s="15" t="s">
        <v>195</v>
      </c>
      <c r="BV789" s="15" t="s">
        <v>196</v>
      </c>
      <c r="BW789" s="15" t="s">
        <v>196</v>
      </c>
      <c r="CA789" s="15" t="s">
        <v>2357</v>
      </c>
      <c r="CB789" s="15" t="s">
        <v>78</v>
      </c>
      <c r="CC789" s="15">
        <v>1</v>
      </c>
      <c r="CN789" s="15" t="s">
        <v>198</v>
      </c>
      <c r="CW789" s="10">
        <v>2</v>
      </c>
      <c r="CX789" s="15" t="s">
        <v>2563</v>
      </c>
    </row>
    <row r="790" spans="1:102" s="15" customFormat="1" x14ac:dyDescent="0.3">
      <c r="A790" s="11" t="s">
        <v>2349</v>
      </c>
      <c r="B790" s="10" t="s">
        <v>1310</v>
      </c>
      <c r="C790" s="12" t="s">
        <v>1331</v>
      </c>
      <c r="D790" s="10">
        <v>12</v>
      </c>
      <c r="E790" s="13">
        <v>1000000</v>
      </c>
      <c r="F790" s="14" t="s">
        <v>209</v>
      </c>
      <c r="G790" s="14" t="s">
        <v>210</v>
      </c>
      <c r="H790" s="15" t="s">
        <v>211</v>
      </c>
      <c r="I790" s="8"/>
      <c r="J790" s="10"/>
      <c r="AV790" s="15" t="s">
        <v>212</v>
      </c>
      <c r="AW790" s="15" t="s">
        <v>213</v>
      </c>
      <c r="AX790" s="15" t="s">
        <v>2564</v>
      </c>
      <c r="BH790" s="15" t="s">
        <v>184</v>
      </c>
      <c r="BI790" s="15" t="s">
        <v>185</v>
      </c>
      <c r="BJ790" s="15" t="s">
        <v>2351</v>
      </c>
      <c r="BK790" s="15" t="s">
        <v>2352</v>
      </c>
      <c r="BL790" s="15" t="s">
        <v>2353</v>
      </c>
      <c r="BM790" s="15" t="s">
        <v>2354</v>
      </c>
      <c r="BN790" s="15" t="s">
        <v>2355</v>
      </c>
      <c r="BO790" s="15" t="s">
        <v>2356</v>
      </c>
      <c r="BR790" s="15" t="s">
        <v>192</v>
      </c>
      <c r="BS790" s="15" t="s">
        <v>193</v>
      </c>
      <c r="BT790" s="15" t="s">
        <v>194</v>
      </c>
      <c r="BU790" s="15" t="s">
        <v>195</v>
      </c>
      <c r="BV790" s="15" t="s">
        <v>196</v>
      </c>
      <c r="BW790" s="15" t="s">
        <v>196</v>
      </c>
      <c r="CA790" s="15" t="s">
        <v>2357</v>
      </c>
      <c r="CB790" s="15" t="s">
        <v>78</v>
      </c>
      <c r="CC790" s="15">
        <v>1</v>
      </c>
      <c r="CN790" s="15" t="s">
        <v>198</v>
      </c>
      <c r="CW790" s="10">
        <v>2</v>
      </c>
      <c r="CX790" s="15" t="s">
        <v>2565</v>
      </c>
    </row>
    <row r="791" spans="1:102" s="15" customFormat="1" x14ac:dyDescent="0.3">
      <c r="A791" s="11" t="s">
        <v>2349</v>
      </c>
      <c r="B791" s="10" t="s">
        <v>1313</v>
      </c>
      <c r="C791" s="12" t="s">
        <v>1334</v>
      </c>
      <c r="D791" s="10">
        <v>12</v>
      </c>
      <c r="E791" s="13">
        <v>1000000</v>
      </c>
      <c r="F791" s="14" t="s">
        <v>209</v>
      </c>
      <c r="G791" s="14" t="s">
        <v>210</v>
      </c>
      <c r="H791" s="15" t="s">
        <v>211</v>
      </c>
      <c r="I791" s="8"/>
      <c r="J791" s="10"/>
      <c r="AV791" s="15" t="s">
        <v>212</v>
      </c>
      <c r="AW791" s="15" t="s">
        <v>213</v>
      </c>
      <c r="AX791" s="15" t="s">
        <v>2566</v>
      </c>
      <c r="BH791" s="15" t="s">
        <v>184</v>
      </c>
      <c r="BI791" s="15" t="s">
        <v>185</v>
      </c>
      <c r="BJ791" s="15" t="s">
        <v>2351</v>
      </c>
      <c r="BK791" s="15" t="s">
        <v>2352</v>
      </c>
      <c r="BL791" s="15" t="s">
        <v>2353</v>
      </c>
      <c r="BM791" s="15" t="s">
        <v>2354</v>
      </c>
      <c r="BN791" s="15" t="s">
        <v>2355</v>
      </c>
      <c r="BO791" s="15" t="s">
        <v>2356</v>
      </c>
      <c r="BR791" s="15" t="s">
        <v>192</v>
      </c>
      <c r="BS791" s="15" t="s">
        <v>193</v>
      </c>
      <c r="BT791" s="15" t="s">
        <v>194</v>
      </c>
      <c r="BU791" s="15" t="s">
        <v>195</v>
      </c>
      <c r="BV791" s="15" t="s">
        <v>196</v>
      </c>
      <c r="BW791" s="15" t="s">
        <v>195</v>
      </c>
      <c r="CA791" s="15" t="s">
        <v>2357</v>
      </c>
      <c r="CB791" s="15" t="s">
        <v>78</v>
      </c>
      <c r="CC791" s="15">
        <v>1</v>
      </c>
      <c r="CN791" s="15" t="s">
        <v>198</v>
      </c>
      <c r="CW791" s="10">
        <v>2</v>
      </c>
      <c r="CX791" s="15" t="s">
        <v>2567</v>
      </c>
    </row>
    <row r="792" spans="1:102" s="15" customFormat="1" x14ac:dyDescent="0.3">
      <c r="A792" s="11" t="s">
        <v>2349</v>
      </c>
      <c r="B792" s="10" t="s">
        <v>1316</v>
      </c>
      <c r="C792" s="12" t="s">
        <v>1337</v>
      </c>
      <c r="D792" s="10">
        <v>12</v>
      </c>
      <c r="E792" s="13">
        <v>1000000</v>
      </c>
      <c r="F792" s="14" t="s">
        <v>209</v>
      </c>
      <c r="G792" s="14" t="s">
        <v>210</v>
      </c>
      <c r="H792" s="15" t="s">
        <v>211</v>
      </c>
      <c r="I792" s="8"/>
      <c r="J792" s="10"/>
      <c r="AV792" s="15" t="s">
        <v>212</v>
      </c>
      <c r="AW792" s="15" t="s">
        <v>213</v>
      </c>
      <c r="AX792" s="15" t="s">
        <v>2568</v>
      </c>
      <c r="BH792" s="15" t="s">
        <v>184</v>
      </c>
      <c r="BI792" s="15" t="s">
        <v>185</v>
      </c>
      <c r="BJ792" s="15" t="s">
        <v>2351</v>
      </c>
      <c r="BK792" s="15" t="s">
        <v>2352</v>
      </c>
      <c r="BL792" s="15" t="s">
        <v>2353</v>
      </c>
      <c r="BM792" s="15" t="s">
        <v>2354</v>
      </c>
      <c r="BN792" s="15" t="s">
        <v>2355</v>
      </c>
      <c r="BO792" s="15" t="s">
        <v>2356</v>
      </c>
      <c r="BR792" s="15" t="s">
        <v>192</v>
      </c>
      <c r="BS792" s="15" t="s">
        <v>193</v>
      </c>
      <c r="BT792" s="15" t="s">
        <v>194</v>
      </c>
      <c r="BU792" s="15" t="s">
        <v>195</v>
      </c>
      <c r="BV792" s="15" t="s">
        <v>196</v>
      </c>
      <c r="BW792" s="15" t="s">
        <v>195</v>
      </c>
      <c r="CA792" s="15" t="s">
        <v>2357</v>
      </c>
      <c r="CB792" s="15" t="s">
        <v>78</v>
      </c>
      <c r="CC792" s="15">
        <v>1</v>
      </c>
      <c r="CN792" s="15" t="s">
        <v>225</v>
      </c>
      <c r="CW792" s="10">
        <v>2</v>
      </c>
      <c r="CX792" s="15" t="s">
        <v>2569</v>
      </c>
    </row>
    <row r="793" spans="1:102" s="15" customFormat="1" x14ac:dyDescent="0.3">
      <c r="A793" s="11" t="s">
        <v>2349</v>
      </c>
      <c r="B793" s="10" t="s">
        <v>1526</v>
      </c>
      <c r="C793" s="12" t="s">
        <v>1530</v>
      </c>
      <c r="D793" s="10">
        <v>12</v>
      </c>
      <c r="E793" s="13">
        <v>1000000</v>
      </c>
      <c r="F793" s="14" t="s">
        <v>209</v>
      </c>
      <c r="G793" s="14" t="s">
        <v>210</v>
      </c>
      <c r="H793" s="15" t="s">
        <v>211</v>
      </c>
      <c r="I793" s="8"/>
      <c r="J793" s="10"/>
      <c r="AV793" s="15" t="s">
        <v>212</v>
      </c>
      <c r="AW793" s="15" t="s">
        <v>213</v>
      </c>
      <c r="AX793" s="15" t="s">
        <v>2570</v>
      </c>
      <c r="BH793" s="15" t="s">
        <v>184</v>
      </c>
      <c r="BI793" s="15" t="s">
        <v>185</v>
      </c>
      <c r="BJ793" s="15" t="s">
        <v>2351</v>
      </c>
      <c r="BK793" s="15" t="s">
        <v>2352</v>
      </c>
      <c r="BL793" s="15" t="s">
        <v>2353</v>
      </c>
      <c r="BM793" s="15" t="s">
        <v>2354</v>
      </c>
      <c r="BN793" s="15" t="s">
        <v>2355</v>
      </c>
      <c r="BO793" s="15" t="s">
        <v>2356</v>
      </c>
      <c r="BR793" s="15" t="s">
        <v>192</v>
      </c>
      <c r="BS793" s="15" t="s">
        <v>193</v>
      </c>
      <c r="BT793" s="15" t="s">
        <v>194</v>
      </c>
      <c r="BU793" s="15" t="s">
        <v>195</v>
      </c>
      <c r="BV793" s="15" t="s">
        <v>196</v>
      </c>
      <c r="BW793" s="15" t="s">
        <v>195</v>
      </c>
      <c r="CA793" s="15" t="s">
        <v>2357</v>
      </c>
      <c r="CB793" s="15" t="s">
        <v>78</v>
      </c>
      <c r="CC793" s="15">
        <v>1</v>
      </c>
      <c r="CN793" s="15" t="s">
        <v>198</v>
      </c>
      <c r="CW793" s="10">
        <v>2</v>
      </c>
      <c r="CX793" s="15" t="s">
        <v>2571</v>
      </c>
    </row>
    <row r="794" spans="1:102" s="15" customFormat="1" x14ac:dyDescent="0.3">
      <c r="A794" s="11" t="s">
        <v>2349</v>
      </c>
      <c r="B794" s="10" t="s">
        <v>278</v>
      </c>
      <c r="C794" s="12" t="s">
        <v>282</v>
      </c>
      <c r="D794" s="10">
        <v>12</v>
      </c>
      <c r="E794" s="13">
        <v>1000000</v>
      </c>
      <c r="F794" s="14" t="s">
        <v>2572</v>
      </c>
      <c r="G794" s="14" t="s">
        <v>2573</v>
      </c>
      <c r="H794" s="15" t="s">
        <v>2574</v>
      </c>
      <c r="I794" s="8"/>
      <c r="J794" s="10"/>
      <c r="AV794" s="15" t="s">
        <v>2575</v>
      </c>
      <c r="AW794" s="15" t="s">
        <v>2576</v>
      </c>
      <c r="AX794" s="15" t="s">
        <v>2577</v>
      </c>
      <c r="BH794" s="15" t="s">
        <v>184</v>
      </c>
      <c r="BI794" s="15" t="s">
        <v>185</v>
      </c>
      <c r="BJ794" s="15" t="s">
        <v>2351</v>
      </c>
      <c r="BK794" s="15" t="s">
        <v>2352</v>
      </c>
      <c r="BL794" s="15" t="s">
        <v>2353</v>
      </c>
      <c r="BM794" s="15" t="s">
        <v>2354</v>
      </c>
      <c r="BN794" s="15" t="s">
        <v>2355</v>
      </c>
      <c r="BO794" s="15" t="s">
        <v>2356</v>
      </c>
      <c r="BR794" s="15" t="s">
        <v>192</v>
      </c>
      <c r="BS794" s="15" t="s">
        <v>193</v>
      </c>
      <c r="BT794" s="15" t="s">
        <v>194</v>
      </c>
      <c r="BU794" s="15" t="s">
        <v>195</v>
      </c>
      <c r="BV794" s="15" t="s">
        <v>196</v>
      </c>
      <c r="BW794" s="15" t="s">
        <v>196</v>
      </c>
      <c r="CA794" s="15" t="s">
        <v>2357</v>
      </c>
      <c r="CB794" s="15" t="s">
        <v>78</v>
      </c>
      <c r="CC794" s="15">
        <v>1</v>
      </c>
      <c r="CN794" s="15" t="s">
        <v>198</v>
      </c>
      <c r="CW794" s="10">
        <v>2</v>
      </c>
      <c r="CX794" s="15" t="s">
        <v>2578</v>
      </c>
    </row>
    <row r="795" spans="1:102" s="15" customFormat="1" x14ac:dyDescent="0.3">
      <c r="A795" s="11" t="s">
        <v>2349</v>
      </c>
      <c r="B795" s="10" t="s">
        <v>281</v>
      </c>
      <c r="C795" s="12" t="s">
        <v>282</v>
      </c>
      <c r="D795" s="10">
        <v>12</v>
      </c>
      <c r="E795" s="13">
        <v>1000000</v>
      </c>
      <c r="F795" s="14" t="s">
        <v>2573</v>
      </c>
      <c r="G795" s="14" t="s">
        <v>2573</v>
      </c>
      <c r="H795" s="15" t="s">
        <v>2574</v>
      </c>
      <c r="I795" s="8"/>
      <c r="J795" s="10"/>
      <c r="AX795" s="15" t="s">
        <v>2577</v>
      </c>
      <c r="BH795" s="15" t="s">
        <v>184</v>
      </c>
      <c r="BI795" s="15" t="s">
        <v>185</v>
      </c>
      <c r="BJ795" s="15" t="s">
        <v>2351</v>
      </c>
      <c r="BK795" s="15" t="s">
        <v>2352</v>
      </c>
      <c r="BL795" s="15" t="s">
        <v>2353</v>
      </c>
      <c r="BM795" s="15" t="s">
        <v>2354</v>
      </c>
      <c r="BN795" s="15" t="s">
        <v>2355</v>
      </c>
      <c r="BO795" s="15" t="s">
        <v>2356</v>
      </c>
      <c r="BR795" s="15" t="s">
        <v>192</v>
      </c>
      <c r="BS795" s="15" t="s">
        <v>193</v>
      </c>
      <c r="BT795" s="15" t="s">
        <v>194</v>
      </c>
      <c r="BU795" s="15" t="s">
        <v>195</v>
      </c>
      <c r="BV795" s="15" t="s">
        <v>196</v>
      </c>
      <c r="BW795" s="15" t="s">
        <v>195</v>
      </c>
      <c r="CC795" s="15">
        <v>1</v>
      </c>
      <c r="CN795" s="15" t="s">
        <v>198</v>
      </c>
      <c r="CW795" s="10">
        <v>2</v>
      </c>
      <c r="CX795" s="15" t="s">
        <v>2579</v>
      </c>
    </row>
    <row r="796" spans="1:102" s="15" customFormat="1" x14ac:dyDescent="0.3">
      <c r="A796" s="11" t="s">
        <v>2349</v>
      </c>
      <c r="B796" s="10" t="s">
        <v>424</v>
      </c>
      <c r="C796" s="12" t="s">
        <v>428</v>
      </c>
      <c r="D796" s="10">
        <v>12</v>
      </c>
      <c r="E796" s="13">
        <v>1000000</v>
      </c>
      <c r="F796" s="14" t="s">
        <v>209</v>
      </c>
      <c r="G796" s="14" t="s">
        <v>210</v>
      </c>
      <c r="H796" s="15" t="s">
        <v>211</v>
      </c>
      <c r="I796" s="8"/>
      <c r="J796" s="10"/>
      <c r="AV796" s="15" t="s">
        <v>212</v>
      </c>
      <c r="AW796" s="15" t="s">
        <v>213</v>
      </c>
      <c r="AX796" s="15" t="s">
        <v>2566</v>
      </c>
      <c r="BH796" s="15" t="s">
        <v>184</v>
      </c>
      <c r="BI796" s="15" t="s">
        <v>185</v>
      </c>
      <c r="BJ796" s="15" t="s">
        <v>2351</v>
      </c>
      <c r="BK796" s="15" t="s">
        <v>2352</v>
      </c>
      <c r="BL796" s="15" t="s">
        <v>2353</v>
      </c>
      <c r="BM796" s="15" t="s">
        <v>2354</v>
      </c>
      <c r="BN796" s="15" t="s">
        <v>2355</v>
      </c>
      <c r="BO796" s="15" t="s">
        <v>2356</v>
      </c>
      <c r="BR796" s="15" t="s">
        <v>192</v>
      </c>
      <c r="BS796" s="15" t="s">
        <v>193</v>
      </c>
      <c r="BT796" s="15" t="s">
        <v>194</v>
      </c>
      <c r="BU796" s="15" t="s">
        <v>195</v>
      </c>
      <c r="BV796" s="15" t="s">
        <v>196</v>
      </c>
      <c r="BW796" s="15" t="s">
        <v>195</v>
      </c>
      <c r="CA796" s="15" t="s">
        <v>2357</v>
      </c>
      <c r="CB796" s="15" t="s">
        <v>78</v>
      </c>
      <c r="CC796" s="15">
        <v>1</v>
      </c>
      <c r="CN796" s="15" t="s">
        <v>198</v>
      </c>
      <c r="CW796" s="10">
        <v>2</v>
      </c>
      <c r="CX796" s="15" t="s">
        <v>2580</v>
      </c>
    </row>
    <row r="797" spans="1:102" s="15" customFormat="1" x14ac:dyDescent="0.3">
      <c r="A797" s="11" t="s">
        <v>2349</v>
      </c>
      <c r="B797" s="10" t="s">
        <v>427</v>
      </c>
      <c r="C797" s="12" t="s">
        <v>428</v>
      </c>
      <c r="D797" s="10">
        <v>12</v>
      </c>
      <c r="E797" s="13">
        <v>1000000</v>
      </c>
      <c r="F797" s="14" t="s">
        <v>210</v>
      </c>
      <c r="G797" s="14" t="s">
        <v>210</v>
      </c>
      <c r="H797" s="15" t="s">
        <v>211</v>
      </c>
      <c r="I797" s="8"/>
      <c r="J797" s="10"/>
      <c r="AW797" s="15" t="s">
        <v>128</v>
      </c>
      <c r="AX797" s="15" t="s">
        <v>2566</v>
      </c>
      <c r="BH797" s="15" t="s">
        <v>184</v>
      </c>
      <c r="BI797" s="15" t="s">
        <v>185</v>
      </c>
      <c r="BJ797" s="15" t="s">
        <v>2351</v>
      </c>
      <c r="BK797" s="15" t="s">
        <v>2352</v>
      </c>
      <c r="BL797" s="15" t="s">
        <v>2353</v>
      </c>
      <c r="BM797" s="15" t="s">
        <v>2354</v>
      </c>
      <c r="BN797" s="15" t="s">
        <v>2355</v>
      </c>
      <c r="BO797" s="15" t="s">
        <v>2356</v>
      </c>
      <c r="BR797" s="15" t="s">
        <v>192</v>
      </c>
      <c r="BS797" s="15" t="s">
        <v>193</v>
      </c>
      <c r="BT797" s="15" t="s">
        <v>194</v>
      </c>
      <c r="BU797" s="15" t="s">
        <v>195</v>
      </c>
      <c r="BV797" s="15" t="s">
        <v>196</v>
      </c>
      <c r="BW797" s="15" t="s">
        <v>195</v>
      </c>
      <c r="CB797" s="15" t="s">
        <v>128</v>
      </c>
      <c r="CC797" s="15">
        <v>1</v>
      </c>
      <c r="CN797" s="15" t="s">
        <v>198</v>
      </c>
      <c r="CW797" s="10">
        <v>2</v>
      </c>
      <c r="CX797" s="15" t="s">
        <v>2581</v>
      </c>
    </row>
    <row r="798" spans="1:102" s="15" customFormat="1" x14ac:dyDescent="0.3">
      <c r="A798" s="11" t="s">
        <v>2349</v>
      </c>
      <c r="B798" s="10" t="s">
        <v>483</v>
      </c>
      <c r="C798" s="12" t="s">
        <v>487</v>
      </c>
      <c r="D798" s="10">
        <v>12</v>
      </c>
      <c r="E798" s="13">
        <v>1000000</v>
      </c>
      <c r="F798" s="14" t="s">
        <v>2572</v>
      </c>
      <c r="G798" s="14" t="s">
        <v>2573</v>
      </c>
      <c r="H798" s="15" t="s">
        <v>2574</v>
      </c>
      <c r="I798" s="8"/>
      <c r="J798" s="10"/>
      <c r="AV798" s="15" t="s">
        <v>2575</v>
      </c>
      <c r="AW798" s="15" t="s">
        <v>213</v>
      </c>
      <c r="AX798" s="15" t="s">
        <v>2568</v>
      </c>
      <c r="BH798" s="15" t="s">
        <v>184</v>
      </c>
      <c r="BI798" s="15" t="s">
        <v>185</v>
      </c>
      <c r="BJ798" s="15" t="s">
        <v>2351</v>
      </c>
      <c r="BK798" s="15" t="s">
        <v>2352</v>
      </c>
      <c r="BL798" s="15" t="s">
        <v>2353</v>
      </c>
      <c r="BM798" s="15" t="s">
        <v>2354</v>
      </c>
      <c r="BN798" s="15" t="s">
        <v>2355</v>
      </c>
      <c r="BO798" s="15" t="s">
        <v>2356</v>
      </c>
      <c r="BR798" s="15" t="s">
        <v>192</v>
      </c>
      <c r="BS798" s="15" t="s">
        <v>193</v>
      </c>
      <c r="BT798" s="15" t="s">
        <v>194</v>
      </c>
      <c r="BU798" s="15" t="s">
        <v>195</v>
      </c>
      <c r="BV798" s="15" t="s">
        <v>196</v>
      </c>
      <c r="BW798" s="15" t="s">
        <v>195</v>
      </c>
      <c r="CA798" s="15" t="s">
        <v>2357</v>
      </c>
      <c r="CB798" s="15" t="s">
        <v>78</v>
      </c>
      <c r="CC798" s="15">
        <v>1</v>
      </c>
      <c r="CN798" s="15" t="s">
        <v>225</v>
      </c>
      <c r="CW798" s="10">
        <v>2</v>
      </c>
      <c r="CX798" s="15" t="s">
        <v>2582</v>
      </c>
    </row>
    <row r="799" spans="1:102" s="15" customFormat="1" x14ac:dyDescent="0.3">
      <c r="A799" s="11" t="s">
        <v>2349</v>
      </c>
      <c r="B799" s="10" t="s">
        <v>486</v>
      </c>
      <c r="C799" s="12" t="s">
        <v>487</v>
      </c>
      <c r="D799" s="10">
        <v>12</v>
      </c>
      <c r="E799" s="13">
        <v>1000000</v>
      </c>
      <c r="F799" s="14" t="s">
        <v>2573</v>
      </c>
      <c r="G799" s="14" t="s">
        <v>2573</v>
      </c>
      <c r="H799" s="15" t="s">
        <v>2574</v>
      </c>
      <c r="I799" s="8"/>
      <c r="J799" s="10"/>
      <c r="AX799" s="15" t="s">
        <v>2568</v>
      </c>
      <c r="BH799" s="15" t="s">
        <v>184</v>
      </c>
      <c r="BI799" s="15" t="s">
        <v>185</v>
      </c>
      <c r="BJ799" s="15" t="s">
        <v>2351</v>
      </c>
      <c r="BK799" s="15" t="s">
        <v>2352</v>
      </c>
      <c r="BL799" s="15" t="s">
        <v>2353</v>
      </c>
      <c r="BM799" s="15" t="s">
        <v>2354</v>
      </c>
      <c r="BN799" s="15" t="s">
        <v>2355</v>
      </c>
      <c r="BO799" s="15" t="s">
        <v>2356</v>
      </c>
      <c r="BR799" s="15" t="s">
        <v>192</v>
      </c>
      <c r="BS799" s="15" t="s">
        <v>193</v>
      </c>
      <c r="BT799" s="15" t="s">
        <v>194</v>
      </c>
      <c r="BU799" s="15" t="s">
        <v>195</v>
      </c>
      <c r="BV799" s="15" t="s">
        <v>196</v>
      </c>
      <c r="BW799" s="15" t="s">
        <v>195</v>
      </c>
      <c r="CC799" s="15">
        <v>1</v>
      </c>
      <c r="CN799" s="15" t="s">
        <v>198</v>
      </c>
      <c r="CW799" s="10">
        <v>2</v>
      </c>
      <c r="CX799" s="15" t="s">
        <v>2583</v>
      </c>
    </row>
    <row r="800" spans="1:102" s="15" customFormat="1" x14ac:dyDescent="0.3">
      <c r="A800" s="11" t="s">
        <v>2349</v>
      </c>
      <c r="B800" s="10" t="s">
        <v>412</v>
      </c>
      <c r="C800" s="12" t="s">
        <v>3789</v>
      </c>
      <c r="D800" s="10">
        <v>12</v>
      </c>
      <c r="E800" s="13">
        <v>1000000</v>
      </c>
      <c r="F800" s="14" t="s">
        <v>209</v>
      </c>
      <c r="G800" s="14" t="s">
        <v>210</v>
      </c>
      <c r="H800" s="15" t="s">
        <v>211</v>
      </c>
      <c r="I800" s="8"/>
      <c r="J800" s="10"/>
      <c r="AV800" s="15" t="s">
        <v>212</v>
      </c>
      <c r="AW800" s="15" t="s">
        <v>213</v>
      </c>
      <c r="AX800" s="15" t="s">
        <v>2564</v>
      </c>
      <c r="BH800" s="15" t="s">
        <v>184</v>
      </c>
      <c r="BI800" s="15" t="s">
        <v>185</v>
      </c>
      <c r="BJ800" s="15" t="s">
        <v>2351</v>
      </c>
      <c r="BK800" s="15" t="s">
        <v>2352</v>
      </c>
      <c r="BL800" s="15" t="s">
        <v>2353</v>
      </c>
      <c r="BM800" s="15" t="s">
        <v>2354</v>
      </c>
      <c r="BN800" s="15" t="s">
        <v>2355</v>
      </c>
      <c r="BO800" s="15" t="s">
        <v>2356</v>
      </c>
      <c r="BR800" s="15" t="s">
        <v>192</v>
      </c>
      <c r="BS800" s="15" t="s">
        <v>193</v>
      </c>
      <c r="BT800" s="15" t="s">
        <v>194</v>
      </c>
      <c r="BU800" s="15" t="s">
        <v>195</v>
      </c>
      <c r="BV800" s="15" t="s">
        <v>196</v>
      </c>
      <c r="BW800" s="15" t="s">
        <v>196</v>
      </c>
      <c r="CA800" s="15" t="s">
        <v>2357</v>
      </c>
      <c r="CB800" s="15" t="s">
        <v>78</v>
      </c>
      <c r="CC800" s="15">
        <v>1</v>
      </c>
      <c r="CN800" s="15" t="s">
        <v>198</v>
      </c>
      <c r="CW800" s="10">
        <v>2</v>
      </c>
      <c r="CX800" s="15" t="s">
        <v>2584</v>
      </c>
    </row>
    <row r="801" spans="1:102" s="15" customFormat="1" x14ac:dyDescent="0.3">
      <c r="A801" s="11" t="s">
        <v>2349</v>
      </c>
      <c r="B801" s="10" t="s">
        <v>993</v>
      </c>
      <c r="C801" s="12" t="s">
        <v>3887</v>
      </c>
      <c r="D801" s="10">
        <v>12</v>
      </c>
      <c r="E801" s="13">
        <v>1000000</v>
      </c>
      <c r="F801" s="14" t="s">
        <v>209</v>
      </c>
      <c r="G801" s="14" t="s">
        <v>210</v>
      </c>
      <c r="H801" s="15" t="s">
        <v>211</v>
      </c>
      <c r="I801" s="8"/>
      <c r="J801" s="10"/>
      <c r="AV801" s="15" t="s">
        <v>212</v>
      </c>
      <c r="AW801" s="15" t="s">
        <v>213</v>
      </c>
      <c r="AX801" s="15" t="s">
        <v>2562</v>
      </c>
      <c r="BH801" s="15" t="s">
        <v>184</v>
      </c>
      <c r="BI801" s="15" t="s">
        <v>185</v>
      </c>
      <c r="BJ801" s="15" t="s">
        <v>2351</v>
      </c>
      <c r="BK801" s="15" t="s">
        <v>2352</v>
      </c>
      <c r="BL801" s="15" t="s">
        <v>2353</v>
      </c>
      <c r="BM801" s="15" t="s">
        <v>2354</v>
      </c>
      <c r="BN801" s="15" t="s">
        <v>2355</v>
      </c>
      <c r="BO801" s="15" t="s">
        <v>2356</v>
      </c>
      <c r="BR801" s="15" t="s">
        <v>192</v>
      </c>
      <c r="BS801" s="15" t="s">
        <v>193</v>
      </c>
      <c r="BT801" s="15" t="s">
        <v>194</v>
      </c>
      <c r="BU801" s="15" t="s">
        <v>195</v>
      </c>
      <c r="BV801" s="15" t="s">
        <v>196</v>
      </c>
      <c r="BW801" s="15" t="s">
        <v>196</v>
      </c>
      <c r="CA801" s="15" t="s">
        <v>2357</v>
      </c>
      <c r="CB801" s="15" t="s">
        <v>78</v>
      </c>
      <c r="CC801" s="15">
        <v>1</v>
      </c>
      <c r="CN801" s="15" t="s">
        <v>198</v>
      </c>
      <c r="CW801" s="10">
        <v>2</v>
      </c>
      <c r="CX801" s="15" t="s">
        <v>2585</v>
      </c>
    </row>
    <row r="802" spans="1:102" s="15" customFormat="1" x14ac:dyDescent="0.3">
      <c r="A802" s="11" t="s">
        <v>2349</v>
      </c>
      <c r="B802" s="10" t="s">
        <v>409</v>
      </c>
      <c r="C802" s="12" t="s">
        <v>3788</v>
      </c>
      <c r="D802" s="10">
        <v>12</v>
      </c>
      <c r="E802" s="13">
        <v>1000000</v>
      </c>
      <c r="F802" s="14" t="s">
        <v>209</v>
      </c>
      <c r="G802" s="14" t="s">
        <v>210</v>
      </c>
      <c r="H802" s="15" t="s">
        <v>211</v>
      </c>
      <c r="I802" s="8"/>
      <c r="J802" s="10"/>
      <c r="AV802" s="15" t="s">
        <v>212</v>
      </c>
      <c r="AW802" s="15" t="s">
        <v>213</v>
      </c>
      <c r="AX802" s="15" t="s">
        <v>2586</v>
      </c>
      <c r="BH802" s="15" t="s">
        <v>184</v>
      </c>
      <c r="BI802" s="15" t="s">
        <v>185</v>
      </c>
      <c r="BJ802" s="15" t="s">
        <v>2351</v>
      </c>
      <c r="BK802" s="15" t="s">
        <v>2352</v>
      </c>
      <c r="BL802" s="15" t="s">
        <v>2353</v>
      </c>
      <c r="BM802" s="15" t="s">
        <v>2354</v>
      </c>
      <c r="BN802" s="15" t="s">
        <v>2355</v>
      </c>
      <c r="BO802" s="15" t="s">
        <v>2356</v>
      </c>
      <c r="BR802" s="15" t="s">
        <v>192</v>
      </c>
      <c r="BS802" s="15" t="s">
        <v>193</v>
      </c>
      <c r="BT802" s="15" t="s">
        <v>194</v>
      </c>
      <c r="BU802" s="15" t="s">
        <v>195</v>
      </c>
      <c r="BV802" s="15" t="s">
        <v>196</v>
      </c>
      <c r="BW802" s="15" t="s">
        <v>196</v>
      </c>
      <c r="CA802" s="15" t="s">
        <v>2357</v>
      </c>
      <c r="CB802" s="15" t="s">
        <v>78</v>
      </c>
      <c r="CC802" s="15">
        <v>1</v>
      </c>
      <c r="CN802" s="15" t="s">
        <v>198</v>
      </c>
      <c r="CW802" s="10">
        <v>2</v>
      </c>
      <c r="CX802" s="15" t="s">
        <v>2587</v>
      </c>
    </row>
    <row r="803" spans="1:102" s="15" customFormat="1" x14ac:dyDescent="0.3">
      <c r="A803" s="11" t="s">
        <v>2349</v>
      </c>
      <c r="B803" s="10" t="s">
        <v>415</v>
      </c>
      <c r="C803" s="12" t="s">
        <v>3790</v>
      </c>
      <c r="D803" s="10">
        <v>12</v>
      </c>
      <c r="E803" s="13">
        <v>1000000</v>
      </c>
      <c r="F803" s="14" t="s">
        <v>209</v>
      </c>
      <c r="G803" s="14" t="s">
        <v>210</v>
      </c>
      <c r="H803" s="15" t="s">
        <v>254</v>
      </c>
      <c r="I803" s="8"/>
      <c r="J803" s="10"/>
      <c r="AV803" s="15" t="s">
        <v>212</v>
      </c>
      <c r="AW803" s="15" t="s">
        <v>213</v>
      </c>
      <c r="AX803" s="15" t="s">
        <v>2588</v>
      </c>
      <c r="BH803" s="15" t="s">
        <v>184</v>
      </c>
      <c r="BI803" s="15" t="s">
        <v>185</v>
      </c>
      <c r="BJ803" s="15" t="s">
        <v>2351</v>
      </c>
      <c r="BK803" s="15" t="s">
        <v>2352</v>
      </c>
      <c r="BL803" s="15" t="s">
        <v>2353</v>
      </c>
      <c r="BM803" s="15" t="s">
        <v>2354</v>
      </c>
      <c r="BN803" s="15" t="s">
        <v>2355</v>
      </c>
      <c r="BO803" s="15" t="s">
        <v>2356</v>
      </c>
      <c r="BR803" s="15" t="s">
        <v>192</v>
      </c>
      <c r="BS803" s="15" t="s">
        <v>193</v>
      </c>
      <c r="BT803" s="15" t="s">
        <v>194</v>
      </c>
      <c r="BU803" s="15" t="s">
        <v>195</v>
      </c>
      <c r="BV803" s="15" t="s">
        <v>196</v>
      </c>
      <c r="BW803" s="15" t="s">
        <v>196</v>
      </c>
      <c r="CA803" s="15" t="s">
        <v>2357</v>
      </c>
      <c r="CB803" s="15" t="s">
        <v>78</v>
      </c>
      <c r="CC803" s="15">
        <v>1</v>
      </c>
      <c r="CN803" s="15" t="s">
        <v>198</v>
      </c>
      <c r="CW803" s="10">
        <v>2</v>
      </c>
      <c r="CX803" s="15" t="s">
        <v>2589</v>
      </c>
    </row>
    <row r="804" spans="1:102" s="15" customFormat="1" x14ac:dyDescent="0.3">
      <c r="A804" s="11" t="s">
        <v>2349</v>
      </c>
      <c r="B804" s="10" t="s">
        <v>844</v>
      </c>
      <c r="C804" s="12" t="s">
        <v>3852</v>
      </c>
      <c r="D804" s="10">
        <v>12</v>
      </c>
      <c r="E804" s="13">
        <v>100000</v>
      </c>
      <c r="F804" s="14" t="s">
        <v>243</v>
      </c>
      <c r="G804" s="14" t="s">
        <v>244</v>
      </c>
      <c r="H804" s="15" t="s">
        <v>211</v>
      </c>
      <c r="I804" s="8"/>
      <c r="J804" s="10"/>
      <c r="AV804" s="15" t="s">
        <v>181</v>
      </c>
      <c r="AW804" s="15" t="s">
        <v>182</v>
      </c>
      <c r="AX804" s="15" t="s">
        <v>2590</v>
      </c>
      <c r="BH804" s="15" t="s">
        <v>184</v>
      </c>
      <c r="BI804" s="15" t="s">
        <v>185</v>
      </c>
      <c r="BJ804" s="15" t="s">
        <v>2351</v>
      </c>
      <c r="BK804" s="15" t="s">
        <v>2352</v>
      </c>
      <c r="BL804" s="15" t="s">
        <v>2353</v>
      </c>
      <c r="BM804" s="15" t="s">
        <v>2354</v>
      </c>
      <c r="BN804" s="15" t="s">
        <v>2355</v>
      </c>
      <c r="BO804" s="15" t="s">
        <v>2356</v>
      </c>
      <c r="BR804" s="15" t="s">
        <v>192</v>
      </c>
      <c r="BS804" s="15" t="s">
        <v>193</v>
      </c>
      <c r="BT804" s="15" t="s">
        <v>194</v>
      </c>
      <c r="BU804" s="15" t="s">
        <v>195</v>
      </c>
      <c r="BV804" s="15" t="s">
        <v>196</v>
      </c>
      <c r="BW804" s="15" t="s">
        <v>251</v>
      </c>
      <c r="CA804" s="15" t="s">
        <v>2357</v>
      </c>
      <c r="CB804" s="15" t="s">
        <v>78</v>
      </c>
      <c r="CC804" s="15">
        <v>1</v>
      </c>
      <c r="CN804" s="15" t="s">
        <v>198</v>
      </c>
      <c r="CW804" s="10">
        <v>2</v>
      </c>
      <c r="CX804" s="15" t="s">
        <v>2591</v>
      </c>
    </row>
    <row r="805" spans="1:102" s="15" customFormat="1" x14ac:dyDescent="0.3">
      <c r="A805" s="11" t="s">
        <v>2349</v>
      </c>
      <c r="B805" s="10" t="s">
        <v>928</v>
      </c>
      <c r="C805" s="12" t="s">
        <v>3874</v>
      </c>
      <c r="D805" s="10">
        <v>12</v>
      </c>
      <c r="E805" s="13">
        <v>1000000</v>
      </c>
      <c r="F805" s="14" t="s">
        <v>209</v>
      </c>
      <c r="G805" s="14" t="s">
        <v>210</v>
      </c>
      <c r="H805" s="15" t="s">
        <v>211</v>
      </c>
      <c r="I805" s="8"/>
      <c r="J805" s="10"/>
      <c r="AV805" s="15" t="s">
        <v>212</v>
      </c>
      <c r="AW805" s="15" t="s">
        <v>213</v>
      </c>
      <c r="AX805" s="15" t="s">
        <v>2355</v>
      </c>
      <c r="BH805" s="15" t="s">
        <v>184</v>
      </c>
      <c r="BI805" s="15" t="s">
        <v>185</v>
      </c>
      <c r="BJ805" s="15" t="s">
        <v>2351</v>
      </c>
      <c r="BK805" s="15" t="s">
        <v>2352</v>
      </c>
      <c r="BL805" s="15" t="s">
        <v>2353</v>
      </c>
      <c r="BM805" s="15" t="s">
        <v>2354</v>
      </c>
      <c r="BN805" s="15" t="s">
        <v>2355</v>
      </c>
      <c r="BO805" s="15" t="s">
        <v>2356</v>
      </c>
      <c r="BR805" s="15" t="s">
        <v>192</v>
      </c>
      <c r="BS805" s="15" t="s">
        <v>193</v>
      </c>
      <c r="BT805" s="15" t="s">
        <v>194</v>
      </c>
      <c r="BU805" s="15" t="s">
        <v>195</v>
      </c>
      <c r="BV805" s="15" t="s">
        <v>196</v>
      </c>
      <c r="BW805" s="15" t="s">
        <v>196</v>
      </c>
      <c r="CA805" s="15" t="s">
        <v>2357</v>
      </c>
      <c r="CB805" s="15" t="s">
        <v>78</v>
      </c>
      <c r="CC805" s="15">
        <v>1</v>
      </c>
      <c r="CN805" s="15" t="s">
        <v>929</v>
      </c>
      <c r="CW805" s="10">
        <v>2</v>
      </c>
      <c r="CX805" s="15" t="s">
        <v>2592</v>
      </c>
    </row>
    <row r="806" spans="1:102" s="15" customFormat="1" x14ac:dyDescent="0.3">
      <c r="A806" s="11" t="s">
        <v>2349</v>
      </c>
      <c r="B806" s="10" t="s">
        <v>752</v>
      </c>
      <c r="C806" s="12" t="s">
        <v>3834</v>
      </c>
      <c r="D806" s="10">
        <v>12</v>
      </c>
      <c r="E806" s="13">
        <v>1000000</v>
      </c>
      <c r="F806" s="14" t="s">
        <v>209</v>
      </c>
      <c r="G806" s="14" t="s">
        <v>210</v>
      </c>
      <c r="H806" s="15" t="s">
        <v>211</v>
      </c>
      <c r="I806" s="8"/>
      <c r="J806" s="10"/>
      <c r="AV806" s="15" t="s">
        <v>212</v>
      </c>
      <c r="AW806" s="15" t="s">
        <v>213</v>
      </c>
      <c r="AX806" s="15" t="s">
        <v>2354</v>
      </c>
      <c r="BH806" s="15" t="s">
        <v>184</v>
      </c>
      <c r="BI806" s="15" t="s">
        <v>185</v>
      </c>
      <c r="BJ806" s="15" t="s">
        <v>2351</v>
      </c>
      <c r="BK806" s="15" t="s">
        <v>2352</v>
      </c>
      <c r="BL806" s="15" t="s">
        <v>2353</v>
      </c>
      <c r="BM806" s="15" t="s">
        <v>2354</v>
      </c>
      <c r="BN806" s="15" t="s">
        <v>2355</v>
      </c>
      <c r="BO806" s="15" t="s">
        <v>2356</v>
      </c>
      <c r="BR806" s="15" t="s">
        <v>192</v>
      </c>
      <c r="BS806" s="15" t="s">
        <v>193</v>
      </c>
      <c r="BT806" s="15" t="s">
        <v>194</v>
      </c>
      <c r="BU806" s="15" t="s">
        <v>195</v>
      </c>
      <c r="BV806" s="15" t="s">
        <v>196</v>
      </c>
      <c r="BW806" s="15" t="s">
        <v>196</v>
      </c>
      <c r="CA806" s="15" t="s">
        <v>2357</v>
      </c>
      <c r="CB806" s="15" t="s">
        <v>78</v>
      </c>
      <c r="CC806" s="15">
        <v>1</v>
      </c>
      <c r="CN806" s="15" t="s">
        <v>753</v>
      </c>
      <c r="CW806" s="10">
        <v>2</v>
      </c>
      <c r="CX806" s="15" t="s">
        <v>2593</v>
      </c>
    </row>
    <row r="807" spans="1:102" s="15" customFormat="1" x14ac:dyDescent="0.3">
      <c r="A807" s="11" t="s">
        <v>2349</v>
      </c>
      <c r="B807" s="10" t="s">
        <v>931</v>
      </c>
      <c r="C807" s="12" t="s">
        <v>3875</v>
      </c>
      <c r="D807" s="10">
        <v>12</v>
      </c>
      <c r="E807" s="13">
        <v>2000000</v>
      </c>
      <c r="F807" s="14" t="s">
        <v>209</v>
      </c>
      <c r="G807" s="14" t="s">
        <v>210</v>
      </c>
      <c r="H807" s="15" t="s">
        <v>211</v>
      </c>
      <c r="I807" s="8"/>
      <c r="J807" s="10"/>
      <c r="AV807" s="15" t="s">
        <v>212</v>
      </c>
      <c r="AW807" s="15" t="s">
        <v>213</v>
      </c>
      <c r="AX807" s="15" t="s">
        <v>2353</v>
      </c>
      <c r="BH807" s="15" t="s">
        <v>184</v>
      </c>
      <c r="BI807" s="15" t="s">
        <v>185</v>
      </c>
      <c r="BJ807" s="15" t="s">
        <v>2351</v>
      </c>
      <c r="BK807" s="15" t="s">
        <v>2352</v>
      </c>
      <c r="BL807" s="15" t="s">
        <v>2353</v>
      </c>
      <c r="BM807" s="15" t="s">
        <v>2354</v>
      </c>
      <c r="BN807" s="15" t="s">
        <v>2355</v>
      </c>
      <c r="BO807" s="15" t="s">
        <v>2356</v>
      </c>
      <c r="BR807" s="15" t="s">
        <v>192</v>
      </c>
      <c r="BS807" s="15" t="s">
        <v>193</v>
      </c>
      <c r="BT807" s="15" t="s">
        <v>194</v>
      </c>
      <c r="BU807" s="15" t="s">
        <v>195</v>
      </c>
      <c r="BV807" s="15" t="s">
        <v>196</v>
      </c>
      <c r="BW807" s="15" t="s">
        <v>196</v>
      </c>
      <c r="CA807" s="15" t="s">
        <v>2357</v>
      </c>
      <c r="CB807" s="15" t="s">
        <v>78</v>
      </c>
      <c r="CC807" s="15">
        <v>1</v>
      </c>
      <c r="CN807" s="15" t="s">
        <v>932</v>
      </c>
      <c r="CW807" s="10">
        <v>2</v>
      </c>
      <c r="CX807" s="15" t="s">
        <v>2594</v>
      </c>
    </row>
    <row r="808" spans="1:102" s="15" customFormat="1" x14ac:dyDescent="0.3">
      <c r="A808" s="11" t="s">
        <v>2349</v>
      </c>
      <c r="B808" s="10" t="s">
        <v>934</v>
      </c>
      <c r="C808" s="12" t="s">
        <v>3876</v>
      </c>
      <c r="D808" s="10">
        <v>12</v>
      </c>
      <c r="E808" s="13">
        <v>10000000</v>
      </c>
      <c r="F808" s="14" t="s">
        <v>209</v>
      </c>
      <c r="G808" s="14" t="s">
        <v>210</v>
      </c>
      <c r="H808" s="15" t="s">
        <v>254</v>
      </c>
      <c r="I808" s="8"/>
      <c r="J808" s="10"/>
      <c r="AV808" s="15" t="s">
        <v>212</v>
      </c>
      <c r="AW808" s="15" t="s">
        <v>213</v>
      </c>
      <c r="AX808" s="15" t="s">
        <v>2595</v>
      </c>
      <c r="BH808" s="15" t="s">
        <v>184</v>
      </c>
      <c r="BI808" s="15" t="s">
        <v>185</v>
      </c>
      <c r="BJ808" s="15" t="s">
        <v>2351</v>
      </c>
      <c r="BK808" s="15" t="s">
        <v>2352</v>
      </c>
      <c r="BL808" s="15" t="s">
        <v>2353</v>
      </c>
      <c r="BM808" s="15" t="s">
        <v>2354</v>
      </c>
      <c r="BN808" s="15" t="s">
        <v>2355</v>
      </c>
      <c r="BO808" s="15" t="s">
        <v>2356</v>
      </c>
      <c r="BR808" s="15" t="s">
        <v>192</v>
      </c>
      <c r="BS808" s="15" t="s">
        <v>193</v>
      </c>
      <c r="BT808" s="15" t="s">
        <v>194</v>
      </c>
      <c r="BU808" s="15" t="s">
        <v>195</v>
      </c>
      <c r="BV808" s="15" t="s">
        <v>196</v>
      </c>
      <c r="BW808" s="15" t="s">
        <v>196</v>
      </c>
      <c r="CA808" s="15" t="s">
        <v>2357</v>
      </c>
      <c r="CB808" s="15" t="s">
        <v>78</v>
      </c>
      <c r="CC808" s="15">
        <v>1</v>
      </c>
      <c r="CN808" s="15" t="s">
        <v>198</v>
      </c>
      <c r="CW808" s="10">
        <v>2</v>
      </c>
      <c r="CX808" s="15" t="s">
        <v>2596</v>
      </c>
    </row>
    <row r="809" spans="1:102" s="15" customFormat="1" x14ac:dyDescent="0.3">
      <c r="A809" s="11" t="s">
        <v>2349</v>
      </c>
      <c r="B809" s="10" t="s">
        <v>946</v>
      </c>
      <c r="C809" s="12" t="s">
        <v>3880</v>
      </c>
      <c r="D809" s="10">
        <v>12</v>
      </c>
      <c r="E809" s="13">
        <v>1000000</v>
      </c>
      <c r="F809" s="14" t="s">
        <v>209</v>
      </c>
      <c r="G809" s="14" t="s">
        <v>210</v>
      </c>
      <c r="H809" s="15" t="s">
        <v>211</v>
      </c>
      <c r="I809" s="8"/>
      <c r="J809" s="10"/>
      <c r="AV809" s="15" t="s">
        <v>212</v>
      </c>
      <c r="AW809" s="15" t="s">
        <v>213</v>
      </c>
      <c r="AX809" s="15" t="s">
        <v>2597</v>
      </c>
      <c r="BH809" s="15" t="s">
        <v>184</v>
      </c>
      <c r="BI809" s="15" t="s">
        <v>185</v>
      </c>
      <c r="BJ809" s="15" t="s">
        <v>2351</v>
      </c>
      <c r="BK809" s="15" t="s">
        <v>2352</v>
      </c>
      <c r="BL809" s="15" t="s">
        <v>2353</v>
      </c>
      <c r="BM809" s="15" t="s">
        <v>2354</v>
      </c>
      <c r="BN809" s="15" t="s">
        <v>2355</v>
      </c>
      <c r="BO809" s="15" t="s">
        <v>2356</v>
      </c>
      <c r="BR809" s="15" t="s">
        <v>192</v>
      </c>
      <c r="BS809" s="15" t="s">
        <v>193</v>
      </c>
      <c r="BT809" s="15" t="s">
        <v>194</v>
      </c>
      <c r="BU809" s="15" t="s">
        <v>195</v>
      </c>
      <c r="BV809" s="15" t="s">
        <v>196</v>
      </c>
      <c r="BW809" s="15" t="s">
        <v>196</v>
      </c>
      <c r="CA809" s="15" t="s">
        <v>2357</v>
      </c>
      <c r="CB809" s="15" t="s">
        <v>78</v>
      </c>
      <c r="CC809" s="15">
        <v>1</v>
      </c>
      <c r="CN809" s="15" t="s">
        <v>198</v>
      </c>
      <c r="CW809" s="10">
        <v>2</v>
      </c>
      <c r="CX809" s="15" t="s">
        <v>2598</v>
      </c>
    </row>
    <row r="810" spans="1:102" s="15" customFormat="1" x14ac:dyDescent="0.3">
      <c r="A810" s="11" t="s">
        <v>2349</v>
      </c>
      <c r="B810" s="10" t="s">
        <v>955</v>
      </c>
      <c r="C810" s="12" t="s">
        <v>956</v>
      </c>
      <c r="D810" s="10">
        <v>12</v>
      </c>
      <c r="E810" s="13">
        <v>100000</v>
      </c>
      <c r="F810" s="14" t="s">
        <v>210</v>
      </c>
      <c r="G810" s="14" t="s">
        <v>210</v>
      </c>
      <c r="H810" s="15" t="s">
        <v>957</v>
      </c>
      <c r="I810" s="8"/>
      <c r="J810" s="10"/>
      <c r="AW810" s="15" t="s">
        <v>128</v>
      </c>
      <c r="AX810" s="15" t="s">
        <v>2599</v>
      </c>
      <c r="BH810" s="15" t="s">
        <v>184</v>
      </c>
      <c r="BI810" s="15" t="s">
        <v>185</v>
      </c>
      <c r="BJ810" s="15" t="s">
        <v>2351</v>
      </c>
      <c r="BK810" s="15" t="s">
        <v>2352</v>
      </c>
      <c r="BL810" s="15" t="s">
        <v>2353</v>
      </c>
      <c r="BM810" s="15" t="s">
        <v>2354</v>
      </c>
      <c r="BN810" s="15" t="s">
        <v>2355</v>
      </c>
      <c r="BO810" s="15" t="s">
        <v>2356</v>
      </c>
      <c r="BR810" s="15" t="s">
        <v>192</v>
      </c>
      <c r="BS810" s="15" t="s">
        <v>193</v>
      </c>
      <c r="BT810" s="15" t="s">
        <v>194</v>
      </c>
      <c r="BU810" s="15" t="s">
        <v>195</v>
      </c>
      <c r="BV810" s="15" t="s">
        <v>196</v>
      </c>
      <c r="BW810" s="15" t="s">
        <v>196</v>
      </c>
      <c r="CB810" s="15" t="s">
        <v>128</v>
      </c>
      <c r="CC810" s="15">
        <v>1</v>
      </c>
      <c r="CN810" s="15" t="s">
        <v>198</v>
      </c>
      <c r="CW810" s="10">
        <v>2</v>
      </c>
      <c r="CX810" s="15" t="s">
        <v>2600</v>
      </c>
    </row>
    <row r="811" spans="1:102" s="15" customFormat="1" x14ac:dyDescent="0.3">
      <c r="A811" s="11" t="s">
        <v>2349</v>
      </c>
      <c r="B811" s="10" t="s">
        <v>700</v>
      </c>
      <c r="C811" s="12" t="s">
        <v>3822</v>
      </c>
      <c r="D811" s="10">
        <v>12</v>
      </c>
      <c r="E811" s="13">
        <v>500000</v>
      </c>
      <c r="F811" s="14" t="s">
        <v>243</v>
      </c>
      <c r="G811" s="14" t="s">
        <v>244</v>
      </c>
      <c r="H811" s="15" t="s">
        <v>402</v>
      </c>
      <c r="I811" s="8"/>
      <c r="J811" s="10"/>
      <c r="AV811" s="15" t="s">
        <v>181</v>
      </c>
      <c r="AW811" s="15" t="s">
        <v>182</v>
      </c>
      <c r="AX811" s="15" t="s">
        <v>2601</v>
      </c>
      <c r="BH811" s="15" t="s">
        <v>184</v>
      </c>
      <c r="BI811" s="15" t="s">
        <v>185</v>
      </c>
      <c r="BJ811" s="15" t="s">
        <v>2351</v>
      </c>
      <c r="BK811" s="15" t="s">
        <v>2352</v>
      </c>
      <c r="BL811" s="15" t="s">
        <v>2353</v>
      </c>
      <c r="BM811" s="15" t="s">
        <v>2354</v>
      </c>
      <c r="BN811" s="15" t="s">
        <v>2355</v>
      </c>
      <c r="BO811" s="15" t="s">
        <v>2356</v>
      </c>
      <c r="BR811" s="15" t="s">
        <v>192</v>
      </c>
      <c r="BS811" s="15" t="s">
        <v>193</v>
      </c>
      <c r="BT811" s="15" t="s">
        <v>194</v>
      </c>
      <c r="BU811" s="15" t="s">
        <v>195</v>
      </c>
      <c r="BV811" s="15" t="s">
        <v>196</v>
      </c>
      <c r="BW811" s="15" t="s">
        <v>196</v>
      </c>
      <c r="CA811" s="15" t="s">
        <v>2357</v>
      </c>
      <c r="CB811" s="15" t="s">
        <v>78</v>
      </c>
      <c r="CC811" s="15">
        <v>1</v>
      </c>
      <c r="CN811" s="15" t="s">
        <v>198</v>
      </c>
      <c r="CW811" s="10">
        <v>2</v>
      </c>
      <c r="CX811" s="15" t="s">
        <v>2602</v>
      </c>
    </row>
    <row r="812" spans="1:102" s="15" customFormat="1" x14ac:dyDescent="0.3">
      <c r="A812" s="11" t="s">
        <v>2349</v>
      </c>
      <c r="B812" s="10" t="s">
        <v>624</v>
      </c>
      <c r="C812" s="12" t="s">
        <v>3810</v>
      </c>
      <c r="D812" s="10">
        <v>12</v>
      </c>
      <c r="E812" s="13">
        <v>100000</v>
      </c>
      <c r="F812" s="14" t="s">
        <v>209</v>
      </c>
      <c r="G812" s="14" t="s">
        <v>210</v>
      </c>
      <c r="H812" s="15" t="s">
        <v>211</v>
      </c>
      <c r="I812" s="8"/>
      <c r="J812" s="10"/>
      <c r="AV812" s="15" t="s">
        <v>212</v>
      </c>
      <c r="AW812" s="15" t="s">
        <v>213</v>
      </c>
      <c r="AX812" s="15" t="s">
        <v>2603</v>
      </c>
      <c r="BH812" s="15" t="s">
        <v>184</v>
      </c>
      <c r="BI812" s="15" t="s">
        <v>185</v>
      </c>
      <c r="BJ812" s="15" t="s">
        <v>2351</v>
      </c>
      <c r="BK812" s="15" t="s">
        <v>2352</v>
      </c>
      <c r="BL812" s="15" t="s">
        <v>2353</v>
      </c>
      <c r="BM812" s="15" t="s">
        <v>2354</v>
      </c>
      <c r="BN812" s="15" t="s">
        <v>2355</v>
      </c>
      <c r="BO812" s="15" t="s">
        <v>2356</v>
      </c>
      <c r="BR812" s="15" t="s">
        <v>192</v>
      </c>
      <c r="BS812" s="15" t="s">
        <v>193</v>
      </c>
      <c r="BT812" s="15" t="s">
        <v>194</v>
      </c>
      <c r="BU812" s="15" t="s">
        <v>195</v>
      </c>
      <c r="BV812" s="15" t="s">
        <v>196</v>
      </c>
      <c r="BW812" s="15" t="s">
        <v>196</v>
      </c>
      <c r="CA812" s="15" t="s">
        <v>2357</v>
      </c>
      <c r="CB812" s="15" t="s">
        <v>78</v>
      </c>
      <c r="CC812" s="15">
        <v>1</v>
      </c>
      <c r="CN812" s="15" t="s">
        <v>198</v>
      </c>
      <c r="CW812" s="10">
        <v>2</v>
      </c>
      <c r="CX812" s="15" t="s">
        <v>2604</v>
      </c>
    </row>
    <row r="813" spans="1:102" s="15" customFormat="1" x14ac:dyDescent="0.3">
      <c r="A813" s="11" t="s">
        <v>2349</v>
      </c>
      <c r="B813" s="10" t="s">
        <v>703</v>
      </c>
      <c r="C813" s="12" t="s">
        <v>3823</v>
      </c>
      <c r="D813" s="10">
        <v>12</v>
      </c>
      <c r="E813" s="13">
        <v>100000</v>
      </c>
      <c r="F813" s="14" t="s">
        <v>209</v>
      </c>
      <c r="G813" s="14" t="s">
        <v>210</v>
      </c>
      <c r="H813" s="15" t="s">
        <v>211</v>
      </c>
      <c r="I813" s="8"/>
      <c r="J813" s="10"/>
      <c r="AV813" s="15" t="s">
        <v>212</v>
      </c>
      <c r="AW813" s="15" t="s">
        <v>213</v>
      </c>
      <c r="AX813" s="15" t="s">
        <v>2605</v>
      </c>
      <c r="BH813" s="15" t="s">
        <v>184</v>
      </c>
      <c r="BI813" s="15" t="s">
        <v>185</v>
      </c>
      <c r="BJ813" s="15" t="s">
        <v>2351</v>
      </c>
      <c r="BK813" s="15" t="s">
        <v>2352</v>
      </c>
      <c r="BL813" s="15" t="s">
        <v>2353</v>
      </c>
      <c r="BM813" s="15" t="s">
        <v>2354</v>
      </c>
      <c r="BN813" s="15" t="s">
        <v>2355</v>
      </c>
      <c r="BO813" s="15" t="s">
        <v>2356</v>
      </c>
      <c r="BR813" s="15" t="s">
        <v>192</v>
      </c>
      <c r="BS813" s="15" t="s">
        <v>193</v>
      </c>
      <c r="BT813" s="15" t="s">
        <v>194</v>
      </c>
      <c r="BU813" s="15" t="s">
        <v>195</v>
      </c>
      <c r="BV813" s="15" t="s">
        <v>196</v>
      </c>
      <c r="BW813" s="15" t="s">
        <v>196</v>
      </c>
      <c r="CA813" s="15" t="s">
        <v>2357</v>
      </c>
      <c r="CB813" s="15" t="s">
        <v>78</v>
      </c>
      <c r="CC813" s="15">
        <v>1</v>
      </c>
      <c r="CN813" s="15" t="s">
        <v>198</v>
      </c>
      <c r="CW813" s="10">
        <v>2</v>
      </c>
      <c r="CX813" s="15" t="s">
        <v>2606</v>
      </c>
    </row>
    <row r="814" spans="1:102" s="15" customFormat="1" x14ac:dyDescent="0.3">
      <c r="A814" s="11" t="s">
        <v>2349</v>
      </c>
      <c r="B814" s="10" t="s">
        <v>680</v>
      </c>
      <c r="C814" s="12" t="s">
        <v>3635</v>
      </c>
      <c r="D814" s="10">
        <v>12</v>
      </c>
      <c r="E814" s="13">
        <v>100000</v>
      </c>
      <c r="F814" s="14" t="s">
        <v>209</v>
      </c>
      <c r="G814" s="14" t="s">
        <v>210</v>
      </c>
      <c r="H814" s="15" t="s">
        <v>211</v>
      </c>
      <c r="I814" s="8"/>
      <c r="J814" s="10"/>
      <c r="AV814" s="15" t="s">
        <v>212</v>
      </c>
      <c r="AW814" s="15" t="s">
        <v>213</v>
      </c>
      <c r="AX814" s="15" t="s">
        <v>2607</v>
      </c>
      <c r="BH814" s="15" t="s">
        <v>184</v>
      </c>
      <c r="BI814" s="15" t="s">
        <v>185</v>
      </c>
      <c r="BJ814" s="15" t="s">
        <v>2351</v>
      </c>
      <c r="BK814" s="15" t="s">
        <v>2352</v>
      </c>
      <c r="BL814" s="15" t="s">
        <v>2353</v>
      </c>
      <c r="BM814" s="15" t="s">
        <v>2354</v>
      </c>
      <c r="BN814" s="15" t="s">
        <v>2355</v>
      </c>
      <c r="BO814" s="15" t="s">
        <v>2356</v>
      </c>
      <c r="BR814" s="15" t="s">
        <v>192</v>
      </c>
      <c r="BS814" s="15" t="s">
        <v>193</v>
      </c>
      <c r="BT814" s="15" t="s">
        <v>194</v>
      </c>
      <c r="BU814" s="15" t="s">
        <v>195</v>
      </c>
      <c r="BV814" s="15" t="s">
        <v>196</v>
      </c>
      <c r="BW814" s="15" t="s">
        <v>196</v>
      </c>
      <c r="CA814" s="15" t="s">
        <v>2357</v>
      </c>
      <c r="CB814" s="15" t="s">
        <v>78</v>
      </c>
      <c r="CC814" s="15">
        <v>1</v>
      </c>
      <c r="CN814" s="15" t="s">
        <v>198</v>
      </c>
      <c r="CW814" s="10">
        <v>2</v>
      </c>
      <c r="CX814" s="15" t="s">
        <v>2608</v>
      </c>
    </row>
    <row r="815" spans="1:102" s="15" customFormat="1" x14ac:dyDescent="0.3">
      <c r="A815" s="11" t="s">
        <v>2349</v>
      </c>
      <c r="B815" s="10" t="s">
        <v>1002</v>
      </c>
      <c r="C815" s="12" t="s">
        <v>3890</v>
      </c>
      <c r="D815" s="10">
        <v>12</v>
      </c>
      <c r="E815" s="13">
        <v>100000</v>
      </c>
      <c r="F815" s="14" t="s">
        <v>209</v>
      </c>
      <c r="G815" s="14" t="s">
        <v>210</v>
      </c>
      <c r="H815" s="15" t="s">
        <v>254</v>
      </c>
      <c r="I815" s="8"/>
      <c r="J815" s="10"/>
      <c r="AV815" s="15" t="s">
        <v>212</v>
      </c>
      <c r="AW815" s="15" t="s">
        <v>213</v>
      </c>
      <c r="AX815" s="15" t="s">
        <v>2609</v>
      </c>
      <c r="BH815" s="15" t="s">
        <v>184</v>
      </c>
      <c r="BI815" s="15" t="s">
        <v>185</v>
      </c>
      <c r="BJ815" s="15" t="s">
        <v>2351</v>
      </c>
      <c r="BK815" s="15" t="s">
        <v>2352</v>
      </c>
      <c r="BL815" s="15" t="s">
        <v>2353</v>
      </c>
      <c r="BM815" s="15" t="s">
        <v>2354</v>
      </c>
      <c r="BN815" s="15" t="s">
        <v>2355</v>
      </c>
      <c r="BO815" s="15" t="s">
        <v>2356</v>
      </c>
      <c r="BR815" s="15" t="s">
        <v>192</v>
      </c>
      <c r="BS815" s="15" t="s">
        <v>193</v>
      </c>
      <c r="BT815" s="15" t="s">
        <v>194</v>
      </c>
      <c r="BU815" s="15" t="s">
        <v>195</v>
      </c>
      <c r="BV815" s="15" t="s">
        <v>196</v>
      </c>
      <c r="BW815" s="15" t="s">
        <v>196</v>
      </c>
      <c r="CA815" s="15" t="s">
        <v>2357</v>
      </c>
      <c r="CB815" s="15" t="s">
        <v>78</v>
      </c>
      <c r="CC815" s="15">
        <v>1</v>
      </c>
      <c r="CN815" s="15" t="s">
        <v>198</v>
      </c>
      <c r="CW815" s="10">
        <v>2</v>
      </c>
      <c r="CX815" s="15" t="s">
        <v>2610</v>
      </c>
    </row>
    <row r="816" spans="1:102" s="15" customFormat="1" x14ac:dyDescent="0.3">
      <c r="A816" s="11" t="s">
        <v>2349</v>
      </c>
      <c r="B816" s="10" t="s">
        <v>1052</v>
      </c>
      <c r="C816" s="12" t="s">
        <v>3906</v>
      </c>
      <c r="D816" s="10">
        <v>12</v>
      </c>
      <c r="E816" s="13">
        <v>100000</v>
      </c>
      <c r="F816" s="14" t="s">
        <v>209</v>
      </c>
      <c r="G816" s="14" t="s">
        <v>210</v>
      </c>
      <c r="H816" s="15" t="s">
        <v>211</v>
      </c>
      <c r="I816" s="8"/>
      <c r="J816" s="10"/>
      <c r="AV816" s="15" t="s">
        <v>212</v>
      </c>
      <c r="AW816" s="15" t="s">
        <v>213</v>
      </c>
      <c r="AX816" s="15" t="s">
        <v>2611</v>
      </c>
      <c r="BH816" s="15" t="s">
        <v>184</v>
      </c>
      <c r="BI816" s="15" t="s">
        <v>185</v>
      </c>
      <c r="BJ816" s="15" t="s">
        <v>2351</v>
      </c>
      <c r="BK816" s="15" t="s">
        <v>2352</v>
      </c>
      <c r="BL816" s="15" t="s">
        <v>2353</v>
      </c>
      <c r="BM816" s="15" t="s">
        <v>2354</v>
      </c>
      <c r="BN816" s="15" t="s">
        <v>2355</v>
      </c>
      <c r="BO816" s="15" t="s">
        <v>2356</v>
      </c>
      <c r="BR816" s="15" t="s">
        <v>192</v>
      </c>
      <c r="BS816" s="15" t="s">
        <v>193</v>
      </c>
      <c r="BT816" s="15" t="s">
        <v>194</v>
      </c>
      <c r="BU816" s="15" t="s">
        <v>195</v>
      </c>
      <c r="BV816" s="15" t="s">
        <v>196</v>
      </c>
      <c r="BW816" s="15" t="s">
        <v>196</v>
      </c>
      <c r="CA816" s="15" t="s">
        <v>2357</v>
      </c>
      <c r="CB816" s="15" t="s">
        <v>78</v>
      </c>
      <c r="CC816" s="15">
        <v>1</v>
      </c>
      <c r="CN816" s="15" t="s">
        <v>198</v>
      </c>
      <c r="CW816" s="10">
        <v>2</v>
      </c>
      <c r="CX816" s="15" t="s">
        <v>2612</v>
      </c>
    </row>
    <row r="817" spans="1:102" s="15" customFormat="1" x14ac:dyDescent="0.3">
      <c r="A817" s="11" t="s">
        <v>2349</v>
      </c>
      <c r="B817" s="10" t="s">
        <v>1037</v>
      </c>
      <c r="C817" s="12" t="s">
        <v>3901</v>
      </c>
      <c r="D817" s="10">
        <v>12</v>
      </c>
      <c r="E817" s="13">
        <v>1000000</v>
      </c>
      <c r="F817" s="14" t="s">
        <v>209</v>
      </c>
      <c r="G817" s="14" t="s">
        <v>210</v>
      </c>
      <c r="H817" s="15" t="s">
        <v>254</v>
      </c>
      <c r="I817" s="8"/>
      <c r="J817" s="10"/>
      <c r="AV817" s="15" t="s">
        <v>212</v>
      </c>
      <c r="AW817" s="15" t="s">
        <v>213</v>
      </c>
      <c r="AX817" s="15" t="s">
        <v>2613</v>
      </c>
      <c r="BH817" s="15" t="s">
        <v>184</v>
      </c>
      <c r="BI817" s="15" t="s">
        <v>185</v>
      </c>
      <c r="BJ817" s="15" t="s">
        <v>2351</v>
      </c>
      <c r="BK817" s="15" t="s">
        <v>2352</v>
      </c>
      <c r="BL817" s="15" t="s">
        <v>2353</v>
      </c>
      <c r="BM817" s="15" t="s">
        <v>2354</v>
      </c>
      <c r="BN817" s="15" t="s">
        <v>2355</v>
      </c>
      <c r="BO817" s="15" t="s">
        <v>2356</v>
      </c>
      <c r="BR817" s="15" t="s">
        <v>192</v>
      </c>
      <c r="BS817" s="15" t="s">
        <v>193</v>
      </c>
      <c r="BT817" s="15" t="s">
        <v>194</v>
      </c>
      <c r="BU817" s="15" t="s">
        <v>195</v>
      </c>
      <c r="BV817" s="15" t="s">
        <v>196</v>
      </c>
      <c r="BW817" s="15" t="s">
        <v>196</v>
      </c>
      <c r="CA817" s="15" t="s">
        <v>2357</v>
      </c>
      <c r="CB817" s="15" t="s">
        <v>78</v>
      </c>
      <c r="CC817" s="15">
        <v>1</v>
      </c>
      <c r="CN817" s="15" t="s">
        <v>198</v>
      </c>
      <c r="CW817" s="10">
        <v>2</v>
      </c>
      <c r="CX817" s="15" t="s">
        <v>2614</v>
      </c>
    </row>
    <row r="818" spans="1:102" s="15" customFormat="1" x14ac:dyDescent="0.3">
      <c r="A818" s="11" t="s">
        <v>2349</v>
      </c>
      <c r="B818" s="10" t="s">
        <v>1040</v>
      </c>
      <c r="C818" s="12" t="s">
        <v>3902</v>
      </c>
      <c r="D818" s="10">
        <v>12</v>
      </c>
      <c r="E818" s="13">
        <v>1000000</v>
      </c>
      <c r="F818" s="14" t="s">
        <v>209</v>
      </c>
      <c r="G818" s="14" t="s">
        <v>210</v>
      </c>
      <c r="H818" s="15" t="s">
        <v>211</v>
      </c>
      <c r="I818" s="8"/>
      <c r="J818" s="10"/>
      <c r="AV818" s="15" t="s">
        <v>212</v>
      </c>
      <c r="AW818" s="15" t="s">
        <v>213</v>
      </c>
      <c r="AX818" s="15" t="s">
        <v>2615</v>
      </c>
      <c r="BH818" s="15" t="s">
        <v>184</v>
      </c>
      <c r="BI818" s="15" t="s">
        <v>185</v>
      </c>
      <c r="BJ818" s="15" t="s">
        <v>2351</v>
      </c>
      <c r="BK818" s="15" t="s">
        <v>2352</v>
      </c>
      <c r="BL818" s="15" t="s">
        <v>2353</v>
      </c>
      <c r="BM818" s="15" t="s">
        <v>2354</v>
      </c>
      <c r="BN818" s="15" t="s">
        <v>2355</v>
      </c>
      <c r="BO818" s="15" t="s">
        <v>2356</v>
      </c>
      <c r="BR818" s="15" t="s">
        <v>192</v>
      </c>
      <c r="BS818" s="15" t="s">
        <v>193</v>
      </c>
      <c r="BT818" s="15" t="s">
        <v>194</v>
      </c>
      <c r="BU818" s="15" t="s">
        <v>195</v>
      </c>
      <c r="BV818" s="15" t="s">
        <v>196</v>
      </c>
      <c r="BW818" s="15" t="s">
        <v>196</v>
      </c>
      <c r="CA818" s="15" t="s">
        <v>2357</v>
      </c>
      <c r="CB818" s="15" t="s">
        <v>78</v>
      </c>
      <c r="CC818" s="15">
        <v>1</v>
      </c>
      <c r="CN818" s="15" t="s">
        <v>198</v>
      </c>
      <c r="CW818" s="10">
        <v>2</v>
      </c>
      <c r="CX818" s="15" t="s">
        <v>2616</v>
      </c>
    </row>
    <row r="819" spans="1:102" s="15" customFormat="1" x14ac:dyDescent="0.3">
      <c r="A819" s="11" t="s">
        <v>2349</v>
      </c>
      <c r="B819" s="10" t="s">
        <v>1043</v>
      </c>
      <c r="C819" s="12" t="s">
        <v>3903</v>
      </c>
      <c r="D819" s="10">
        <v>12</v>
      </c>
      <c r="E819" s="13">
        <v>1000000</v>
      </c>
      <c r="F819" s="14" t="s">
        <v>209</v>
      </c>
      <c r="G819" s="14" t="s">
        <v>210</v>
      </c>
      <c r="H819" s="15" t="s">
        <v>211</v>
      </c>
      <c r="I819" s="8"/>
      <c r="J819" s="10"/>
      <c r="AV819" s="15" t="s">
        <v>212</v>
      </c>
      <c r="AW819" s="15" t="s">
        <v>213</v>
      </c>
      <c r="AX819" s="15" t="s">
        <v>2617</v>
      </c>
      <c r="BH819" s="15" t="s">
        <v>184</v>
      </c>
      <c r="BI819" s="15" t="s">
        <v>185</v>
      </c>
      <c r="BJ819" s="15" t="s">
        <v>2351</v>
      </c>
      <c r="BK819" s="15" t="s">
        <v>2352</v>
      </c>
      <c r="BL819" s="15" t="s">
        <v>2353</v>
      </c>
      <c r="BM819" s="15" t="s">
        <v>2354</v>
      </c>
      <c r="BN819" s="15" t="s">
        <v>2355</v>
      </c>
      <c r="BO819" s="15" t="s">
        <v>2356</v>
      </c>
      <c r="BR819" s="15" t="s">
        <v>192</v>
      </c>
      <c r="BS819" s="15" t="s">
        <v>193</v>
      </c>
      <c r="BT819" s="15" t="s">
        <v>194</v>
      </c>
      <c r="BU819" s="15" t="s">
        <v>195</v>
      </c>
      <c r="BV819" s="15" t="s">
        <v>196</v>
      </c>
      <c r="BW819" s="15" t="s">
        <v>196</v>
      </c>
      <c r="CA819" s="15" t="s">
        <v>2357</v>
      </c>
      <c r="CB819" s="15" t="s">
        <v>78</v>
      </c>
      <c r="CC819" s="15">
        <v>1</v>
      </c>
      <c r="CN819" s="15" t="s">
        <v>198</v>
      </c>
      <c r="CW819" s="10">
        <v>2</v>
      </c>
      <c r="CX819" s="15" t="s">
        <v>2618</v>
      </c>
    </row>
    <row r="820" spans="1:102" s="15" customFormat="1" x14ac:dyDescent="0.3">
      <c r="A820" s="11" t="s">
        <v>2349</v>
      </c>
      <c r="B820" s="10" t="s">
        <v>677</v>
      </c>
      <c r="C820" s="12" t="s">
        <v>3820</v>
      </c>
      <c r="D820" s="10">
        <v>12</v>
      </c>
      <c r="E820" s="13">
        <v>100000</v>
      </c>
      <c r="F820" s="14" t="s">
        <v>243</v>
      </c>
      <c r="G820" s="14" t="s">
        <v>244</v>
      </c>
      <c r="H820" s="15" t="s">
        <v>402</v>
      </c>
      <c r="I820" s="8"/>
      <c r="J820" s="10"/>
      <c r="AV820" s="15" t="s">
        <v>181</v>
      </c>
      <c r="AW820" s="15" t="s">
        <v>182</v>
      </c>
      <c r="AX820" s="15" t="s">
        <v>2619</v>
      </c>
      <c r="BH820" s="15" t="s">
        <v>184</v>
      </c>
      <c r="BI820" s="15" t="s">
        <v>185</v>
      </c>
      <c r="BJ820" s="15" t="s">
        <v>2351</v>
      </c>
      <c r="BK820" s="15" t="s">
        <v>2352</v>
      </c>
      <c r="BL820" s="15" t="s">
        <v>2353</v>
      </c>
      <c r="BM820" s="15" t="s">
        <v>2354</v>
      </c>
      <c r="BN820" s="15" t="s">
        <v>2355</v>
      </c>
      <c r="BO820" s="15" t="s">
        <v>2356</v>
      </c>
      <c r="BR820" s="15" t="s">
        <v>192</v>
      </c>
      <c r="BS820" s="15" t="s">
        <v>193</v>
      </c>
      <c r="BT820" s="15" t="s">
        <v>194</v>
      </c>
      <c r="BU820" s="15" t="s">
        <v>195</v>
      </c>
      <c r="BV820" s="15" t="s">
        <v>196</v>
      </c>
      <c r="BW820" s="15" t="s">
        <v>251</v>
      </c>
      <c r="CA820" s="15" t="s">
        <v>2357</v>
      </c>
      <c r="CB820" s="15" t="s">
        <v>78</v>
      </c>
      <c r="CC820" s="15">
        <v>1</v>
      </c>
      <c r="CN820" s="15" t="s">
        <v>198</v>
      </c>
      <c r="CW820" s="10">
        <v>2</v>
      </c>
      <c r="CX820" s="15" t="s">
        <v>2620</v>
      </c>
    </row>
    <row r="821" spans="1:102" s="15" customFormat="1" x14ac:dyDescent="0.3">
      <c r="A821" s="11" t="s">
        <v>2349</v>
      </c>
      <c r="B821" s="10" t="s">
        <v>592</v>
      </c>
      <c r="C821" s="12" t="s">
        <v>3802</v>
      </c>
      <c r="D821" s="10">
        <v>12</v>
      </c>
      <c r="E821" s="13">
        <v>100000</v>
      </c>
      <c r="F821" s="14" t="s">
        <v>243</v>
      </c>
      <c r="G821" s="14" t="s">
        <v>244</v>
      </c>
      <c r="H821" s="15" t="s">
        <v>402</v>
      </c>
      <c r="I821" s="8"/>
      <c r="J821" s="10"/>
      <c r="AV821" s="15" t="s">
        <v>181</v>
      </c>
      <c r="AW821" s="15" t="s">
        <v>182</v>
      </c>
      <c r="AX821" s="15" t="s">
        <v>2621</v>
      </c>
      <c r="BH821" s="15" t="s">
        <v>184</v>
      </c>
      <c r="BI821" s="15" t="s">
        <v>185</v>
      </c>
      <c r="BJ821" s="15" t="s">
        <v>2351</v>
      </c>
      <c r="BK821" s="15" t="s">
        <v>2352</v>
      </c>
      <c r="BL821" s="15" t="s">
        <v>2353</v>
      </c>
      <c r="BM821" s="15" t="s">
        <v>2354</v>
      </c>
      <c r="BN821" s="15" t="s">
        <v>2355</v>
      </c>
      <c r="BO821" s="15" t="s">
        <v>2356</v>
      </c>
      <c r="BR821" s="15" t="s">
        <v>192</v>
      </c>
      <c r="BS821" s="15" t="s">
        <v>193</v>
      </c>
      <c r="BT821" s="15" t="s">
        <v>194</v>
      </c>
      <c r="BU821" s="15" t="s">
        <v>195</v>
      </c>
      <c r="BV821" s="15" t="s">
        <v>196</v>
      </c>
      <c r="BW821" s="15" t="s">
        <v>251</v>
      </c>
      <c r="CA821" s="15" t="s">
        <v>2357</v>
      </c>
      <c r="CB821" s="15" t="s">
        <v>78</v>
      </c>
      <c r="CC821" s="15">
        <v>1</v>
      </c>
      <c r="CN821" s="15" t="s">
        <v>198</v>
      </c>
      <c r="CW821" s="10">
        <v>2</v>
      </c>
      <c r="CX821" s="15" t="s">
        <v>2622</v>
      </c>
    </row>
    <row r="822" spans="1:102" s="15" customFormat="1" x14ac:dyDescent="0.3">
      <c r="A822" s="11" t="s">
        <v>2349</v>
      </c>
      <c r="B822" s="10" t="s">
        <v>1028</v>
      </c>
      <c r="C822" s="12" t="s">
        <v>3898</v>
      </c>
      <c r="D822" s="10">
        <v>12</v>
      </c>
      <c r="E822" s="13">
        <v>100000</v>
      </c>
      <c r="F822" s="14" t="s">
        <v>243</v>
      </c>
      <c r="G822" s="14" t="s">
        <v>244</v>
      </c>
      <c r="H822" s="15" t="s">
        <v>402</v>
      </c>
      <c r="I822" s="8"/>
      <c r="J822" s="10"/>
      <c r="AV822" s="15" t="s">
        <v>181</v>
      </c>
      <c r="AW822" s="15" t="s">
        <v>182</v>
      </c>
      <c r="AX822" s="15" t="s">
        <v>2623</v>
      </c>
      <c r="BH822" s="15" t="s">
        <v>184</v>
      </c>
      <c r="BI822" s="15" t="s">
        <v>185</v>
      </c>
      <c r="BJ822" s="15" t="s">
        <v>2351</v>
      </c>
      <c r="BK822" s="15" t="s">
        <v>2352</v>
      </c>
      <c r="BL822" s="15" t="s">
        <v>2353</v>
      </c>
      <c r="BM822" s="15" t="s">
        <v>2354</v>
      </c>
      <c r="BN822" s="15" t="s">
        <v>2355</v>
      </c>
      <c r="BO822" s="15" t="s">
        <v>2356</v>
      </c>
      <c r="BR822" s="15" t="s">
        <v>192</v>
      </c>
      <c r="BS822" s="15" t="s">
        <v>193</v>
      </c>
      <c r="BT822" s="15" t="s">
        <v>194</v>
      </c>
      <c r="BU822" s="15" t="s">
        <v>195</v>
      </c>
      <c r="BV822" s="15" t="s">
        <v>196</v>
      </c>
      <c r="BW822" s="15" t="s">
        <v>251</v>
      </c>
      <c r="CA822" s="15" t="s">
        <v>2357</v>
      </c>
      <c r="CB822" s="15" t="s">
        <v>78</v>
      </c>
      <c r="CC822" s="15">
        <v>1</v>
      </c>
      <c r="CN822" s="15" t="s">
        <v>198</v>
      </c>
      <c r="CW822" s="10">
        <v>2</v>
      </c>
      <c r="CX822" s="15" t="s">
        <v>2624</v>
      </c>
    </row>
    <row r="823" spans="1:102" s="15" customFormat="1" x14ac:dyDescent="0.3">
      <c r="A823" s="11" t="s">
        <v>2349</v>
      </c>
      <c r="B823" s="10" t="s">
        <v>1235</v>
      </c>
      <c r="C823" s="12" t="s">
        <v>3952</v>
      </c>
      <c r="D823" s="10">
        <v>12</v>
      </c>
      <c r="E823" s="13">
        <v>100000</v>
      </c>
      <c r="F823" s="14" t="s">
        <v>209</v>
      </c>
      <c r="G823" s="14" t="s">
        <v>210</v>
      </c>
      <c r="H823" s="15" t="s">
        <v>957</v>
      </c>
      <c r="I823" s="8"/>
      <c r="J823" s="10"/>
      <c r="AV823" s="15" t="s">
        <v>212</v>
      </c>
      <c r="AW823" s="15" t="s">
        <v>213</v>
      </c>
      <c r="AX823" s="15" t="s">
        <v>2625</v>
      </c>
      <c r="BH823" s="15" t="s">
        <v>184</v>
      </c>
      <c r="BI823" s="15" t="s">
        <v>185</v>
      </c>
      <c r="BJ823" s="15" t="s">
        <v>2351</v>
      </c>
      <c r="BK823" s="15" t="s">
        <v>2352</v>
      </c>
      <c r="BL823" s="15" t="s">
        <v>2353</v>
      </c>
      <c r="BM823" s="15" t="s">
        <v>2354</v>
      </c>
      <c r="BN823" s="15" t="s">
        <v>2355</v>
      </c>
      <c r="BO823" s="15" t="s">
        <v>2356</v>
      </c>
      <c r="BR823" s="15" t="s">
        <v>192</v>
      </c>
      <c r="BS823" s="15" t="s">
        <v>193</v>
      </c>
      <c r="BT823" s="15" t="s">
        <v>194</v>
      </c>
      <c r="BU823" s="15" t="s">
        <v>195</v>
      </c>
      <c r="BV823" s="15" t="s">
        <v>196</v>
      </c>
      <c r="BW823" s="15" t="s">
        <v>196</v>
      </c>
      <c r="CA823" s="15" t="s">
        <v>2357</v>
      </c>
      <c r="CB823" s="15" t="s">
        <v>78</v>
      </c>
      <c r="CC823" s="15">
        <v>1</v>
      </c>
      <c r="CN823" s="15" t="s">
        <v>198</v>
      </c>
      <c r="CW823" s="10">
        <v>2</v>
      </c>
      <c r="CX823" s="15" t="s">
        <v>2626</v>
      </c>
    </row>
    <row r="824" spans="1:102" s="15" customFormat="1" x14ac:dyDescent="0.3">
      <c r="A824" s="11" t="s">
        <v>2349</v>
      </c>
      <c r="B824" s="10" t="s">
        <v>305</v>
      </c>
      <c r="C824" s="12" t="s">
        <v>309</v>
      </c>
      <c r="D824" s="10">
        <v>12</v>
      </c>
      <c r="E824" s="13">
        <v>100000</v>
      </c>
      <c r="F824" s="14" t="s">
        <v>243</v>
      </c>
      <c r="G824" s="14" t="s">
        <v>244</v>
      </c>
      <c r="H824" s="15" t="s">
        <v>254</v>
      </c>
      <c r="I824" s="8"/>
      <c r="J824" s="10"/>
      <c r="AV824" s="15" t="s">
        <v>181</v>
      </c>
      <c r="AW824" s="15" t="s">
        <v>182</v>
      </c>
      <c r="AX824" s="15" t="s">
        <v>2627</v>
      </c>
      <c r="BH824" s="15" t="s">
        <v>184</v>
      </c>
      <c r="BI824" s="15" t="s">
        <v>185</v>
      </c>
      <c r="BJ824" s="15" t="s">
        <v>2351</v>
      </c>
      <c r="BK824" s="15" t="s">
        <v>2352</v>
      </c>
      <c r="BL824" s="15" t="s">
        <v>2353</v>
      </c>
      <c r="BM824" s="15" t="s">
        <v>2354</v>
      </c>
      <c r="BN824" s="15" t="s">
        <v>2355</v>
      </c>
      <c r="BO824" s="15" t="s">
        <v>2356</v>
      </c>
      <c r="BR824" s="15" t="s">
        <v>192</v>
      </c>
      <c r="BS824" s="15" t="s">
        <v>193</v>
      </c>
      <c r="BT824" s="15" t="s">
        <v>194</v>
      </c>
      <c r="BU824" s="15" t="s">
        <v>195</v>
      </c>
      <c r="BV824" s="15" t="s">
        <v>196</v>
      </c>
      <c r="BW824" s="15" t="s">
        <v>251</v>
      </c>
      <c r="CA824" s="15" t="s">
        <v>2357</v>
      </c>
      <c r="CB824" s="15" t="s">
        <v>78</v>
      </c>
      <c r="CC824" s="15">
        <v>1</v>
      </c>
      <c r="CN824" s="15" t="s">
        <v>198</v>
      </c>
      <c r="CW824" s="10">
        <v>2</v>
      </c>
      <c r="CX824" s="15" t="s">
        <v>2628</v>
      </c>
    </row>
    <row r="825" spans="1:102" s="15" customFormat="1" x14ac:dyDescent="0.3">
      <c r="A825" s="11" t="s">
        <v>2349</v>
      </c>
      <c r="B825" s="10" t="s">
        <v>764</v>
      </c>
      <c r="C825" s="12" t="s">
        <v>991</v>
      </c>
      <c r="D825" s="10">
        <v>12</v>
      </c>
      <c r="E825" s="13">
        <v>100000</v>
      </c>
      <c r="F825" s="14" t="s">
        <v>243</v>
      </c>
      <c r="G825" s="14" t="s">
        <v>244</v>
      </c>
      <c r="H825" s="15" t="s">
        <v>254</v>
      </c>
      <c r="I825" s="8"/>
      <c r="J825" s="10"/>
      <c r="AV825" s="15" t="s">
        <v>181</v>
      </c>
      <c r="AW825" s="15" t="s">
        <v>182</v>
      </c>
      <c r="AX825" s="15" t="s">
        <v>2629</v>
      </c>
      <c r="BH825" s="15" t="s">
        <v>184</v>
      </c>
      <c r="BI825" s="15" t="s">
        <v>185</v>
      </c>
      <c r="BJ825" s="15" t="s">
        <v>2351</v>
      </c>
      <c r="BK825" s="15" t="s">
        <v>2352</v>
      </c>
      <c r="BL825" s="15" t="s">
        <v>2353</v>
      </c>
      <c r="BM825" s="15" t="s">
        <v>2354</v>
      </c>
      <c r="BN825" s="15" t="s">
        <v>2355</v>
      </c>
      <c r="BO825" s="15" t="s">
        <v>2356</v>
      </c>
      <c r="BR825" s="15" t="s">
        <v>192</v>
      </c>
      <c r="BS825" s="15" t="s">
        <v>193</v>
      </c>
      <c r="BT825" s="15" t="s">
        <v>194</v>
      </c>
      <c r="BU825" s="15" t="s">
        <v>195</v>
      </c>
      <c r="BV825" s="15" t="s">
        <v>196</v>
      </c>
      <c r="BW825" s="15" t="s">
        <v>251</v>
      </c>
      <c r="CA825" s="15" t="s">
        <v>2357</v>
      </c>
      <c r="CB825" s="15" t="s">
        <v>78</v>
      </c>
      <c r="CC825" s="15">
        <v>1</v>
      </c>
      <c r="CN825" s="15" t="s">
        <v>198</v>
      </c>
      <c r="CW825" s="10">
        <v>2</v>
      </c>
      <c r="CX825" s="15" t="s">
        <v>2630</v>
      </c>
    </row>
    <row r="826" spans="1:102" s="15" customFormat="1" x14ac:dyDescent="0.3">
      <c r="A826" s="11" t="s">
        <v>2349</v>
      </c>
      <c r="B826" s="10" t="s">
        <v>825</v>
      </c>
      <c r="C826" s="12" t="s">
        <v>3848</v>
      </c>
      <c r="D826" s="10">
        <v>12</v>
      </c>
      <c r="E826" s="13">
        <v>100000</v>
      </c>
      <c r="F826" s="14" t="s">
        <v>243</v>
      </c>
      <c r="G826" s="14" t="s">
        <v>244</v>
      </c>
      <c r="H826" s="15" t="s">
        <v>254</v>
      </c>
      <c r="I826" s="8"/>
      <c r="J826" s="10"/>
      <c r="AV826" s="15" t="s">
        <v>181</v>
      </c>
      <c r="AW826" s="15" t="s">
        <v>182</v>
      </c>
      <c r="AX826" s="15" t="s">
        <v>2631</v>
      </c>
      <c r="BH826" s="15" t="s">
        <v>184</v>
      </c>
      <c r="BI826" s="15" t="s">
        <v>185</v>
      </c>
      <c r="BJ826" s="15" t="s">
        <v>2351</v>
      </c>
      <c r="BK826" s="15" t="s">
        <v>2352</v>
      </c>
      <c r="BL826" s="15" t="s">
        <v>2353</v>
      </c>
      <c r="BM826" s="15" t="s">
        <v>2354</v>
      </c>
      <c r="BN826" s="15" t="s">
        <v>2355</v>
      </c>
      <c r="BO826" s="15" t="s">
        <v>2356</v>
      </c>
      <c r="BR826" s="15" t="s">
        <v>192</v>
      </c>
      <c r="BS826" s="15" t="s">
        <v>193</v>
      </c>
      <c r="BT826" s="15" t="s">
        <v>194</v>
      </c>
      <c r="BU826" s="15" t="s">
        <v>195</v>
      </c>
      <c r="BV826" s="15" t="s">
        <v>196</v>
      </c>
      <c r="BW826" s="15" t="s">
        <v>251</v>
      </c>
      <c r="CA826" s="15" t="s">
        <v>2357</v>
      </c>
      <c r="CB826" s="15" t="s">
        <v>78</v>
      </c>
      <c r="CC826" s="15">
        <v>1</v>
      </c>
      <c r="CN826" s="15" t="s">
        <v>198</v>
      </c>
      <c r="CW826" s="10">
        <v>2</v>
      </c>
      <c r="CX826" s="15" t="s">
        <v>2632</v>
      </c>
    </row>
    <row r="827" spans="1:102" s="15" customFormat="1" x14ac:dyDescent="0.3">
      <c r="A827" s="11" t="s">
        <v>2349</v>
      </c>
      <c r="B827" s="10" t="s">
        <v>847</v>
      </c>
      <c r="C827" s="12" t="s">
        <v>3853</v>
      </c>
      <c r="D827" s="10">
        <v>12</v>
      </c>
      <c r="E827" s="13">
        <v>100000</v>
      </c>
      <c r="F827" s="14" t="s">
        <v>243</v>
      </c>
      <c r="G827" s="14" t="s">
        <v>244</v>
      </c>
      <c r="H827" s="15" t="s">
        <v>254</v>
      </c>
      <c r="I827" s="8"/>
      <c r="J827" s="10"/>
      <c r="AV827" s="15" t="s">
        <v>181</v>
      </c>
      <c r="AW827" s="15" t="s">
        <v>182</v>
      </c>
      <c r="AX827" s="15" t="s">
        <v>2633</v>
      </c>
      <c r="BH827" s="15" t="s">
        <v>184</v>
      </c>
      <c r="BI827" s="15" t="s">
        <v>185</v>
      </c>
      <c r="BJ827" s="15" t="s">
        <v>2351</v>
      </c>
      <c r="BK827" s="15" t="s">
        <v>2352</v>
      </c>
      <c r="BL827" s="15" t="s">
        <v>2353</v>
      </c>
      <c r="BM827" s="15" t="s">
        <v>2354</v>
      </c>
      <c r="BN827" s="15" t="s">
        <v>2355</v>
      </c>
      <c r="BO827" s="15" t="s">
        <v>2356</v>
      </c>
      <c r="BR827" s="15" t="s">
        <v>192</v>
      </c>
      <c r="BS827" s="15" t="s">
        <v>193</v>
      </c>
      <c r="BT827" s="15" t="s">
        <v>194</v>
      </c>
      <c r="BU827" s="15" t="s">
        <v>195</v>
      </c>
      <c r="BV827" s="15" t="s">
        <v>196</v>
      </c>
      <c r="BW827" s="15" t="s">
        <v>251</v>
      </c>
      <c r="CA827" s="15" t="s">
        <v>2357</v>
      </c>
      <c r="CB827" s="15" t="s">
        <v>78</v>
      </c>
      <c r="CC827" s="15">
        <v>1</v>
      </c>
      <c r="CN827" s="15" t="s">
        <v>198</v>
      </c>
      <c r="CW827" s="10">
        <v>2</v>
      </c>
      <c r="CX827" s="15" t="s">
        <v>2634</v>
      </c>
    </row>
    <row r="828" spans="1:102" s="15" customFormat="1" x14ac:dyDescent="0.3">
      <c r="A828" s="11" t="s">
        <v>2349</v>
      </c>
      <c r="B828" s="10" t="s">
        <v>2635</v>
      </c>
      <c r="C828" s="12" t="s">
        <v>3953</v>
      </c>
      <c r="D828" s="10"/>
      <c r="E828" s="13">
        <v>0</v>
      </c>
      <c r="F828" s="14"/>
      <c r="G828" s="14"/>
      <c r="I828" s="8"/>
      <c r="J828" s="10"/>
      <c r="BH828" s="15" t="s">
        <v>184</v>
      </c>
      <c r="BI828" s="15" t="s">
        <v>185</v>
      </c>
      <c r="BJ828" s="15" t="s">
        <v>2351</v>
      </c>
      <c r="BK828" s="15" t="s">
        <v>2352</v>
      </c>
      <c r="BL828" s="15" t="s">
        <v>2353</v>
      </c>
      <c r="BM828" s="15" t="s">
        <v>2354</v>
      </c>
      <c r="BN828" s="15" t="s">
        <v>2355</v>
      </c>
      <c r="BO828" s="15" t="s">
        <v>2356</v>
      </c>
      <c r="CW828" s="10"/>
    </row>
    <row r="829" spans="1:102" s="15" customFormat="1" x14ac:dyDescent="0.3">
      <c r="A829" s="11" t="s">
        <v>2349</v>
      </c>
      <c r="B829" s="10" t="s">
        <v>242</v>
      </c>
      <c r="C829" s="12" t="s">
        <v>3655</v>
      </c>
      <c r="D829" s="10">
        <v>12</v>
      </c>
      <c r="E829" s="13">
        <v>100000</v>
      </c>
      <c r="F829" s="14" t="s">
        <v>243</v>
      </c>
      <c r="G829" s="14" t="s">
        <v>244</v>
      </c>
      <c r="H829" s="15" t="s">
        <v>245</v>
      </c>
      <c r="I829" s="8"/>
      <c r="J829" s="10"/>
      <c r="AV829" s="15" t="s">
        <v>181</v>
      </c>
      <c r="AW829" s="15" t="s">
        <v>182</v>
      </c>
      <c r="AX829" s="15" t="s">
        <v>2636</v>
      </c>
      <c r="AY829" s="15" t="s">
        <v>2637</v>
      </c>
      <c r="AZ829" s="15" t="s">
        <v>2638</v>
      </c>
      <c r="BA829" s="15" t="s">
        <v>2639</v>
      </c>
      <c r="BB829" s="15" t="s">
        <v>2640</v>
      </c>
      <c r="BH829" s="15" t="s">
        <v>184</v>
      </c>
      <c r="BI829" s="15" t="s">
        <v>185</v>
      </c>
      <c r="BJ829" s="15" t="s">
        <v>2351</v>
      </c>
      <c r="BK829" s="15" t="s">
        <v>2352</v>
      </c>
      <c r="BL829" s="15" t="s">
        <v>2353</v>
      </c>
      <c r="BM829" s="15" t="s">
        <v>2354</v>
      </c>
      <c r="BN829" s="15" t="s">
        <v>2355</v>
      </c>
      <c r="BO829" s="15" t="s">
        <v>2356</v>
      </c>
      <c r="BR829" s="15" t="s">
        <v>192</v>
      </c>
      <c r="BS829" s="15" t="s">
        <v>193</v>
      </c>
      <c r="BT829" s="15" t="s">
        <v>194</v>
      </c>
      <c r="BU829" s="15" t="s">
        <v>195</v>
      </c>
      <c r="BV829" s="15" t="s">
        <v>196</v>
      </c>
      <c r="BW829" s="15" t="s">
        <v>251</v>
      </c>
      <c r="CA829" s="15" t="s">
        <v>2357</v>
      </c>
      <c r="CB829" s="15" t="s">
        <v>78</v>
      </c>
      <c r="CC829" s="15">
        <v>1</v>
      </c>
      <c r="CN829" s="15" t="s">
        <v>198</v>
      </c>
      <c r="CW829" s="10">
        <v>2</v>
      </c>
      <c r="CX829" s="15" t="s">
        <v>2641</v>
      </c>
    </row>
    <row r="830" spans="1:102" s="15" customFormat="1" x14ac:dyDescent="0.3">
      <c r="A830" s="11" t="s">
        <v>2349</v>
      </c>
      <c r="B830" s="10" t="s">
        <v>253</v>
      </c>
      <c r="C830" s="12" t="s">
        <v>3657</v>
      </c>
      <c r="D830" s="10">
        <v>12</v>
      </c>
      <c r="E830" s="13">
        <v>100000</v>
      </c>
      <c r="F830" s="14" t="s">
        <v>243</v>
      </c>
      <c r="G830" s="14" t="s">
        <v>244</v>
      </c>
      <c r="H830" s="15" t="s">
        <v>254</v>
      </c>
      <c r="I830" s="8"/>
      <c r="J830" s="10"/>
      <c r="AV830" s="15" t="s">
        <v>181</v>
      </c>
      <c r="AW830" s="15" t="s">
        <v>182</v>
      </c>
      <c r="AX830" s="15" t="s">
        <v>2642</v>
      </c>
      <c r="BH830" s="15" t="s">
        <v>184</v>
      </c>
      <c r="BI830" s="15" t="s">
        <v>185</v>
      </c>
      <c r="BJ830" s="15" t="s">
        <v>2351</v>
      </c>
      <c r="BK830" s="15" t="s">
        <v>2352</v>
      </c>
      <c r="BL830" s="15" t="s">
        <v>2353</v>
      </c>
      <c r="BM830" s="15" t="s">
        <v>2354</v>
      </c>
      <c r="BN830" s="15" t="s">
        <v>2355</v>
      </c>
      <c r="BO830" s="15" t="s">
        <v>2356</v>
      </c>
      <c r="BR830" s="15" t="s">
        <v>192</v>
      </c>
      <c r="BS830" s="15" t="s">
        <v>193</v>
      </c>
      <c r="BT830" s="15" t="s">
        <v>194</v>
      </c>
      <c r="BU830" s="15" t="s">
        <v>195</v>
      </c>
      <c r="BV830" s="15" t="s">
        <v>196</v>
      </c>
      <c r="BW830" s="15" t="s">
        <v>251</v>
      </c>
      <c r="CA830" s="15" t="s">
        <v>2357</v>
      </c>
      <c r="CB830" s="15" t="s">
        <v>78</v>
      </c>
      <c r="CC830" s="15">
        <v>1</v>
      </c>
      <c r="CN830" s="15" t="s">
        <v>198</v>
      </c>
      <c r="CW830" s="10">
        <v>2</v>
      </c>
      <c r="CX830" s="15" t="s">
        <v>2643</v>
      </c>
    </row>
    <row r="831" spans="1:102" s="15" customFormat="1" x14ac:dyDescent="0.3">
      <c r="A831" s="11" t="s">
        <v>2349</v>
      </c>
      <c r="B831" s="10" t="s">
        <v>257</v>
      </c>
      <c r="C831" s="12" t="s">
        <v>3659</v>
      </c>
      <c r="D831" s="10">
        <v>12</v>
      </c>
      <c r="E831" s="13">
        <v>100000</v>
      </c>
      <c r="F831" s="14" t="s">
        <v>243</v>
      </c>
      <c r="G831" s="14" t="s">
        <v>244</v>
      </c>
      <c r="H831" s="15" t="s">
        <v>254</v>
      </c>
      <c r="I831" s="8"/>
      <c r="J831" s="10"/>
      <c r="AV831" s="15" t="s">
        <v>181</v>
      </c>
      <c r="AW831" s="15" t="s">
        <v>182</v>
      </c>
      <c r="AX831" s="15" t="s">
        <v>2644</v>
      </c>
      <c r="BH831" s="15" t="s">
        <v>184</v>
      </c>
      <c r="BI831" s="15" t="s">
        <v>185</v>
      </c>
      <c r="BJ831" s="15" t="s">
        <v>2351</v>
      </c>
      <c r="BK831" s="15" t="s">
        <v>2352</v>
      </c>
      <c r="BL831" s="15" t="s">
        <v>2353</v>
      </c>
      <c r="BM831" s="15" t="s">
        <v>2354</v>
      </c>
      <c r="BN831" s="15" t="s">
        <v>2355</v>
      </c>
      <c r="BO831" s="15" t="s">
        <v>2356</v>
      </c>
      <c r="BR831" s="15" t="s">
        <v>192</v>
      </c>
      <c r="BS831" s="15" t="s">
        <v>193</v>
      </c>
      <c r="BT831" s="15" t="s">
        <v>194</v>
      </c>
      <c r="BU831" s="15" t="s">
        <v>195</v>
      </c>
      <c r="BV831" s="15" t="s">
        <v>196</v>
      </c>
      <c r="BW831" s="15" t="s">
        <v>251</v>
      </c>
      <c r="CA831" s="15" t="s">
        <v>2357</v>
      </c>
      <c r="CB831" s="15" t="s">
        <v>78</v>
      </c>
      <c r="CC831" s="15">
        <v>1</v>
      </c>
      <c r="CN831" s="15" t="s">
        <v>198</v>
      </c>
      <c r="CW831" s="10">
        <v>2</v>
      </c>
      <c r="CX831" s="15" t="s">
        <v>2645</v>
      </c>
    </row>
    <row r="832" spans="1:102" s="15" customFormat="1" x14ac:dyDescent="0.3">
      <c r="A832" s="11" t="s">
        <v>2349</v>
      </c>
      <c r="B832" s="10" t="s">
        <v>260</v>
      </c>
      <c r="C832" s="12" t="s">
        <v>3661</v>
      </c>
      <c r="D832" s="10">
        <v>12</v>
      </c>
      <c r="E832" s="13">
        <v>1000000</v>
      </c>
      <c r="F832" s="14" t="s">
        <v>243</v>
      </c>
      <c r="G832" s="14" t="s">
        <v>244</v>
      </c>
      <c r="H832" s="15" t="s">
        <v>254</v>
      </c>
      <c r="I832" s="8"/>
      <c r="J832" s="10"/>
      <c r="AV832" s="15" t="s">
        <v>181</v>
      </c>
      <c r="AW832" s="15" t="s">
        <v>182</v>
      </c>
      <c r="AX832" s="15" t="s">
        <v>2646</v>
      </c>
      <c r="BH832" s="15" t="s">
        <v>184</v>
      </c>
      <c r="BI832" s="15" t="s">
        <v>185</v>
      </c>
      <c r="BJ832" s="15" t="s">
        <v>2351</v>
      </c>
      <c r="BK832" s="15" t="s">
        <v>2352</v>
      </c>
      <c r="BL832" s="15" t="s">
        <v>2353</v>
      </c>
      <c r="BM832" s="15" t="s">
        <v>2354</v>
      </c>
      <c r="BN832" s="15" t="s">
        <v>2355</v>
      </c>
      <c r="BO832" s="15" t="s">
        <v>2356</v>
      </c>
      <c r="BR832" s="15" t="s">
        <v>192</v>
      </c>
      <c r="BS832" s="15" t="s">
        <v>193</v>
      </c>
      <c r="BT832" s="15" t="s">
        <v>194</v>
      </c>
      <c r="BU832" s="15" t="s">
        <v>195</v>
      </c>
      <c r="BV832" s="15" t="s">
        <v>196</v>
      </c>
      <c r="BW832" s="15" t="s">
        <v>251</v>
      </c>
      <c r="CA832" s="15" t="s">
        <v>2357</v>
      </c>
      <c r="CB832" s="15" t="s">
        <v>78</v>
      </c>
      <c r="CC832" s="15">
        <v>1</v>
      </c>
      <c r="CN832" s="15" t="s">
        <v>198</v>
      </c>
      <c r="CW832" s="10">
        <v>2</v>
      </c>
      <c r="CX832" s="15" t="s">
        <v>2647</v>
      </c>
    </row>
    <row r="833" spans="1:102" s="15" customFormat="1" x14ac:dyDescent="0.3">
      <c r="A833" s="11" t="s">
        <v>2349</v>
      </c>
      <c r="B833" s="10" t="s">
        <v>263</v>
      </c>
      <c r="C833" s="12" t="s">
        <v>3663</v>
      </c>
      <c r="D833" s="10">
        <v>12</v>
      </c>
      <c r="E833" s="13">
        <v>1000000</v>
      </c>
      <c r="F833" s="14" t="s">
        <v>243</v>
      </c>
      <c r="G833" s="14" t="s">
        <v>244</v>
      </c>
      <c r="H833" s="15" t="s">
        <v>254</v>
      </c>
      <c r="I833" s="8"/>
      <c r="J833" s="10"/>
      <c r="AV833" s="15" t="s">
        <v>181</v>
      </c>
      <c r="AW833" s="15" t="s">
        <v>182</v>
      </c>
      <c r="AX833" s="15" t="s">
        <v>2648</v>
      </c>
      <c r="BH833" s="15" t="s">
        <v>184</v>
      </c>
      <c r="BI833" s="15" t="s">
        <v>185</v>
      </c>
      <c r="BJ833" s="15" t="s">
        <v>2351</v>
      </c>
      <c r="BK833" s="15" t="s">
        <v>2352</v>
      </c>
      <c r="BL833" s="15" t="s">
        <v>2353</v>
      </c>
      <c r="BM833" s="15" t="s">
        <v>2354</v>
      </c>
      <c r="BN833" s="15" t="s">
        <v>2355</v>
      </c>
      <c r="BO833" s="15" t="s">
        <v>2356</v>
      </c>
      <c r="BR833" s="15" t="s">
        <v>192</v>
      </c>
      <c r="BS833" s="15" t="s">
        <v>193</v>
      </c>
      <c r="BT833" s="15" t="s">
        <v>194</v>
      </c>
      <c r="BU833" s="15" t="s">
        <v>195</v>
      </c>
      <c r="BV833" s="15" t="s">
        <v>196</v>
      </c>
      <c r="BW833" s="15" t="s">
        <v>251</v>
      </c>
      <c r="CA833" s="15" t="s">
        <v>2357</v>
      </c>
      <c r="CB833" s="15" t="s">
        <v>78</v>
      </c>
      <c r="CC833" s="15">
        <v>1</v>
      </c>
      <c r="CN833" s="15" t="s">
        <v>198</v>
      </c>
      <c r="CW833" s="10">
        <v>2</v>
      </c>
      <c r="CX833" s="15" t="s">
        <v>2649</v>
      </c>
    </row>
    <row r="834" spans="1:102" s="15" customFormat="1" x14ac:dyDescent="0.3">
      <c r="A834" s="11" t="s">
        <v>2349</v>
      </c>
      <c r="B834" s="10" t="s">
        <v>2650</v>
      </c>
      <c r="C834" s="12" t="s">
        <v>3954</v>
      </c>
      <c r="D834" s="10"/>
      <c r="E834" s="13">
        <v>0</v>
      </c>
      <c r="F834" s="14"/>
      <c r="G834" s="14"/>
      <c r="I834" s="8"/>
      <c r="J834" s="10"/>
      <c r="BH834" s="15" t="s">
        <v>184</v>
      </c>
      <c r="BI834" s="15" t="s">
        <v>185</v>
      </c>
      <c r="BJ834" s="15" t="s">
        <v>2351</v>
      </c>
      <c r="BK834" s="15" t="s">
        <v>2352</v>
      </c>
      <c r="BL834" s="15" t="s">
        <v>2353</v>
      </c>
      <c r="BM834" s="15" t="s">
        <v>2354</v>
      </c>
      <c r="BN834" s="15" t="s">
        <v>2355</v>
      </c>
      <c r="BO834" s="15" t="s">
        <v>2356</v>
      </c>
      <c r="CW834" s="10"/>
    </row>
    <row r="835" spans="1:102" s="15" customFormat="1" x14ac:dyDescent="0.3">
      <c r="A835" s="11" t="s">
        <v>2349</v>
      </c>
      <c r="B835" s="10" t="s">
        <v>1120</v>
      </c>
      <c r="C835" s="12" t="s">
        <v>1151</v>
      </c>
      <c r="D835" s="10">
        <v>12</v>
      </c>
      <c r="E835" s="13">
        <v>100000</v>
      </c>
      <c r="F835" s="14" t="s">
        <v>243</v>
      </c>
      <c r="G835" s="14" t="s">
        <v>244</v>
      </c>
      <c r="H835" s="15" t="s">
        <v>245</v>
      </c>
      <c r="I835" s="8"/>
      <c r="J835" s="10"/>
      <c r="AV835" s="15" t="s">
        <v>181</v>
      </c>
      <c r="AW835" s="15" t="s">
        <v>182</v>
      </c>
      <c r="AX835" s="15" t="s">
        <v>2651</v>
      </c>
      <c r="AY835" s="15" t="s">
        <v>2637</v>
      </c>
      <c r="AZ835" s="15" t="s">
        <v>2638</v>
      </c>
      <c r="BA835" s="15" t="s">
        <v>2639</v>
      </c>
      <c r="BB835" s="15" t="s">
        <v>2640</v>
      </c>
      <c r="BH835" s="15" t="s">
        <v>184</v>
      </c>
      <c r="BI835" s="15" t="s">
        <v>185</v>
      </c>
      <c r="BJ835" s="15" t="s">
        <v>2351</v>
      </c>
      <c r="BK835" s="15" t="s">
        <v>2352</v>
      </c>
      <c r="BL835" s="15" t="s">
        <v>2353</v>
      </c>
      <c r="BM835" s="15" t="s">
        <v>2354</v>
      </c>
      <c r="BN835" s="15" t="s">
        <v>2355</v>
      </c>
      <c r="BO835" s="15" t="s">
        <v>2356</v>
      </c>
      <c r="BR835" s="15" t="s">
        <v>192</v>
      </c>
      <c r="BS835" s="15" t="s">
        <v>193</v>
      </c>
      <c r="BT835" s="15" t="s">
        <v>194</v>
      </c>
      <c r="BU835" s="15" t="s">
        <v>195</v>
      </c>
      <c r="BV835" s="15" t="s">
        <v>196</v>
      </c>
      <c r="BW835" s="15" t="s">
        <v>251</v>
      </c>
      <c r="CA835" s="15" t="s">
        <v>2357</v>
      </c>
      <c r="CB835" s="15" t="s">
        <v>78</v>
      </c>
      <c r="CC835" s="15">
        <v>1</v>
      </c>
      <c r="CN835" s="15" t="s">
        <v>198</v>
      </c>
      <c r="CW835" s="10">
        <v>2</v>
      </c>
      <c r="CX835" s="15" t="s">
        <v>2652</v>
      </c>
    </row>
    <row r="836" spans="1:102" s="15" customFormat="1" x14ac:dyDescent="0.3">
      <c r="A836" s="11" t="s">
        <v>2349</v>
      </c>
      <c r="B836" s="10" t="s">
        <v>1123</v>
      </c>
      <c r="C836" s="12" t="s">
        <v>1154</v>
      </c>
      <c r="D836" s="10">
        <v>12</v>
      </c>
      <c r="E836" s="13">
        <v>100000</v>
      </c>
      <c r="F836" s="14" t="s">
        <v>243</v>
      </c>
      <c r="G836" s="14" t="s">
        <v>244</v>
      </c>
      <c r="H836" s="15" t="s">
        <v>254</v>
      </c>
      <c r="I836" s="8"/>
      <c r="J836" s="10"/>
      <c r="AV836" s="15" t="s">
        <v>181</v>
      </c>
      <c r="AW836" s="15" t="s">
        <v>182</v>
      </c>
      <c r="AX836" s="15" t="s">
        <v>2653</v>
      </c>
      <c r="BH836" s="15" t="s">
        <v>184</v>
      </c>
      <c r="BI836" s="15" t="s">
        <v>185</v>
      </c>
      <c r="BJ836" s="15" t="s">
        <v>2351</v>
      </c>
      <c r="BK836" s="15" t="s">
        <v>2352</v>
      </c>
      <c r="BL836" s="15" t="s">
        <v>2353</v>
      </c>
      <c r="BM836" s="15" t="s">
        <v>2354</v>
      </c>
      <c r="BN836" s="15" t="s">
        <v>2355</v>
      </c>
      <c r="BO836" s="15" t="s">
        <v>2356</v>
      </c>
      <c r="BR836" s="15" t="s">
        <v>192</v>
      </c>
      <c r="BS836" s="15" t="s">
        <v>193</v>
      </c>
      <c r="BT836" s="15" t="s">
        <v>194</v>
      </c>
      <c r="BU836" s="15" t="s">
        <v>195</v>
      </c>
      <c r="BV836" s="15" t="s">
        <v>196</v>
      </c>
      <c r="BW836" s="15" t="s">
        <v>251</v>
      </c>
      <c r="CA836" s="15" t="s">
        <v>2357</v>
      </c>
      <c r="CB836" s="15" t="s">
        <v>78</v>
      </c>
      <c r="CC836" s="15">
        <v>1</v>
      </c>
      <c r="CN836" s="15" t="s">
        <v>198</v>
      </c>
      <c r="CW836" s="10">
        <v>2</v>
      </c>
      <c r="CX836" s="15" t="s">
        <v>2654</v>
      </c>
    </row>
    <row r="837" spans="1:102" s="15" customFormat="1" x14ac:dyDescent="0.3">
      <c r="A837" s="11" t="s">
        <v>2349</v>
      </c>
      <c r="B837" s="10" t="s">
        <v>1126</v>
      </c>
      <c r="C837" s="12" t="s">
        <v>1157</v>
      </c>
      <c r="D837" s="10">
        <v>12</v>
      </c>
      <c r="E837" s="13">
        <v>100000</v>
      </c>
      <c r="F837" s="14" t="s">
        <v>243</v>
      </c>
      <c r="G837" s="14" t="s">
        <v>244</v>
      </c>
      <c r="H837" s="15" t="s">
        <v>254</v>
      </c>
      <c r="I837" s="8"/>
      <c r="J837" s="10"/>
      <c r="AV837" s="15" t="s">
        <v>181</v>
      </c>
      <c r="AW837" s="15" t="s">
        <v>182</v>
      </c>
      <c r="AX837" s="15" t="s">
        <v>2655</v>
      </c>
      <c r="BH837" s="15" t="s">
        <v>184</v>
      </c>
      <c r="BI837" s="15" t="s">
        <v>185</v>
      </c>
      <c r="BJ837" s="15" t="s">
        <v>2351</v>
      </c>
      <c r="BK837" s="15" t="s">
        <v>2352</v>
      </c>
      <c r="BL837" s="15" t="s">
        <v>2353</v>
      </c>
      <c r="BM837" s="15" t="s">
        <v>2354</v>
      </c>
      <c r="BN837" s="15" t="s">
        <v>2355</v>
      </c>
      <c r="BO837" s="15" t="s">
        <v>2356</v>
      </c>
      <c r="BR837" s="15" t="s">
        <v>192</v>
      </c>
      <c r="BS837" s="15" t="s">
        <v>193</v>
      </c>
      <c r="BT837" s="15" t="s">
        <v>194</v>
      </c>
      <c r="BU837" s="15" t="s">
        <v>195</v>
      </c>
      <c r="BV837" s="15" t="s">
        <v>196</v>
      </c>
      <c r="BW837" s="15" t="s">
        <v>251</v>
      </c>
      <c r="CA837" s="15" t="s">
        <v>2357</v>
      </c>
      <c r="CB837" s="15" t="s">
        <v>78</v>
      </c>
      <c r="CC837" s="15">
        <v>1</v>
      </c>
      <c r="CN837" s="15" t="s">
        <v>198</v>
      </c>
      <c r="CW837" s="10">
        <v>2</v>
      </c>
      <c r="CX837" s="15" t="s">
        <v>2656</v>
      </c>
    </row>
    <row r="838" spans="1:102" s="15" customFormat="1" x14ac:dyDescent="0.3">
      <c r="A838" s="11" t="s">
        <v>2349</v>
      </c>
      <c r="B838" s="10" t="s">
        <v>1129</v>
      </c>
      <c r="C838" s="12" t="s">
        <v>1160</v>
      </c>
      <c r="D838" s="10">
        <v>12</v>
      </c>
      <c r="E838" s="13">
        <v>1000000</v>
      </c>
      <c r="F838" s="14" t="s">
        <v>243</v>
      </c>
      <c r="G838" s="14" t="s">
        <v>244</v>
      </c>
      <c r="H838" s="15" t="s">
        <v>254</v>
      </c>
      <c r="I838" s="8"/>
      <c r="J838" s="10"/>
      <c r="AV838" s="15" t="s">
        <v>181</v>
      </c>
      <c r="AW838" s="15" t="s">
        <v>182</v>
      </c>
      <c r="AX838" s="15" t="s">
        <v>2657</v>
      </c>
      <c r="BH838" s="15" t="s">
        <v>184</v>
      </c>
      <c r="BI838" s="15" t="s">
        <v>185</v>
      </c>
      <c r="BJ838" s="15" t="s">
        <v>2351</v>
      </c>
      <c r="BK838" s="15" t="s">
        <v>2352</v>
      </c>
      <c r="BL838" s="15" t="s">
        <v>2353</v>
      </c>
      <c r="BM838" s="15" t="s">
        <v>2354</v>
      </c>
      <c r="BN838" s="15" t="s">
        <v>2355</v>
      </c>
      <c r="BO838" s="15" t="s">
        <v>2356</v>
      </c>
      <c r="BR838" s="15" t="s">
        <v>192</v>
      </c>
      <c r="BS838" s="15" t="s">
        <v>193</v>
      </c>
      <c r="BT838" s="15" t="s">
        <v>194</v>
      </c>
      <c r="BU838" s="15" t="s">
        <v>195</v>
      </c>
      <c r="BV838" s="15" t="s">
        <v>196</v>
      </c>
      <c r="BW838" s="15" t="s">
        <v>251</v>
      </c>
      <c r="CA838" s="15" t="s">
        <v>2357</v>
      </c>
      <c r="CB838" s="15" t="s">
        <v>78</v>
      </c>
      <c r="CC838" s="15">
        <v>1</v>
      </c>
      <c r="CN838" s="15" t="s">
        <v>198</v>
      </c>
      <c r="CW838" s="10">
        <v>2</v>
      </c>
      <c r="CX838" s="15" t="s">
        <v>2658</v>
      </c>
    </row>
    <row r="839" spans="1:102" s="15" customFormat="1" x14ac:dyDescent="0.3">
      <c r="A839" s="11" t="s">
        <v>2349</v>
      </c>
      <c r="B839" s="10" t="s">
        <v>1132</v>
      </c>
      <c r="C839" s="12" t="s">
        <v>1163</v>
      </c>
      <c r="D839" s="10">
        <v>12</v>
      </c>
      <c r="E839" s="13">
        <v>1000000</v>
      </c>
      <c r="F839" s="14" t="s">
        <v>243</v>
      </c>
      <c r="G839" s="14" t="s">
        <v>244</v>
      </c>
      <c r="H839" s="15" t="s">
        <v>254</v>
      </c>
      <c r="I839" s="8"/>
      <c r="J839" s="10"/>
      <c r="AV839" s="15" t="s">
        <v>181</v>
      </c>
      <c r="AW839" s="15" t="s">
        <v>182</v>
      </c>
      <c r="AX839" s="15" t="s">
        <v>2659</v>
      </c>
      <c r="BH839" s="15" t="s">
        <v>184</v>
      </c>
      <c r="BI839" s="15" t="s">
        <v>185</v>
      </c>
      <c r="BJ839" s="15" t="s">
        <v>2351</v>
      </c>
      <c r="BK839" s="15" t="s">
        <v>2352</v>
      </c>
      <c r="BL839" s="15" t="s">
        <v>2353</v>
      </c>
      <c r="BM839" s="15" t="s">
        <v>2354</v>
      </c>
      <c r="BN839" s="15" t="s">
        <v>2355</v>
      </c>
      <c r="BO839" s="15" t="s">
        <v>2356</v>
      </c>
      <c r="BR839" s="15" t="s">
        <v>192</v>
      </c>
      <c r="BS839" s="15" t="s">
        <v>193</v>
      </c>
      <c r="BT839" s="15" t="s">
        <v>194</v>
      </c>
      <c r="BU839" s="15" t="s">
        <v>195</v>
      </c>
      <c r="BV839" s="15" t="s">
        <v>196</v>
      </c>
      <c r="BW839" s="15" t="s">
        <v>251</v>
      </c>
      <c r="CA839" s="15" t="s">
        <v>2357</v>
      </c>
      <c r="CB839" s="15" t="s">
        <v>78</v>
      </c>
      <c r="CC839" s="15">
        <v>1</v>
      </c>
      <c r="CN839" s="15" t="s">
        <v>198</v>
      </c>
      <c r="CW839" s="10">
        <v>2</v>
      </c>
      <c r="CX839" s="15" t="s">
        <v>2660</v>
      </c>
    </row>
    <row r="840" spans="1:102" s="15" customFormat="1" x14ac:dyDescent="0.3">
      <c r="A840" s="11" t="s">
        <v>2349</v>
      </c>
      <c r="B840" s="10" t="s">
        <v>2661</v>
      </c>
      <c r="C840" s="12" t="s">
        <v>3955</v>
      </c>
      <c r="D840" s="10"/>
      <c r="E840" s="13">
        <v>0</v>
      </c>
      <c r="F840" s="14"/>
      <c r="G840" s="14"/>
      <c r="I840" s="8"/>
      <c r="J840" s="10"/>
      <c r="BH840" s="15" t="s">
        <v>184</v>
      </c>
      <c r="BI840" s="15" t="s">
        <v>185</v>
      </c>
      <c r="BJ840" s="15" t="s">
        <v>2351</v>
      </c>
      <c r="BK840" s="15" t="s">
        <v>2352</v>
      </c>
      <c r="BL840" s="15" t="s">
        <v>2353</v>
      </c>
      <c r="BM840" s="15" t="s">
        <v>2354</v>
      </c>
      <c r="BN840" s="15" t="s">
        <v>2355</v>
      </c>
      <c r="BO840" s="15" t="s">
        <v>2356</v>
      </c>
      <c r="CW840" s="10"/>
    </row>
    <row r="841" spans="1:102" s="15" customFormat="1" x14ac:dyDescent="0.3">
      <c r="A841" s="11" t="s">
        <v>2349</v>
      </c>
      <c r="B841" s="10" t="s">
        <v>650</v>
      </c>
      <c r="C841" s="12" t="s">
        <v>3811</v>
      </c>
      <c r="D841" s="10">
        <v>12</v>
      </c>
      <c r="E841" s="13">
        <v>100000</v>
      </c>
      <c r="F841" s="14" t="s">
        <v>243</v>
      </c>
      <c r="G841" s="14" t="s">
        <v>244</v>
      </c>
      <c r="H841" s="15" t="s">
        <v>254</v>
      </c>
      <c r="I841" s="8"/>
      <c r="J841" s="10"/>
      <c r="AV841" s="15" t="s">
        <v>181</v>
      </c>
      <c r="AW841" s="15" t="s">
        <v>182</v>
      </c>
      <c r="AX841" s="15" t="s">
        <v>651</v>
      </c>
      <c r="BH841" s="15" t="s">
        <v>184</v>
      </c>
      <c r="BI841" s="15" t="s">
        <v>185</v>
      </c>
      <c r="BJ841" s="15" t="s">
        <v>2351</v>
      </c>
      <c r="BK841" s="15" t="s">
        <v>2352</v>
      </c>
      <c r="BL841" s="15" t="s">
        <v>2353</v>
      </c>
      <c r="BM841" s="15" t="s">
        <v>2354</v>
      </c>
      <c r="BN841" s="15" t="s">
        <v>2355</v>
      </c>
      <c r="BO841" s="15" t="s">
        <v>2356</v>
      </c>
      <c r="BR841" s="15" t="s">
        <v>192</v>
      </c>
      <c r="BS841" s="15" t="s">
        <v>193</v>
      </c>
      <c r="BT841" s="15" t="s">
        <v>194</v>
      </c>
      <c r="BU841" s="15" t="s">
        <v>195</v>
      </c>
      <c r="BV841" s="15" t="s">
        <v>196</v>
      </c>
      <c r="BW841" s="15" t="s">
        <v>251</v>
      </c>
      <c r="CA841" s="15" t="s">
        <v>2357</v>
      </c>
      <c r="CB841" s="15" t="s">
        <v>78</v>
      </c>
      <c r="CC841" s="15">
        <v>1</v>
      </c>
      <c r="CN841" s="15" t="s">
        <v>198</v>
      </c>
      <c r="CW841" s="10">
        <v>2</v>
      </c>
      <c r="CX841" s="15" t="s">
        <v>2662</v>
      </c>
    </row>
    <row r="842" spans="1:102" s="15" customFormat="1" x14ac:dyDescent="0.3">
      <c r="A842" s="11" t="s">
        <v>2349</v>
      </c>
      <c r="B842" s="10" t="s">
        <v>653</v>
      </c>
      <c r="C842" s="12" t="s">
        <v>3812</v>
      </c>
      <c r="D842" s="10">
        <v>12</v>
      </c>
      <c r="E842" s="13">
        <v>100000</v>
      </c>
      <c r="F842" s="14" t="s">
        <v>243</v>
      </c>
      <c r="G842" s="14" t="s">
        <v>244</v>
      </c>
      <c r="H842" s="15" t="s">
        <v>254</v>
      </c>
      <c r="I842" s="8"/>
      <c r="J842" s="10"/>
      <c r="AV842" s="15" t="s">
        <v>181</v>
      </c>
      <c r="AW842" s="15" t="s">
        <v>182</v>
      </c>
      <c r="AX842" s="15" t="s">
        <v>654</v>
      </c>
      <c r="BH842" s="15" t="s">
        <v>184</v>
      </c>
      <c r="BI842" s="15" t="s">
        <v>185</v>
      </c>
      <c r="BJ842" s="15" t="s">
        <v>2351</v>
      </c>
      <c r="BK842" s="15" t="s">
        <v>2352</v>
      </c>
      <c r="BL842" s="15" t="s">
        <v>2353</v>
      </c>
      <c r="BM842" s="15" t="s">
        <v>2354</v>
      </c>
      <c r="BN842" s="15" t="s">
        <v>2355</v>
      </c>
      <c r="BO842" s="15" t="s">
        <v>2356</v>
      </c>
      <c r="BR842" s="15" t="s">
        <v>192</v>
      </c>
      <c r="BS842" s="15" t="s">
        <v>193</v>
      </c>
      <c r="BT842" s="15" t="s">
        <v>194</v>
      </c>
      <c r="BU842" s="15" t="s">
        <v>195</v>
      </c>
      <c r="BV842" s="15" t="s">
        <v>196</v>
      </c>
      <c r="BW842" s="15" t="s">
        <v>251</v>
      </c>
      <c r="CA842" s="15" t="s">
        <v>2357</v>
      </c>
      <c r="CB842" s="15" t="s">
        <v>78</v>
      </c>
      <c r="CC842" s="15">
        <v>1</v>
      </c>
      <c r="CN842" s="15" t="s">
        <v>198</v>
      </c>
      <c r="CW842" s="10">
        <v>2</v>
      </c>
      <c r="CX842" s="15" t="s">
        <v>2663</v>
      </c>
    </row>
    <row r="843" spans="1:102" s="15" customFormat="1" x14ac:dyDescent="0.3">
      <c r="A843" s="11" t="s">
        <v>2349</v>
      </c>
      <c r="B843" s="10" t="s">
        <v>656</v>
      </c>
      <c r="C843" s="12" t="s">
        <v>3813</v>
      </c>
      <c r="D843" s="10">
        <v>12</v>
      </c>
      <c r="E843" s="13">
        <v>100000</v>
      </c>
      <c r="F843" s="14" t="s">
        <v>243</v>
      </c>
      <c r="G843" s="14" t="s">
        <v>244</v>
      </c>
      <c r="H843" s="15" t="s">
        <v>254</v>
      </c>
      <c r="I843" s="8"/>
      <c r="J843" s="10"/>
      <c r="AV843" s="15" t="s">
        <v>181</v>
      </c>
      <c r="AW843" s="15" t="s">
        <v>182</v>
      </c>
      <c r="AX843" s="15" t="s">
        <v>657</v>
      </c>
      <c r="BH843" s="15" t="s">
        <v>184</v>
      </c>
      <c r="BI843" s="15" t="s">
        <v>185</v>
      </c>
      <c r="BJ843" s="15" t="s">
        <v>2351</v>
      </c>
      <c r="BK843" s="15" t="s">
        <v>2352</v>
      </c>
      <c r="BL843" s="15" t="s">
        <v>2353</v>
      </c>
      <c r="BM843" s="15" t="s">
        <v>2354</v>
      </c>
      <c r="BN843" s="15" t="s">
        <v>2355</v>
      </c>
      <c r="BO843" s="15" t="s">
        <v>2356</v>
      </c>
      <c r="BR843" s="15" t="s">
        <v>192</v>
      </c>
      <c r="BS843" s="15" t="s">
        <v>193</v>
      </c>
      <c r="BT843" s="15" t="s">
        <v>194</v>
      </c>
      <c r="BU843" s="15" t="s">
        <v>195</v>
      </c>
      <c r="BV843" s="15" t="s">
        <v>196</v>
      </c>
      <c r="BW843" s="15" t="s">
        <v>251</v>
      </c>
      <c r="CA843" s="15" t="s">
        <v>2357</v>
      </c>
      <c r="CB843" s="15" t="s">
        <v>78</v>
      </c>
      <c r="CC843" s="15">
        <v>1</v>
      </c>
      <c r="CN843" s="15" t="s">
        <v>198</v>
      </c>
      <c r="CW843" s="10">
        <v>2</v>
      </c>
      <c r="CX843" s="15" t="s">
        <v>2664</v>
      </c>
    </row>
    <row r="844" spans="1:102" s="15" customFormat="1" x14ac:dyDescent="0.3">
      <c r="A844" s="11" t="s">
        <v>2349</v>
      </c>
      <c r="B844" s="10" t="s">
        <v>659</v>
      </c>
      <c r="C844" s="12" t="s">
        <v>3814</v>
      </c>
      <c r="D844" s="10">
        <v>12</v>
      </c>
      <c r="E844" s="13">
        <v>100000</v>
      </c>
      <c r="F844" s="14" t="s">
        <v>243</v>
      </c>
      <c r="G844" s="14" t="s">
        <v>244</v>
      </c>
      <c r="H844" s="15" t="s">
        <v>254</v>
      </c>
      <c r="I844" s="8"/>
      <c r="J844" s="10"/>
      <c r="AV844" s="15" t="s">
        <v>181</v>
      </c>
      <c r="AW844" s="15" t="s">
        <v>182</v>
      </c>
      <c r="AX844" s="15" t="s">
        <v>660</v>
      </c>
      <c r="BH844" s="15" t="s">
        <v>184</v>
      </c>
      <c r="BI844" s="15" t="s">
        <v>185</v>
      </c>
      <c r="BJ844" s="15" t="s">
        <v>2351</v>
      </c>
      <c r="BK844" s="15" t="s">
        <v>2352</v>
      </c>
      <c r="BL844" s="15" t="s">
        <v>2353</v>
      </c>
      <c r="BM844" s="15" t="s">
        <v>2354</v>
      </c>
      <c r="BN844" s="15" t="s">
        <v>2355</v>
      </c>
      <c r="BO844" s="15" t="s">
        <v>2356</v>
      </c>
      <c r="BR844" s="15" t="s">
        <v>192</v>
      </c>
      <c r="BS844" s="15" t="s">
        <v>193</v>
      </c>
      <c r="BT844" s="15" t="s">
        <v>194</v>
      </c>
      <c r="BU844" s="15" t="s">
        <v>195</v>
      </c>
      <c r="BV844" s="15" t="s">
        <v>196</v>
      </c>
      <c r="BW844" s="15" t="s">
        <v>251</v>
      </c>
      <c r="CA844" s="15" t="s">
        <v>2357</v>
      </c>
      <c r="CB844" s="15" t="s">
        <v>78</v>
      </c>
      <c r="CC844" s="15">
        <v>1</v>
      </c>
      <c r="CN844" s="15" t="s">
        <v>198</v>
      </c>
      <c r="CW844" s="10">
        <v>2</v>
      </c>
      <c r="CX844" s="15" t="s">
        <v>2665</v>
      </c>
    </row>
    <row r="845" spans="1:102" s="15" customFormat="1" x14ac:dyDescent="0.3">
      <c r="A845" s="11" t="s">
        <v>2349</v>
      </c>
      <c r="B845" s="10" t="s">
        <v>662</v>
      </c>
      <c r="C845" s="12" t="s">
        <v>3815</v>
      </c>
      <c r="D845" s="10">
        <v>12</v>
      </c>
      <c r="E845" s="13">
        <v>100000</v>
      </c>
      <c r="F845" s="14" t="s">
        <v>243</v>
      </c>
      <c r="G845" s="14" t="s">
        <v>244</v>
      </c>
      <c r="H845" s="15" t="s">
        <v>254</v>
      </c>
      <c r="I845" s="8"/>
      <c r="J845" s="10"/>
      <c r="AV845" s="15" t="s">
        <v>181</v>
      </c>
      <c r="AW845" s="15" t="s">
        <v>182</v>
      </c>
      <c r="AX845" s="15" t="s">
        <v>663</v>
      </c>
      <c r="BH845" s="15" t="s">
        <v>184</v>
      </c>
      <c r="BI845" s="15" t="s">
        <v>185</v>
      </c>
      <c r="BJ845" s="15" t="s">
        <v>2351</v>
      </c>
      <c r="BK845" s="15" t="s">
        <v>2352</v>
      </c>
      <c r="BL845" s="15" t="s">
        <v>2353</v>
      </c>
      <c r="BM845" s="15" t="s">
        <v>2354</v>
      </c>
      <c r="BN845" s="15" t="s">
        <v>2355</v>
      </c>
      <c r="BO845" s="15" t="s">
        <v>2356</v>
      </c>
      <c r="BR845" s="15" t="s">
        <v>192</v>
      </c>
      <c r="BS845" s="15" t="s">
        <v>193</v>
      </c>
      <c r="BT845" s="15" t="s">
        <v>194</v>
      </c>
      <c r="BU845" s="15" t="s">
        <v>195</v>
      </c>
      <c r="BV845" s="15" t="s">
        <v>196</v>
      </c>
      <c r="BW845" s="15" t="s">
        <v>251</v>
      </c>
      <c r="CA845" s="15" t="s">
        <v>2357</v>
      </c>
      <c r="CB845" s="15" t="s">
        <v>78</v>
      </c>
      <c r="CC845" s="15">
        <v>1</v>
      </c>
      <c r="CN845" s="15" t="s">
        <v>198</v>
      </c>
      <c r="CW845" s="10">
        <v>2</v>
      </c>
      <c r="CX845" s="15" t="s">
        <v>2666</v>
      </c>
    </row>
    <row r="846" spans="1:102" s="15" customFormat="1" x14ac:dyDescent="0.3">
      <c r="A846" s="11" t="s">
        <v>2349</v>
      </c>
      <c r="B846" s="10" t="s">
        <v>665</v>
      </c>
      <c r="C846" s="12" t="s">
        <v>3816</v>
      </c>
      <c r="D846" s="10">
        <v>12</v>
      </c>
      <c r="E846" s="13">
        <v>1000000</v>
      </c>
      <c r="F846" s="14" t="s">
        <v>243</v>
      </c>
      <c r="G846" s="14" t="s">
        <v>244</v>
      </c>
      <c r="H846" s="15" t="s">
        <v>254</v>
      </c>
      <c r="I846" s="8"/>
      <c r="J846" s="10"/>
      <c r="AV846" s="15" t="s">
        <v>181</v>
      </c>
      <c r="AW846" s="15" t="s">
        <v>182</v>
      </c>
      <c r="AX846" s="15" t="s">
        <v>666</v>
      </c>
      <c r="BH846" s="15" t="s">
        <v>184</v>
      </c>
      <c r="BI846" s="15" t="s">
        <v>185</v>
      </c>
      <c r="BJ846" s="15" t="s">
        <v>2351</v>
      </c>
      <c r="BK846" s="15" t="s">
        <v>2352</v>
      </c>
      <c r="BL846" s="15" t="s">
        <v>2353</v>
      </c>
      <c r="BM846" s="15" t="s">
        <v>2354</v>
      </c>
      <c r="BN846" s="15" t="s">
        <v>2355</v>
      </c>
      <c r="BO846" s="15" t="s">
        <v>2356</v>
      </c>
      <c r="BR846" s="15" t="s">
        <v>192</v>
      </c>
      <c r="BS846" s="15" t="s">
        <v>193</v>
      </c>
      <c r="BT846" s="15" t="s">
        <v>194</v>
      </c>
      <c r="BU846" s="15" t="s">
        <v>195</v>
      </c>
      <c r="BV846" s="15" t="s">
        <v>196</v>
      </c>
      <c r="BW846" s="15" t="s">
        <v>251</v>
      </c>
      <c r="CA846" s="15" t="s">
        <v>2357</v>
      </c>
      <c r="CB846" s="15" t="s">
        <v>78</v>
      </c>
      <c r="CC846" s="15">
        <v>1</v>
      </c>
      <c r="CN846" s="15" t="s">
        <v>198</v>
      </c>
      <c r="CW846" s="10">
        <v>2</v>
      </c>
      <c r="CX846" s="15" t="s">
        <v>2667</v>
      </c>
    </row>
    <row r="847" spans="1:102" s="15" customFormat="1" x14ac:dyDescent="0.3">
      <c r="A847" s="11" t="s">
        <v>2349</v>
      </c>
      <c r="B847" s="10" t="s">
        <v>668</v>
      </c>
      <c r="C847" s="12" t="s">
        <v>3817</v>
      </c>
      <c r="D847" s="10">
        <v>12</v>
      </c>
      <c r="E847" s="13">
        <v>1000000</v>
      </c>
      <c r="F847" s="14" t="s">
        <v>243</v>
      </c>
      <c r="G847" s="14" t="s">
        <v>244</v>
      </c>
      <c r="H847" s="15" t="s">
        <v>254</v>
      </c>
      <c r="I847" s="8"/>
      <c r="J847" s="10"/>
      <c r="AV847" s="15" t="s">
        <v>181</v>
      </c>
      <c r="AW847" s="15" t="s">
        <v>182</v>
      </c>
      <c r="AX847" s="15" t="s">
        <v>669</v>
      </c>
      <c r="BH847" s="15" t="s">
        <v>184</v>
      </c>
      <c r="BI847" s="15" t="s">
        <v>185</v>
      </c>
      <c r="BJ847" s="15" t="s">
        <v>2351</v>
      </c>
      <c r="BK847" s="15" t="s">
        <v>2352</v>
      </c>
      <c r="BL847" s="15" t="s">
        <v>2353</v>
      </c>
      <c r="BM847" s="15" t="s">
        <v>2354</v>
      </c>
      <c r="BN847" s="15" t="s">
        <v>2355</v>
      </c>
      <c r="BO847" s="15" t="s">
        <v>2356</v>
      </c>
      <c r="BR847" s="15" t="s">
        <v>192</v>
      </c>
      <c r="BS847" s="15" t="s">
        <v>193</v>
      </c>
      <c r="BT847" s="15" t="s">
        <v>194</v>
      </c>
      <c r="BU847" s="15" t="s">
        <v>195</v>
      </c>
      <c r="BV847" s="15" t="s">
        <v>196</v>
      </c>
      <c r="BW847" s="15" t="s">
        <v>251</v>
      </c>
      <c r="CA847" s="15" t="s">
        <v>2357</v>
      </c>
      <c r="CB847" s="15" t="s">
        <v>78</v>
      </c>
      <c r="CC847" s="15">
        <v>1</v>
      </c>
      <c r="CN847" s="15" t="s">
        <v>198</v>
      </c>
      <c r="CW847" s="10">
        <v>2</v>
      </c>
      <c r="CX847" s="15" t="s">
        <v>2668</v>
      </c>
    </row>
    <row r="848" spans="1:102" s="15" customFormat="1" x14ac:dyDescent="0.3">
      <c r="A848" s="11" t="s">
        <v>2349</v>
      </c>
      <c r="B848" s="10" t="s">
        <v>671</v>
      </c>
      <c r="C848" s="12" t="s">
        <v>3818</v>
      </c>
      <c r="D848" s="10">
        <v>12</v>
      </c>
      <c r="E848" s="13">
        <v>1000000</v>
      </c>
      <c r="F848" s="14" t="s">
        <v>243</v>
      </c>
      <c r="G848" s="14" t="s">
        <v>244</v>
      </c>
      <c r="H848" s="15" t="s">
        <v>254</v>
      </c>
      <c r="I848" s="8"/>
      <c r="J848" s="10"/>
      <c r="AV848" s="15" t="s">
        <v>181</v>
      </c>
      <c r="AW848" s="15" t="s">
        <v>182</v>
      </c>
      <c r="AX848" s="15" t="s">
        <v>672</v>
      </c>
      <c r="BH848" s="15" t="s">
        <v>184</v>
      </c>
      <c r="BI848" s="15" t="s">
        <v>185</v>
      </c>
      <c r="BJ848" s="15" t="s">
        <v>2351</v>
      </c>
      <c r="BK848" s="15" t="s">
        <v>2352</v>
      </c>
      <c r="BL848" s="15" t="s">
        <v>2353</v>
      </c>
      <c r="BM848" s="15" t="s">
        <v>2354</v>
      </c>
      <c r="BN848" s="15" t="s">
        <v>2355</v>
      </c>
      <c r="BO848" s="15" t="s">
        <v>2356</v>
      </c>
      <c r="BR848" s="15" t="s">
        <v>192</v>
      </c>
      <c r="BS848" s="15" t="s">
        <v>193</v>
      </c>
      <c r="BT848" s="15" t="s">
        <v>194</v>
      </c>
      <c r="BU848" s="15" t="s">
        <v>195</v>
      </c>
      <c r="BV848" s="15" t="s">
        <v>196</v>
      </c>
      <c r="BW848" s="15" t="s">
        <v>251</v>
      </c>
      <c r="CA848" s="15" t="s">
        <v>2357</v>
      </c>
      <c r="CB848" s="15" t="s">
        <v>78</v>
      </c>
      <c r="CC848" s="15">
        <v>1</v>
      </c>
      <c r="CN848" s="15" t="s">
        <v>198</v>
      </c>
      <c r="CW848" s="10">
        <v>2</v>
      </c>
      <c r="CX848" s="15" t="s">
        <v>2669</v>
      </c>
    </row>
    <row r="849" spans="1:102" s="15" customFormat="1" x14ac:dyDescent="0.3">
      <c r="A849" s="11" t="s">
        <v>2349</v>
      </c>
      <c r="B849" s="10" t="s">
        <v>2670</v>
      </c>
      <c r="C849" s="12" t="s">
        <v>3956</v>
      </c>
      <c r="D849" s="10"/>
      <c r="E849" s="13">
        <v>0</v>
      </c>
      <c r="F849" s="14"/>
      <c r="G849" s="14"/>
      <c r="I849" s="8"/>
      <c r="J849" s="10"/>
      <c r="BH849" s="15" t="s">
        <v>184</v>
      </c>
      <c r="BI849" s="15" t="s">
        <v>185</v>
      </c>
      <c r="BJ849" s="15" t="s">
        <v>2351</v>
      </c>
      <c r="BK849" s="15" t="s">
        <v>2352</v>
      </c>
      <c r="BL849" s="15" t="s">
        <v>2353</v>
      </c>
      <c r="BM849" s="15" t="s">
        <v>2354</v>
      </c>
      <c r="BN849" s="15" t="s">
        <v>2355</v>
      </c>
      <c r="BO849" s="15" t="s">
        <v>2356</v>
      </c>
      <c r="CW849" s="10"/>
    </row>
    <row r="850" spans="1:102" s="15" customFormat="1" x14ac:dyDescent="0.3">
      <c r="A850" s="11" t="s">
        <v>2349</v>
      </c>
      <c r="B850" s="10" t="s">
        <v>325</v>
      </c>
      <c r="C850" s="12" t="s">
        <v>331</v>
      </c>
      <c r="D850" s="10">
        <v>12</v>
      </c>
      <c r="E850" s="13">
        <v>100000</v>
      </c>
      <c r="F850" s="14" t="s">
        <v>243</v>
      </c>
      <c r="G850" s="14" t="s">
        <v>244</v>
      </c>
      <c r="H850" s="15" t="s">
        <v>326</v>
      </c>
      <c r="I850" s="8"/>
      <c r="J850" s="10"/>
      <c r="AV850" s="15" t="s">
        <v>181</v>
      </c>
      <c r="AW850" s="15" t="s">
        <v>182</v>
      </c>
      <c r="AX850" s="15" t="s">
        <v>2671</v>
      </c>
      <c r="AY850" s="15" t="s">
        <v>2672</v>
      </c>
      <c r="BH850" s="15" t="s">
        <v>184</v>
      </c>
      <c r="BI850" s="15" t="s">
        <v>185</v>
      </c>
      <c r="BJ850" s="15" t="s">
        <v>2351</v>
      </c>
      <c r="BK850" s="15" t="s">
        <v>2352</v>
      </c>
      <c r="BL850" s="15" t="s">
        <v>2353</v>
      </c>
      <c r="BM850" s="15" t="s">
        <v>2354</v>
      </c>
      <c r="BN850" s="15" t="s">
        <v>2355</v>
      </c>
      <c r="BO850" s="15" t="s">
        <v>2356</v>
      </c>
      <c r="BR850" s="15" t="s">
        <v>192</v>
      </c>
      <c r="BS850" s="15" t="s">
        <v>193</v>
      </c>
      <c r="BT850" s="15" t="s">
        <v>194</v>
      </c>
      <c r="BU850" s="15" t="s">
        <v>195</v>
      </c>
      <c r="BV850" s="15" t="s">
        <v>196</v>
      </c>
      <c r="BW850" s="15" t="s">
        <v>251</v>
      </c>
      <c r="CA850" s="15" t="s">
        <v>2357</v>
      </c>
      <c r="CB850" s="15" t="s">
        <v>78</v>
      </c>
      <c r="CC850" s="15">
        <v>1</v>
      </c>
      <c r="CN850" s="15" t="s">
        <v>198</v>
      </c>
      <c r="CW850" s="10">
        <v>2</v>
      </c>
      <c r="CX850" s="15" t="s">
        <v>2673</v>
      </c>
    </row>
    <row r="851" spans="1:102" s="15" customFormat="1" x14ac:dyDescent="0.3">
      <c r="A851" s="11" t="s">
        <v>2349</v>
      </c>
      <c r="B851" s="10" t="s">
        <v>336</v>
      </c>
      <c r="C851" s="12" t="s">
        <v>341</v>
      </c>
      <c r="D851" s="10">
        <v>12</v>
      </c>
      <c r="E851" s="13">
        <v>100000</v>
      </c>
      <c r="F851" s="14" t="s">
        <v>243</v>
      </c>
      <c r="G851" s="14" t="s">
        <v>244</v>
      </c>
      <c r="H851" s="15" t="s">
        <v>326</v>
      </c>
      <c r="I851" s="8"/>
      <c r="J851" s="10"/>
      <c r="AV851" s="15" t="s">
        <v>181</v>
      </c>
      <c r="AW851" s="15" t="s">
        <v>182</v>
      </c>
      <c r="AX851" s="15" t="s">
        <v>2674</v>
      </c>
      <c r="AY851" s="15" t="s">
        <v>2675</v>
      </c>
      <c r="BH851" s="15" t="s">
        <v>184</v>
      </c>
      <c r="BI851" s="15" t="s">
        <v>185</v>
      </c>
      <c r="BJ851" s="15" t="s">
        <v>2351</v>
      </c>
      <c r="BK851" s="15" t="s">
        <v>2352</v>
      </c>
      <c r="BL851" s="15" t="s">
        <v>2353</v>
      </c>
      <c r="BM851" s="15" t="s">
        <v>2354</v>
      </c>
      <c r="BN851" s="15" t="s">
        <v>2355</v>
      </c>
      <c r="BO851" s="15" t="s">
        <v>2356</v>
      </c>
      <c r="BR851" s="15" t="s">
        <v>192</v>
      </c>
      <c r="BS851" s="15" t="s">
        <v>193</v>
      </c>
      <c r="BT851" s="15" t="s">
        <v>194</v>
      </c>
      <c r="BU851" s="15" t="s">
        <v>195</v>
      </c>
      <c r="BV851" s="15" t="s">
        <v>196</v>
      </c>
      <c r="BW851" s="15" t="s">
        <v>251</v>
      </c>
      <c r="CA851" s="15" t="s">
        <v>2357</v>
      </c>
      <c r="CB851" s="15" t="s">
        <v>78</v>
      </c>
      <c r="CC851" s="15">
        <v>1</v>
      </c>
      <c r="CN851" s="15" t="s">
        <v>198</v>
      </c>
      <c r="CW851" s="10">
        <v>2</v>
      </c>
      <c r="CX851" s="15" t="s">
        <v>2676</v>
      </c>
    </row>
    <row r="852" spans="1:102" s="15" customFormat="1" x14ac:dyDescent="0.3">
      <c r="A852" s="11" t="s">
        <v>2349</v>
      </c>
      <c r="B852" s="10" t="s">
        <v>346</v>
      </c>
      <c r="C852" s="12" t="s">
        <v>350</v>
      </c>
      <c r="D852" s="10">
        <v>12</v>
      </c>
      <c r="E852" s="13">
        <v>100000</v>
      </c>
      <c r="F852" s="14" t="s">
        <v>243</v>
      </c>
      <c r="G852" s="14" t="s">
        <v>244</v>
      </c>
      <c r="H852" s="15" t="s">
        <v>211</v>
      </c>
      <c r="I852" s="8"/>
      <c r="J852" s="10"/>
      <c r="AV852" s="15" t="s">
        <v>181</v>
      </c>
      <c r="AW852" s="15" t="s">
        <v>182</v>
      </c>
      <c r="AX852" s="15" t="s">
        <v>2677</v>
      </c>
      <c r="BH852" s="15" t="s">
        <v>184</v>
      </c>
      <c r="BI852" s="15" t="s">
        <v>185</v>
      </c>
      <c r="BJ852" s="15" t="s">
        <v>2351</v>
      </c>
      <c r="BK852" s="15" t="s">
        <v>2352</v>
      </c>
      <c r="BL852" s="15" t="s">
        <v>2353</v>
      </c>
      <c r="BM852" s="15" t="s">
        <v>2354</v>
      </c>
      <c r="BN852" s="15" t="s">
        <v>2355</v>
      </c>
      <c r="BO852" s="15" t="s">
        <v>2356</v>
      </c>
      <c r="BR852" s="15" t="s">
        <v>192</v>
      </c>
      <c r="BS852" s="15" t="s">
        <v>193</v>
      </c>
      <c r="BT852" s="15" t="s">
        <v>194</v>
      </c>
      <c r="BU852" s="15" t="s">
        <v>195</v>
      </c>
      <c r="BV852" s="15" t="s">
        <v>196</v>
      </c>
      <c r="BW852" s="15" t="s">
        <v>251</v>
      </c>
      <c r="CA852" s="15" t="s">
        <v>2357</v>
      </c>
      <c r="CB852" s="15" t="s">
        <v>78</v>
      </c>
      <c r="CC852" s="15">
        <v>1</v>
      </c>
      <c r="CN852" s="15" t="s">
        <v>198</v>
      </c>
      <c r="CW852" s="10">
        <v>2</v>
      </c>
      <c r="CX852" s="15" t="s">
        <v>2678</v>
      </c>
    </row>
    <row r="853" spans="1:102" s="15" customFormat="1" x14ac:dyDescent="0.3">
      <c r="A853" s="11" t="s">
        <v>2349</v>
      </c>
      <c r="B853" s="10" t="s">
        <v>355</v>
      </c>
      <c r="C853" s="12" t="s">
        <v>360</v>
      </c>
      <c r="D853" s="10">
        <v>12</v>
      </c>
      <c r="E853" s="13">
        <v>100000</v>
      </c>
      <c r="F853" s="14" t="s">
        <v>243</v>
      </c>
      <c r="G853" s="14" t="s">
        <v>244</v>
      </c>
      <c r="H853" s="15" t="s">
        <v>326</v>
      </c>
      <c r="I853" s="8"/>
      <c r="J853" s="10"/>
      <c r="AV853" s="15" t="s">
        <v>181</v>
      </c>
      <c r="AW853" s="15" t="s">
        <v>182</v>
      </c>
      <c r="AX853" s="15" t="s">
        <v>2679</v>
      </c>
      <c r="AY853" s="15" t="s">
        <v>2680</v>
      </c>
      <c r="BH853" s="15" t="s">
        <v>184</v>
      </c>
      <c r="BI853" s="15" t="s">
        <v>185</v>
      </c>
      <c r="BJ853" s="15" t="s">
        <v>2351</v>
      </c>
      <c r="BK853" s="15" t="s">
        <v>2352</v>
      </c>
      <c r="BL853" s="15" t="s">
        <v>2353</v>
      </c>
      <c r="BM853" s="15" t="s">
        <v>2354</v>
      </c>
      <c r="BN853" s="15" t="s">
        <v>2355</v>
      </c>
      <c r="BO853" s="15" t="s">
        <v>2356</v>
      </c>
      <c r="BR853" s="15" t="s">
        <v>192</v>
      </c>
      <c r="BS853" s="15" t="s">
        <v>193</v>
      </c>
      <c r="BT853" s="15" t="s">
        <v>194</v>
      </c>
      <c r="BU853" s="15" t="s">
        <v>195</v>
      </c>
      <c r="BV853" s="15" t="s">
        <v>196</v>
      </c>
      <c r="BW853" s="15" t="s">
        <v>251</v>
      </c>
      <c r="CA853" s="15" t="s">
        <v>2357</v>
      </c>
      <c r="CB853" s="15" t="s">
        <v>78</v>
      </c>
      <c r="CC853" s="15">
        <v>1</v>
      </c>
      <c r="CN853" s="15" t="s">
        <v>198</v>
      </c>
      <c r="CW853" s="10">
        <v>2</v>
      </c>
      <c r="CX853" s="15" t="s">
        <v>2681</v>
      </c>
    </row>
    <row r="854" spans="1:102" s="15" customFormat="1" x14ac:dyDescent="0.3">
      <c r="A854" s="11" t="s">
        <v>2349</v>
      </c>
      <c r="B854" s="10" t="s">
        <v>365</v>
      </c>
      <c r="C854" s="12" t="s">
        <v>369</v>
      </c>
      <c r="D854" s="10">
        <v>12</v>
      </c>
      <c r="E854" s="13">
        <v>100000</v>
      </c>
      <c r="F854" s="14" t="s">
        <v>243</v>
      </c>
      <c r="G854" s="14" t="s">
        <v>244</v>
      </c>
      <c r="H854" s="15" t="s">
        <v>211</v>
      </c>
      <c r="I854" s="8"/>
      <c r="J854" s="10"/>
      <c r="AV854" s="15" t="s">
        <v>181</v>
      </c>
      <c r="AW854" s="15" t="s">
        <v>182</v>
      </c>
      <c r="AX854" s="15" t="s">
        <v>2682</v>
      </c>
      <c r="BH854" s="15" t="s">
        <v>184</v>
      </c>
      <c r="BI854" s="15" t="s">
        <v>185</v>
      </c>
      <c r="BJ854" s="15" t="s">
        <v>2351</v>
      </c>
      <c r="BK854" s="15" t="s">
        <v>2352</v>
      </c>
      <c r="BL854" s="15" t="s">
        <v>2353</v>
      </c>
      <c r="BM854" s="15" t="s">
        <v>2354</v>
      </c>
      <c r="BN854" s="15" t="s">
        <v>2355</v>
      </c>
      <c r="BO854" s="15" t="s">
        <v>2356</v>
      </c>
      <c r="BR854" s="15" t="s">
        <v>192</v>
      </c>
      <c r="BS854" s="15" t="s">
        <v>193</v>
      </c>
      <c r="BT854" s="15" t="s">
        <v>194</v>
      </c>
      <c r="BU854" s="15" t="s">
        <v>195</v>
      </c>
      <c r="BV854" s="15" t="s">
        <v>196</v>
      </c>
      <c r="BW854" s="15" t="s">
        <v>251</v>
      </c>
      <c r="CA854" s="15" t="s">
        <v>2357</v>
      </c>
      <c r="CB854" s="15" t="s">
        <v>78</v>
      </c>
      <c r="CC854" s="15">
        <v>1</v>
      </c>
      <c r="CN854" s="15" t="s">
        <v>198</v>
      </c>
      <c r="CW854" s="10">
        <v>2</v>
      </c>
      <c r="CX854" s="15" t="s">
        <v>2683</v>
      </c>
    </row>
    <row r="855" spans="1:102" s="15" customFormat="1" x14ac:dyDescent="0.3">
      <c r="A855" s="11" t="s">
        <v>2349</v>
      </c>
      <c r="B855" s="10" t="s">
        <v>374</v>
      </c>
      <c r="C855" s="12" t="s">
        <v>379</v>
      </c>
      <c r="D855" s="10">
        <v>12</v>
      </c>
      <c r="E855" s="13">
        <v>100000</v>
      </c>
      <c r="F855" s="14" t="s">
        <v>243</v>
      </c>
      <c r="G855" s="14" t="s">
        <v>244</v>
      </c>
      <c r="H855" s="15" t="s">
        <v>326</v>
      </c>
      <c r="I855" s="8"/>
      <c r="J855" s="10"/>
      <c r="AV855" s="15" t="s">
        <v>181</v>
      </c>
      <c r="AW855" s="15" t="s">
        <v>182</v>
      </c>
      <c r="AX855" s="15" t="s">
        <v>2684</v>
      </c>
      <c r="AY855" s="15" t="s">
        <v>2685</v>
      </c>
      <c r="BH855" s="15" t="s">
        <v>184</v>
      </c>
      <c r="BI855" s="15" t="s">
        <v>185</v>
      </c>
      <c r="BJ855" s="15" t="s">
        <v>2351</v>
      </c>
      <c r="BK855" s="15" t="s">
        <v>2352</v>
      </c>
      <c r="BL855" s="15" t="s">
        <v>2353</v>
      </c>
      <c r="BM855" s="15" t="s">
        <v>2354</v>
      </c>
      <c r="BN855" s="15" t="s">
        <v>2355</v>
      </c>
      <c r="BO855" s="15" t="s">
        <v>2356</v>
      </c>
      <c r="BR855" s="15" t="s">
        <v>192</v>
      </c>
      <c r="BS855" s="15" t="s">
        <v>193</v>
      </c>
      <c r="BT855" s="15" t="s">
        <v>194</v>
      </c>
      <c r="BU855" s="15" t="s">
        <v>195</v>
      </c>
      <c r="BV855" s="15" t="s">
        <v>196</v>
      </c>
      <c r="BW855" s="15" t="s">
        <v>251</v>
      </c>
      <c r="CA855" s="15" t="s">
        <v>2357</v>
      </c>
      <c r="CB855" s="15" t="s">
        <v>78</v>
      </c>
      <c r="CC855" s="15">
        <v>1</v>
      </c>
      <c r="CN855" s="15" t="s">
        <v>198</v>
      </c>
      <c r="CW855" s="10">
        <v>2</v>
      </c>
      <c r="CX855" s="15" t="s">
        <v>2686</v>
      </c>
    </row>
    <row r="856" spans="1:102" s="15" customFormat="1" x14ac:dyDescent="0.3">
      <c r="A856" s="11" t="s">
        <v>2349</v>
      </c>
      <c r="B856" s="10" t="s">
        <v>384</v>
      </c>
      <c r="C856" s="12" t="s">
        <v>387</v>
      </c>
      <c r="D856" s="10">
        <v>12</v>
      </c>
      <c r="E856" s="13">
        <v>100000</v>
      </c>
      <c r="F856" s="14" t="s">
        <v>243</v>
      </c>
      <c r="G856" s="14" t="s">
        <v>244</v>
      </c>
      <c r="H856" s="15" t="s">
        <v>211</v>
      </c>
      <c r="I856" s="8"/>
      <c r="J856" s="10"/>
      <c r="AV856" s="15" t="s">
        <v>181</v>
      </c>
      <c r="AW856" s="15" t="s">
        <v>182</v>
      </c>
      <c r="AX856" s="15" t="s">
        <v>2640</v>
      </c>
      <c r="BH856" s="15" t="s">
        <v>184</v>
      </c>
      <c r="BI856" s="15" t="s">
        <v>185</v>
      </c>
      <c r="BJ856" s="15" t="s">
        <v>2351</v>
      </c>
      <c r="BK856" s="15" t="s">
        <v>2352</v>
      </c>
      <c r="BL856" s="15" t="s">
        <v>2353</v>
      </c>
      <c r="BM856" s="15" t="s">
        <v>2354</v>
      </c>
      <c r="BN856" s="15" t="s">
        <v>2355</v>
      </c>
      <c r="BO856" s="15" t="s">
        <v>2356</v>
      </c>
      <c r="BR856" s="15" t="s">
        <v>192</v>
      </c>
      <c r="BS856" s="15" t="s">
        <v>193</v>
      </c>
      <c r="BT856" s="15" t="s">
        <v>194</v>
      </c>
      <c r="BU856" s="15" t="s">
        <v>195</v>
      </c>
      <c r="BV856" s="15" t="s">
        <v>196</v>
      </c>
      <c r="BW856" s="15" t="s">
        <v>251</v>
      </c>
      <c r="CA856" s="15" t="s">
        <v>2357</v>
      </c>
      <c r="CB856" s="15" t="s">
        <v>78</v>
      </c>
      <c r="CC856" s="15">
        <v>1</v>
      </c>
      <c r="CN856" s="15" t="s">
        <v>198</v>
      </c>
      <c r="CW856" s="10">
        <v>2</v>
      </c>
      <c r="CX856" s="15" t="s">
        <v>2687</v>
      </c>
    </row>
    <row r="857" spans="1:102" s="15" customFormat="1" x14ac:dyDescent="0.3">
      <c r="A857" s="11" t="s">
        <v>2349</v>
      </c>
      <c r="B857" s="10" t="s">
        <v>474</v>
      </c>
      <c r="C857" s="12" t="s">
        <v>478</v>
      </c>
      <c r="D857" s="10">
        <v>12</v>
      </c>
      <c r="E857" s="13">
        <v>100000</v>
      </c>
      <c r="F857" s="14" t="s">
        <v>243</v>
      </c>
      <c r="G857" s="14" t="s">
        <v>244</v>
      </c>
      <c r="H857" s="15" t="s">
        <v>312</v>
      </c>
      <c r="I857" s="8"/>
      <c r="J857" s="10"/>
      <c r="AV857" s="15" t="s">
        <v>181</v>
      </c>
      <c r="AW857" s="15" t="s">
        <v>182</v>
      </c>
      <c r="AX857" s="15" t="s">
        <v>2688</v>
      </c>
      <c r="BH857" s="15" t="s">
        <v>184</v>
      </c>
      <c r="BI857" s="15" t="s">
        <v>185</v>
      </c>
      <c r="BJ857" s="15" t="s">
        <v>2351</v>
      </c>
      <c r="BK857" s="15" t="s">
        <v>2352</v>
      </c>
      <c r="BL857" s="15" t="s">
        <v>2353</v>
      </c>
      <c r="BM857" s="15" t="s">
        <v>2354</v>
      </c>
      <c r="BN857" s="15" t="s">
        <v>2355</v>
      </c>
      <c r="BO857" s="15" t="s">
        <v>2356</v>
      </c>
      <c r="BR857" s="15" t="s">
        <v>192</v>
      </c>
      <c r="BS857" s="15" t="s">
        <v>193</v>
      </c>
      <c r="BT857" s="15" t="s">
        <v>194</v>
      </c>
      <c r="BU857" s="15" t="s">
        <v>195</v>
      </c>
      <c r="BV857" s="15" t="s">
        <v>196</v>
      </c>
      <c r="BW857" s="15" t="s">
        <v>272</v>
      </c>
      <c r="CA857" s="15" t="s">
        <v>2357</v>
      </c>
      <c r="CB857" s="15" t="s">
        <v>78</v>
      </c>
      <c r="CC857" s="15">
        <v>1</v>
      </c>
      <c r="CN857" s="15" t="s">
        <v>273</v>
      </c>
      <c r="CW857" s="10">
        <v>2</v>
      </c>
      <c r="CX857" s="15" t="s">
        <v>2689</v>
      </c>
    </row>
    <row r="858" spans="1:102" s="15" customFormat="1" x14ac:dyDescent="0.3">
      <c r="A858" s="11" t="s">
        <v>2349</v>
      </c>
      <c r="B858" s="10" t="s">
        <v>477</v>
      </c>
      <c r="C858" s="12" t="s">
        <v>478</v>
      </c>
      <c r="D858" s="10">
        <v>12</v>
      </c>
      <c r="E858" s="13">
        <v>100000</v>
      </c>
      <c r="F858" s="14" t="s">
        <v>244</v>
      </c>
      <c r="G858" s="14" t="s">
        <v>244</v>
      </c>
      <c r="H858" s="15" t="s">
        <v>312</v>
      </c>
      <c r="I858" s="8"/>
      <c r="J858" s="10"/>
      <c r="AW858" s="15" t="s">
        <v>128</v>
      </c>
      <c r="AX858" s="15" t="s">
        <v>2688</v>
      </c>
      <c r="BH858" s="15" t="s">
        <v>184</v>
      </c>
      <c r="BI858" s="15" t="s">
        <v>185</v>
      </c>
      <c r="BJ858" s="15" t="s">
        <v>2351</v>
      </c>
      <c r="BK858" s="15" t="s">
        <v>2352</v>
      </c>
      <c r="BL858" s="15" t="s">
        <v>2353</v>
      </c>
      <c r="BM858" s="15" t="s">
        <v>2354</v>
      </c>
      <c r="BN858" s="15" t="s">
        <v>2355</v>
      </c>
      <c r="BO858" s="15" t="s">
        <v>2356</v>
      </c>
      <c r="BR858" s="15" t="s">
        <v>192</v>
      </c>
      <c r="BS858" s="15" t="s">
        <v>193</v>
      </c>
      <c r="BT858" s="15" t="s">
        <v>194</v>
      </c>
      <c r="BU858" s="15" t="s">
        <v>195</v>
      </c>
      <c r="BV858" s="15" t="s">
        <v>196</v>
      </c>
      <c r="BW858" s="15" t="s">
        <v>272</v>
      </c>
      <c r="CB858" s="15" t="s">
        <v>128</v>
      </c>
      <c r="CC858" s="15">
        <v>1</v>
      </c>
      <c r="CN858" s="15" t="s">
        <v>273</v>
      </c>
      <c r="CW858" s="10">
        <v>2</v>
      </c>
      <c r="CX858" s="15" t="s">
        <v>2690</v>
      </c>
    </row>
    <row r="859" spans="1:102" s="15" customFormat="1" x14ac:dyDescent="0.3">
      <c r="A859" s="11" t="s">
        <v>2349</v>
      </c>
      <c r="B859" s="10" t="s">
        <v>492</v>
      </c>
      <c r="C859" s="12" t="s">
        <v>820</v>
      </c>
      <c r="D859" s="10">
        <v>12</v>
      </c>
      <c r="E859" s="13">
        <v>100000</v>
      </c>
      <c r="F859" s="14" t="s">
        <v>243</v>
      </c>
      <c r="G859" s="14" t="s">
        <v>244</v>
      </c>
      <c r="H859" s="15" t="s">
        <v>254</v>
      </c>
      <c r="I859" s="8" t="s">
        <v>296</v>
      </c>
      <c r="J859" s="10" t="s">
        <v>493</v>
      </c>
      <c r="K859" s="15" t="s">
        <v>494</v>
      </c>
      <c r="AV859" s="15" t="s">
        <v>181</v>
      </c>
      <c r="AW859" s="15" t="s">
        <v>182</v>
      </c>
      <c r="AX859" s="15" t="s">
        <v>2691</v>
      </c>
      <c r="AY859" s="15" t="s">
        <v>2692</v>
      </c>
      <c r="AZ859" s="15" t="s">
        <v>2693</v>
      </c>
      <c r="BA859" s="15" t="s">
        <v>2694</v>
      </c>
      <c r="BH859" s="15" t="s">
        <v>184</v>
      </c>
      <c r="BI859" s="15" t="s">
        <v>185</v>
      </c>
      <c r="BJ859" s="15" t="s">
        <v>2351</v>
      </c>
      <c r="BK859" s="15" t="s">
        <v>2352</v>
      </c>
      <c r="BL859" s="15" t="s">
        <v>2353</v>
      </c>
      <c r="BM859" s="15" t="s">
        <v>2354</v>
      </c>
      <c r="BN859" s="15" t="s">
        <v>2355</v>
      </c>
      <c r="BO859" s="15" t="s">
        <v>2356</v>
      </c>
      <c r="BR859" s="15" t="s">
        <v>192</v>
      </c>
      <c r="BS859" s="15" t="s">
        <v>193</v>
      </c>
      <c r="BT859" s="15" t="s">
        <v>194</v>
      </c>
      <c r="BU859" s="15" t="s">
        <v>195</v>
      </c>
      <c r="BV859" s="15" t="s">
        <v>196</v>
      </c>
      <c r="BW859" s="15" t="s">
        <v>272</v>
      </c>
      <c r="CA859" s="15" t="s">
        <v>2357</v>
      </c>
      <c r="CB859" s="15" t="s">
        <v>78</v>
      </c>
      <c r="CC859" s="15">
        <v>1</v>
      </c>
      <c r="CN859" s="15" t="s">
        <v>198</v>
      </c>
      <c r="CW859" s="10">
        <v>2</v>
      </c>
      <c r="CX859" s="15" t="s">
        <v>2695</v>
      </c>
    </row>
    <row r="860" spans="1:102" s="15" customFormat="1" x14ac:dyDescent="0.3">
      <c r="A860" s="11" t="s">
        <v>2349</v>
      </c>
      <c r="B860" s="10" t="s">
        <v>819</v>
      </c>
      <c r="C860" s="12" t="s">
        <v>820</v>
      </c>
      <c r="D860" s="10">
        <v>12</v>
      </c>
      <c r="E860" s="13">
        <v>100000</v>
      </c>
      <c r="F860" s="14" t="s">
        <v>244</v>
      </c>
      <c r="G860" s="14" t="s">
        <v>244</v>
      </c>
      <c r="H860" s="15" t="s">
        <v>254</v>
      </c>
      <c r="I860" s="8" t="s">
        <v>296</v>
      </c>
      <c r="J860" s="10" t="s">
        <v>493</v>
      </c>
      <c r="K860" s="15" t="s">
        <v>494</v>
      </c>
      <c r="AW860" s="15" t="s">
        <v>128</v>
      </c>
      <c r="AX860" s="15" t="s">
        <v>2691</v>
      </c>
      <c r="AY860" s="15" t="s">
        <v>2692</v>
      </c>
      <c r="AZ860" s="15" t="s">
        <v>2693</v>
      </c>
      <c r="BA860" s="15" t="s">
        <v>2694</v>
      </c>
      <c r="BH860" s="15" t="s">
        <v>184</v>
      </c>
      <c r="BI860" s="15" t="s">
        <v>185</v>
      </c>
      <c r="BJ860" s="15" t="s">
        <v>2351</v>
      </c>
      <c r="BK860" s="15" t="s">
        <v>2352</v>
      </c>
      <c r="BL860" s="15" t="s">
        <v>2353</v>
      </c>
      <c r="BM860" s="15" t="s">
        <v>2354</v>
      </c>
      <c r="BN860" s="15" t="s">
        <v>2355</v>
      </c>
      <c r="BO860" s="15" t="s">
        <v>2356</v>
      </c>
      <c r="BR860" s="15" t="s">
        <v>192</v>
      </c>
      <c r="BS860" s="15" t="s">
        <v>193</v>
      </c>
      <c r="BT860" s="15" t="s">
        <v>194</v>
      </c>
      <c r="BU860" s="15" t="s">
        <v>195</v>
      </c>
      <c r="BV860" s="15" t="s">
        <v>196</v>
      </c>
      <c r="BW860" s="15" t="s">
        <v>272</v>
      </c>
      <c r="CB860" s="15" t="s">
        <v>128</v>
      </c>
      <c r="CC860" s="15">
        <v>1</v>
      </c>
      <c r="CN860" s="15" t="s">
        <v>198</v>
      </c>
      <c r="CW860" s="10">
        <v>2</v>
      </c>
      <c r="CX860" s="15" t="s">
        <v>2696</v>
      </c>
    </row>
    <row r="861" spans="1:102" s="15" customFormat="1" x14ac:dyDescent="0.3">
      <c r="A861" s="11" t="s">
        <v>2349</v>
      </c>
      <c r="B861" s="10" t="s">
        <v>639</v>
      </c>
      <c r="C861" s="12" t="s">
        <v>3596</v>
      </c>
      <c r="D861" s="10">
        <v>12</v>
      </c>
      <c r="E861" s="13">
        <v>100000</v>
      </c>
      <c r="F861" s="14" t="s">
        <v>640</v>
      </c>
      <c r="G861" s="14" t="s">
        <v>641</v>
      </c>
      <c r="H861" s="15" t="s">
        <v>642</v>
      </c>
      <c r="I861" s="8"/>
      <c r="J861" s="10"/>
      <c r="AV861" s="15" t="s">
        <v>643</v>
      </c>
      <c r="AW861" s="15" t="s">
        <v>644</v>
      </c>
      <c r="AX861" s="15" t="s">
        <v>2688</v>
      </c>
      <c r="AY861" s="15" t="s">
        <v>2697</v>
      </c>
      <c r="BH861" s="15" t="s">
        <v>184</v>
      </c>
      <c r="BI861" s="15" t="s">
        <v>185</v>
      </c>
      <c r="BJ861" s="15" t="s">
        <v>2351</v>
      </c>
      <c r="BK861" s="15" t="s">
        <v>2352</v>
      </c>
      <c r="BL861" s="15" t="s">
        <v>2353</v>
      </c>
      <c r="BM861" s="15" t="s">
        <v>2354</v>
      </c>
      <c r="BN861" s="15" t="s">
        <v>2355</v>
      </c>
      <c r="BO861" s="15" t="s">
        <v>2356</v>
      </c>
      <c r="BR861" s="15" t="s">
        <v>192</v>
      </c>
      <c r="BS861" s="15" t="s">
        <v>193</v>
      </c>
      <c r="BT861" s="15" t="s">
        <v>194</v>
      </c>
      <c r="BU861" s="15" t="s">
        <v>195</v>
      </c>
      <c r="BV861" s="15" t="s">
        <v>196</v>
      </c>
      <c r="BW861" s="15" t="s">
        <v>272</v>
      </c>
      <c r="CA861" s="15" t="s">
        <v>2357</v>
      </c>
      <c r="CB861" s="15" t="s">
        <v>78</v>
      </c>
      <c r="CC861" s="15">
        <v>1</v>
      </c>
      <c r="CN861" s="15" t="s">
        <v>273</v>
      </c>
      <c r="CW861" s="10">
        <v>2</v>
      </c>
      <c r="CX861" s="15" t="s">
        <v>2698</v>
      </c>
    </row>
    <row r="862" spans="1:102" s="15" customFormat="1" x14ac:dyDescent="0.3">
      <c r="A862" s="11" t="s">
        <v>2349</v>
      </c>
      <c r="B862" s="10" t="s">
        <v>395</v>
      </c>
      <c r="C862" s="12" t="s">
        <v>3606</v>
      </c>
      <c r="D862" s="10">
        <v>12</v>
      </c>
      <c r="E862" s="13">
        <v>100000</v>
      </c>
      <c r="F862" s="14" t="s">
        <v>243</v>
      </c>
      <c r="G862" s="14" t="s">
        <v>244</v>
      </c>
      <c r="H862" s="15" t="s">
        <v>211</v>
      </c>
      <c r="I862" s="8"/>
      <c r="J862" s="10"/>
      <c r="AV862" s="15" t="s">
        <v>181</v>
      </c>
      <c r="AW862" s="15" t="s">
        <v>182</v>
      </c>
      <c r="AX862" s="15" t="s">
        <v>2699</v>
      </c>
      <c r="BH862" s="15" t="s">
        <v>184</v>
      </c>
      <c r="BI862" s="15" t="s">
        <v>185</v>
      </c>
      <c r="BJ862" s="15" t="s">
        <v>2351</v>
      </c>
      <c r="BK862" s="15" t="s">
        <v>2352</v>
      </c>
      <c r="BL862" s="15" t="s">
        <v>2353</v>
      </c>
      <c r="BM862" s="15" t="s">
        <v>2354</v>
      </c>
      <c r="BN862" s="15" t="s">
        <v>2355</v>
      </c>
      <c r="BO862" s="15" t="s">
        <v>2356</v>
      </c>
      <c r="BR862" s="15" t="s">
        <v>192</v>
      </c>
      <c r="BS862" s="15" t="s">
        <v>193</v>
      </c>
      <c r="BT862" s="15" t="s">
        <v>194</v>
      </c>
      <c r="BU862" s="15" t="s">
        <v>195</v>
      </c>
      <c r="BV862" s="15" t="s">
        <v>196</v>
      </c>
      <c r="BW862" s="15" t="s">
        <v>293</v>
      </c>
      <c r="CA862" s="15" t="s">
        <v>2357</v>
      </c>
      <c r="CB862" s="15" t="s">
        <v>78</v>
      </c>
      <c r="CC862" s="15">
        <v>1</v>
      </c>
      <c r="CN862" s="15" t="s">
        <v>198</v>
      </c>
      <c r="CW862" s="10">
        <v>2</v>
      </c>
      <c r="CX862" s="15" t="s">
        <v>2700</v>
      </c>
    </row>
    <row r="863" spans="1:102" s="15" customFormat="1" x14ac:dyDescent="0.3">
      <c r="A863" s="11" t="s">
        <v>2349</v>
      </c>
      <c r="B863" s="10" t="s">
        <v>787</v>
      </c>
      <c r="C863" s="12" t="s">
        <v>3608</v>
      </c>
      <c r="D863" s="10">
        <v>12</v>
      </c>
      <c r="E863" s="13">
        <v>100000</v>
      </c>
      <c r="F863" s="14" t="s">
        <v>243</v>
      </c>
      <c r="G863" s="14" t="s">
        <v>244</v>
      </c>
      <c r="H863" s="15" t="s">
        <v>211</v>
      </c>
      <c r="I863" s="8"/>
      <c r="J863" s="10"/>
      <c r="AV863" s="15" t="s">
        <v>181</v>
      </c>
      <c r="AW863" s="15" t="s">
        <v>182</v>
      </c>
      <c r="AX863" s="15" t="s">
        <v>2701</v>
      </c>
      <c r="BH863" s="15" t="s">
        <v>184</v>
      </c>
      <c r="BI863" s="15" t="s">
        <v>185</v>
      </c>
      <c r="BJ863" s="15" t="s">
        <v>2351</v>
      </c>
      <c r="BK863" s="15" t="s">
        <v>2352</v>
      </c>
      <c r="BL863" s="15" t="s">
        <v>2353</v>
      </c>
      <c r="BM863" s="15" t="s">
        <v>2354</v>
      </c>
      <c r="BN863" s="15" t="s">
        <v>2355</v>
      </c>
      <c r="BO863" s="15" t="s">
        <v>2356</v>
      </c>
      <c r="BR863" s="15" t="s">
        <v>192</v>
      </c>
      <c r="BS863" s="15" t="s">
        <v>193</v>
      </c>
      <c r="BT863" s="15" t="s">
        <v>194</v>
      </c>
      <c r="BU863" s="15" t="s">
        <v>195</v>
      </c>
      <c r="BV863" s="15" t="s">
        <v>196</v>
      </c>
      <c r="BW863" s="15" t="s">
        <v>293</v>
      </c>
      <c r="CA863" s="15" t="s">
        <v>2357</v>
      </c>
      <c r="CB863" s="15" t="s">
        <v>78</v>
      </c>
      <c r="CC863" s="15">
        <v>1</v>
      </c>
      <c r="CN863" s="15" t="s">
        <v>198</v>
      </c>
      <c r="CW863" s="10">
        <v>2</v>
      </c>
      <c r="CX863" s="15" t="s">
        <v>2702</v>
      </c>
    </row>
    <row r="864" spans="1:102" s="15" customFormat="1" x14ac:dyDescent="0.3">
      <c r="A864" s="11" t="s">
        <v>2349</v>
      </c>
      <c r="B864" s="10" t="s">
        <v>398</v>
      </c>
      <c r="C864" s="12" t="s">
        <v>3616</v>
      </c>
      <c r="D864" s="10">
        <v>12</v>
      </c>
      <c r="E864" s="13">
        <v>100000</v>
      </c>
      <c r="F864" s="14" t="s">
        <v>243</v>
      </c>
      <c r="G864" s="14" t="s">
        <v>244</v>
      </c>
      <c r="H864" s="15" t="s">
        <v>211</v>
      </c>
      <c r="I864" s="8"/>
      <c r="J864" s="10"/>
      <c r="AV864" s="15" t="s">
        <v>181</v>
      </c>
      <c r="AW864" s="15" t="s">
        <v>182</v>
      </c>
      <c r="AX864" s="15" t="s">
        <v>2703</v>
      </c>
      <c r="BH864" s="15" t="s">
        <v>184</v>
      </c>
      <c r="BI864" s="15" t="s">
        <v>185</v>
      </c>
      <c r="BJ864" s="15" t="s">
        <v>2351</v>
      </c>
      <c r="BK864" s="15" t="s">
        <v>2352</v>
      </c>
      <c r="BL864" s="15" t="s">
        <v>2353</v>
      </c>
      <c r="BM864" s="15" t="s">
        <v>2354</v>
      </c>
      <c r="BN864" s="15" t="s">
        <v>2355</v>
      </c>
      <c r="BO864" s="15" t="s">
        <v>2356</v>
      </c>
      <c r="BR864" s="15" t="s">
        <v>192</v>
      </c>
      <c r="BS864" s="15" t="s">
        <v>193</v>
      </c>
      <c r="BT864" s="15" t="s">
        <v>194</v>
      </c>
      <c r="BU864" s="15" t="s">
        <v>195</v>
      </c>
      <c r="BV864" s="15" t="s">
        <v>196</v>
      </c>
      <c r="BW864" s="15" t="s">
        <v>289</v>
      </c>
      <c r="CA864" s="15" t="s">
        <v>2357</v>
      </c>
      <c r="CB864" s="15" t="s">
        <v>78</v>
      </c>
      <c r="CC864" s="15">
        <v>1</v>
      </c>
      <c r="CN864" s="15" t="s">
        <v>198</v>
      </c>
      <c r="CW864" s="10">
        <v>2</v>
      </c>
      <c r="CX864" s="15" t="s">
        <v>2704</v>
      </c>
    </row>
    <row r="865" spans="1:102" s="15" customFormat="1" x14ac:dyDescent="0.3">
      <c r="A865" s="11" t="s">
        <v>2349</v>
      </c>
      <c r="B865" s="10" t="s">
        <v>633</v>
      </c>
      <c r="C865" s="12" t="s">
        <v>3620</v>
      </c>
      <c r="D865" s="10">
        <v>12</v>
      </c>
      <c r="E865" s="13">
        <v>100000</v>
      </c>
      <c r="F865" s="14" t="s">
        <v>2705</v>
      </c>
      <c r="G865" s="14" t="s">
        <v>641</v>
      </c>
      <c r="H865" s="15" t="s">
        <v>2706</v>
      </c>
      <c r="I865" s="8"/>
      <c r="J865" s="10"/>
      <c r="AV865" s="15" t="s">
        <v>643</v>
      </c>
      <c r="AW865" s="15" t="s">
        <v>644</v>
      </c>
      <c r="AX865" s="15" t="s">
        <v>2703</v>
      </c>
      <c r="AY865" s="15" t="s">
        <v>2707</v>
      </c>
      <c r="AZ865" s="15" t="s">
        <v>2708</v>
      </c>
      <c r="BA865" s="15" t="s">
        <v>2709</v>
      </c>
      <c r="BH865" s="15" t="s">
        <v>184</v>
      </c>
      <c r="BI865" s="15" t="s">
        <v>185</v>
      </c>
      <c r="BJ865" s="15" t="s">
        <v>2351</v>
      </c>
      <c r="BK865" s="15" t="s">
        <v>2352</v>
      </c>
      <c r="BL865" s="15" t="s">
        <v>2353</v>
      </c>
      <c r="BM865" s="15" t="s">
        <v>2354</v>
      </c>
      <c r="BN865" s="15" t="s">
        <v>2355</v>
      </c>
      <c r="BO865" s="15" t="s">
        <v>2356</v>
      </c>
      <c r="BR865" s="15" t="s">
        <v>192</v>
      </c>
      <c r="BS865" s="15" t="s">
        <v>193</v>
      </c>
      <c r="BT865" s="15" t="s">
        <v>194</v>
      </c>
      <c r="BU865" s="15" t="s">
        <v>195</v>
      </c>
      <c r="BV865" s="15" t="s">
        <v>196</v>
      </c>
      <c r="BW865" s="15" t="s">
        <v>289</v>
      </c>
      <c r="CA865" s="15" t="s">
        <v>2357</v>
      </c>
      <c r="CB865" s="15" t="s">
        <v>78</v>
      </c>
      <c r="CC865" s="15">
        <v>1</v>
      </c>
      <c r="CN865" s="15" t="s">
        <v>198</v>
      </c>
      <c r="CW865" s="10">
        <v>2</v>
      </c>
      <c r="CX865" s="15" t="s">
        <v>2710</v>
      </c>
    </row>
    <row r="866" spans="1:102" s="15" customFormat="1" x14ac:dyDescent="0.3">
      <c r="A866" s="11" t="s">
        <v>2349</v>
      </c>
      <c r="B866" s="10" t="s">
        <v>785</v>
      </c>
      <c r="C866" s="12" t="s">
        <v>3618</v>
      </c>
      <c r="D866" s="10">
        <v>12</v>
      </c>
      <c r="E866" s="13">
        <v>100000</v>
      </c>
      <c r="F866" s="14" t="s">
        <v>243</v>
      </c>
      <c r="G866" s="14" t="s">
        <v>244</v>
      </c>
      <c r="H866" s="15" t="s">
        <v>211</v>
      </c>
      <c r="I866" s="8"/>
      <c r="J866" s="10"/>
      <c r="AV866" s="15" t="s">
        <v>181</v>
      </c>
      <c r="AW866" s="15" t="s">
        <v>182</v>
      </c>
      <c r="AX866" s="15" t="s">
        <v>2708</v>
      </c>
      <c r="BH866" s="15" t="s">
        <v>184</v>
      </c>
      <c r="BI866" s="15" t="s">
        <v>185</v>
      </c>
      <c r="BJ866" s="15" t="s">
        <v>2351</v>
      </c>
      <c r="BK866" s="15" t="s">
        <v>2352</v>
      </c>
      <c r="BL866" s="15" t="s">
        <v>2353</v>
      </c>
      <c r="BM866" s="15" t="s">
        <v>2354</v>
      </c>
      <c r="BN866" s="15" t="s">
        <v>2355</v>
      </c>
      <c r="BO866" s="15" t="s">
        <v>2356</v>
      </c>
      <c r="BR866" s="15" t="s">
        <v>192</v>
      </c>
      <c r="BS866" s="15" t="s">
        <v>193</v>
      </c>
      <c r="BT866" s="15" t="s">
        <v>194</v>
      </c>
      <c r="BU866" s="15" t="s">
        <v>195</v>
      </c>
      <c r="BV866" s="15" t="s">
        <v>196</v>
      </c>
      <c r="BW866" s="15" t="s">
        <v>289</v>
      </c>
      <c r="CA866" s="15" t="s">
        <v>2357</v>
      </c>
      <c r="CB866" s="15" t="s">
        <v>78</v>
      </c>
      <c r="CC866" s="15">
        <v>1</v>
      </c>
      <c r="CN866" s="15" t="s">
        <v>198</v>
      </c>
      <c r="CW866" s="10">
        <v>2</v>
      </c>
      <c r="CX866" s="15" t="s">
        <v>2711</v>
      </c>
    </row>
    <row r="867" spans="1:102" s="15" customFormat="1" x14ac:dyDescent="0.3">
      <c r="A867" s="11" t="s">
        <v>2349</v>
      </c>
      <c r="B867" s="10" t="s">
        <v>2712</v>
      </c>
      <c r="C867" s="12" t="s">
        <v>3957</v>
      </c>
      <c r="D867" s="10"/>
      <c r="E867" s="13">
        <v>0</v>
      </c>
      <c r="F867" s="14"/>
      <c r="G867" s="14"/>
      <c r="I867" s="8"/>
      <c r="J867" s="10"/>
      <c r="BH867" s="15" t="s">
        <v>184</v>
      </c>
      <c r="BI867" s="15" t="s">
        <v>185</v>
      </c>
      <c r="BJ867" s="15" t="s">
        <v>2351</v>
      </c>
      <c r="BK867" s="15" t="s">
        <v>2352</v>
      </c>
      <c r="BL867" s="15" t="s">
        <v>2353</v>
      </c>
      <c r="BM867" s="15" t="s">
        <v>2354</v>
      </c>
      <c r="BN867" s="15" t="s">
        <v>2355</v>
      </c>
      <c r="BO867" s="15" t="s">
        <v>2356</v>
      </c>
      <c r="CW867" s="10"/>
    </row>
    <row r="868" spans="1:102" s="15" customFormat="1" x14ac:dyDescent="0.3">
      <c r="A868" s="11" t="s">
        <v>2349</v>
      </c>
      <c r="B868" s="10" t="s">
        <v>595</v>
      </c>
      <c r="C868" s="12" t="s">
        <v>3803</v>
      </c>
      <c r="D868" s="10">
        <v>12</v>
      </c>
      <c r="E868" s="13">
        <v>1000000</v>
      </c>
      <c r="F868" s="14" t="s">
        <v>243</v>
      </c>
      <c r="G868" s="14" t="s">
        <v>244</v>
      </c>
      <c r="H868" s="15" t="s">
        <v>596</v>
      </c>
      <c r="I868" s="8"/>
      <c r="J868" s="10"/>
      <c r="AV868" s="15" t="s">
        <v>181</v>
      </c>
      <c r="AW868" s="15" t="s">
        <v>182</v>
      </c>
      <c r="AX868" s="15" t="s">
        <v>2713</v>
      </c>
      <c r="AY868" s="15" t="s">
        <v>2714</v>
      </c>
      <c r="BH868" s="15" t="s">
        <v>184</v>
      </c>
      <c r="BI868" s="15" t="s">
        <v>185</v>
      </c>
      <c r="BJ868" s="15" t="s">
        <v>2351</v>
      </c>
      <c r="BK868" s="15" t="s">
        <v>2352</v>
      </c>
      <c r="BL868" s="15" t="s">
        <v>2353</v>
      </c>
      <c r="BM868" s="15" t="s">
        <v>2354</v>
      </c>
      <c r="BN868" s="15" t="s">
        <v>2355</v>
      </c>
      <c r="BO868" s="15" t="s">
        <v>2356</v>
      </c>
      <c r="BR868" s="15" t="s">
        <v>192</v>
      </c>
      <c r="BS868" s="15" t="s">
        <v>193</v>
      </c>
      <c r="BT868" s="15" t="s">
        <v>194</v>
      </c>
      <c r="BU868" s="15" t="s">
        <v>195</v>
      </c>
      <c r="BV868" s="15" t="s">
        <v>196</v>
      </c>
      <c r="BW868" s="15" t="s">
        <v>251</v>
      </c>
      <c r="CA868" s="15" t="s">
        <v>2357</v>
      </c>
      <c r="CB868" s="15" t="s">
        <v>78</v>
      </c>
      <c r="CC868" s="15">
        <v>1</v>
      </c>
      <c r="CN868" s="15" t="s">
        <v>198</v>
      </c>
      <c r="CW868" s="10">
        <v>2</v>
      </c>
      <c r="CX868" s="15" t="s">
        <v>2715</v>
      </c>
    </row>
    <row r="869" spans="1:102" s="15" customFormat="1" x14ac:dyDescent="0.3">
      <c r="A869" s="11" t="s">
        <v>2349</v>
      </c>
      <c r="B869" s="10" t="s">
        <v>600</v>
      </c>
      <c r="C869" s="12" t="s">
        <v>3804</v>
      </c>
      <c r="D869" s="10">
        <v>12</v>
      </c>
      <c r="E869" s="13">
        <v>1000000</v>
      </c>
      <c r="F869" s="14" t="s">
        <v>243</v>
      </c>
      <c r="G869" s="14" t="s">
        <v>244</v>
      </c>
      <c r="H869" s="15" t="s">
        <v>596</v>
      </c>
      <c r="I869" s="8"/>
      <c r="J869" s="10"/>
      <c r="AV869" s="15" t="s">
        <v>181</v>
      </c>
      <c r="AW869" s="15" t="s">
        <v>182</v>
      </c>
      <c r="AX869" s="15" t="s">
        <v>2716</v>
      </c>
      <c r="AY869" s="15" t="s">
        <v>2717</v>
      </c>
      <c r="BH869" s="15" t="s">
        <v>184</v>
      </c>
      <c r="BI869" s="15" t="s">
        <v>185</v>
      </c>
      <c r="BJ869" s="15" t="s">
        <v>2351</v>
      </c>
      <c r="BK869" s="15" t="s">
        <v>2352</v>
      </c>
      <c r="BL869" s="15" t="s">
        <v>2353</v>
      </c>
      <c r="BM869" s="15" t="s">
        <v>2354</v>
      </c>
      <c r="BN869" s="15" t="s">
        <v>2355</v>
      </c>
      <c r="BO869" s="15" t="s">
        <v>2356</v>
      </c>
      <c r="BR869" s="15" t="s">
        <v>192</v>
      </c>
      <c r="BS869" s="15" t="s">
        <v>193</v>
      </c>
      <c r="BT869" s="15" t="s">
        <v>194</v>
      </c>
      <c r="BU869" s="15" t="s">
        <v>195</v>
      </c>
      <c r="BV869" s="15" t="s">
        <v>196</v>
      </c>
      <c r="BW869" s="15" t="s">
        <v>251</v>
      </c>
      <c r="CA869" s="15" t="s">
        <v>2357</v>
      </c>
      <c r="CB869" s="15" t="s">
        <v>78</v>
      </c>
      <c r="CC869" s="15">
        <v>1</v>
      </c>
      <c r="CN869" s="15" t="s">
        <v>198</v>
      </c>
      <c r="CW869" s="10">
        <v>2</v>
      </c>
      <c r="CX869" s="15" t="s">
        <v>2718</v>
      </c>
    </row>
    <row r="870" spans="1:102" s="15" customFormat="1" x14ac:dyDescent="0.3">
      <c r="A870" s="11" t="s">
        <v>2349</v>
      </c>
      <c r="B870" s="10" t="s">
        <v>604</v>
      </c>
      <c r="C870" s="12" t="s">
        <v>3805</v>
      </c>
      <c r="D870" s="10">
        <v>12</v>
      </c>
      <c r="E870" s="13">
        <v>1000000</v>
      </c>
      <c r="F870" s="14" t="s">
        <v>243</v>
      </c>
      <c r="G870" s="14" t="s">
        <v>244</v>
      </c>
      <c r="H870" s="15" t="s">
        <v>596</v>
      </c>
      <c r="I870" s="8"/>
      <c r="J870" s="10"/>
      <c r="AV870" s="15" t="s">
        <v>181</v>
      </c>
      <c r="AW870" s="15" t="s">
        <v>182</v>
      </c>
      <c r="AX870" s="15" t="s">
        <v>2719</v>
      </c>
      <c r="AY870" s="15" t="s">
        <v>2720</v>
      </c>
      <c r="BH870" s="15" t="s">
        <v>184</v>
      </c>
      <c r="BI870" s="15" t="s">
        <v>185</v>
      </c>
      <c r="BJ870" s="15" t="s">
        <v>2351</v>
      </c>
      <c r="BK870" s="15" t="s">
        <v>2352</v>
      </c>
      <c r="BL870" s="15" t="s">
        <v>2353</v>
      </c>
      <c r="BM870" s="15" t="s">
        <v>2354</v>
      </c>
      <c r="BN870" s="15" t="s">
        <v>2355</v>
      </c>
      <c r="BO870" s="15" t="s">
        <v>2356</v>
      </c>
      <c r="BR870" s="15" t="s">
        <v>192</v>
      </c>
      <c r="BS870" s="15" t="s">
        <v>193</v>
      </c>
      <c r="BT870" s="15" t="s">
        <v>194</v>
      </c>
      <c r="BU870" s="15" t="s">
        <v>195</v>
      </c>
      <c r="BV870" s="15" t="s">
        <v>196</v>
      </c>
      <c r="BW870" s="15" t="s">
        <v>251</v>
      </c>
      <c r="CA870" s="15" t="s">
        <v>2357</v>
      </c>
      <c r="CB870" s="15" t="s">
        <v>78</v>
      </c>
      <c r="CC870" s="15">
        <v>1</v>
      </c>
      <c r="CN870" s="15" t="s">
        <v>198</v>
      </c>
      <c r="CW870" s="10">
        <v>2</v>
      </c>
      <c r="CX870" s="15" t="s">
        <v>2721</v>
      </c>
    </row>
    <row r="871" spans="1:102" s="15" customFormat="1" x14ac:dyDescent="0.3">
      <c r="A871" s="11" t="s">
        <v>2349</v>
      </c>
      <c r="B871" s="10" t="s">
        <v>608</v>
      </c>
      <c r="C871" s="12" t="s">
        <v>3806</v>
      </c>
      <c r="D871" s="10">
        <v>12</v>
      </c>
      <c r="E871" s="13">
        <v>1000000</v>
      </c>
      <c r="F871" s="14" t="s">
        <v>243</v>
      </c>
      <c r="G871" s="14" t="s">
        <v>244</v>
      </c>
      <c r="H871" s="15" t="s">
        <v>596</v>
      </c>
      <c r="I871" s="8"/>
      <c r="J871" s="10"/>
      <c r="AV871" s="15" t="s">
        <v>181</v>
      </c>
      <c r="AW871" s="15" t="s">
        <v>182</v>
      </c>
      <c r="AX871" s="15" t="s">
        <v>2722</v>
      </c>
      <c r="AY871" s="15" t="s">
        <v>2723</v>
      </c>
      <c r="BH871" s="15" t="s">
        <v>184</v>
      </c>
      <c r="BI871" s="15" t="s">
        <v>185</v>
      </c>
      <c r="BJ871" s="15" t="s">
        <v>2351</v>
      </c>
      <c r="BK871" s="15" t="s">
        <v>2352</v>
      </c>
      <c r="BL871" s="15" t="s">
        <v>2353</v>
      </c>
      <c r="BM871" s="15" t="s">
        <v>2354</v>
      </c>
      <c r="BN871" s="15" t="s">
        <v>2355</v>
      </c>
      <c r="BO871" s="15" t="s">
        <v>2356</v>
      </c>
      <c r="BR871" s="15" t="s">
        <v>192</v>
      </c>
      <c r="BS871" s="15" t="s">
        <v>193</v>
      </c>
      <c r="BT871" s="15" t="s">
        <v>194</v>
      </c>
      <c r="BU871" s="15" t="s">
        <v>195</v>
      </c>
      <c r="BV871" s="15" t="s">
        <v>196</v>
      </c>
      <c r="BW871" s="15" t="s">
        <v>251</v>
      </c>
      <c r="CA871" s="15" t="s">
        <v>2357</v>
      </c>
      <c r="CB871" s="15" t="s">
        <v>78</v>
      </c>
      <c r="CC871" s="15">
        <v>1</v>
      </c>
      <c r="CN871" s="15" t="s">
        <v>198</v>
      </c>
      <c r="CW871" s="10">
        <v>2</v>
      </c>
      <c r="CX871" s="15" t="s">
        <v>2724</v>
      </c>
    </row>
    <row r="872" spans="1:102" s="15" customFormat="1" x14ac:dyDescent="0.3">
      <c r="A872" s="11" t="s">
        <v>2349</v>
      </c>
      <c r="B872" s="10" t="s">
        <v>612</v>
      </c>
      <c r="C872" s="12" t="s">
        <v>3807</v>
      </c>
      <c r="D872" s="10">
        <v>12</v>
      </c>
      <c r="E872" s="13">
        <v>1000000</v>
      </c>
      <c r="F872" s="14" t="s">
        <v>243</v>
      </c>
      <c r="G872" s="14" t="s">
        <v>244</v>
      </c>
      <c r="H872" s="15" t="s">
        <v>596</v>
      </c>
      <c r="I872" s="8"/>
      <c r="J872" s="10"/>
      <c r="AV872" s="15" t="s">
        <v>181</v>
      </c>
      <c r="AW872" s="15" t="s">
        <v>182</v>
      </c>
      <c r="AX872" s="15" t="s">
        <v>2725</v>
      </c>
      <c r="AY872" s="15" t="s">
        <v>2726</v>
      </c>
      <c r="BH872" s="15" t="s">
        <v>184</v>
      </c>
      <c r="BI872" s="15" t="s">
        <v>185</v>
      </c>
      <c r="BJ872" s="15" t="s">
        <v>2351</v>
      </c>
      <c r="BK872" s="15" t="s">
        <v>2352</v>
      </c>
      <c r="BL872" s="15" t="s">
        <v>2353</v>
      </c>
      <c r="BM872" s="15" t="s">
        <v>2354</v>
      </c>
      <c r="BN872" s="15" t="s">
        <v>2355</v>
      </c>
      <c r="BO872" s="15" t="s">
        <v>2356</v>
      </c>
      <c r="BR872" s="15" t="s">
        <v>192</v>
      </c>
      <c r="BS872" s="15" t="s">
        <v>193</v>
      </c>
      <c r="BT872" s="15" t="s">
        <v>194</v>
      </c>
      <c r="BU872" s="15" t="s">
        <v>195</v>
      </c>
      <c r="BV872" s="15" t="s">
        <v>196</v>
      </c>
      <c r="BW872" s="15" t="s">
        <v>293</v>
      </c>
      <c r="CA872" s="15" t="s">
        <v>2357</v>
      </c>
      <c r="CB872" s="15" t="s">
        <v>78</v>
      </c>
      <c r="CC872" s="15">
        <v>1</v>
      </c>
      <c r="CN872" s="15" t="s">
        <v>198</v>
      </c>
      <c r="CW872" s="10">
        <v>2</v>
      </c>
      <c r="CX872" s="15" t="s">
        <v>2727</v>
      </c>
    </row>
    <row r="873" spans="1:102" s="15" customFormat="1" x14ac:dyDescent="0.3">
      <c r="A873" s="11" t="s">
        <v>2349</v>
      </c>
      <c r="B873" s="10" t="s">
        <v>616</v>
      </c>
      <c r="C873" s="12" t="s">
        <v>3808</v>
      </c>
      <c r="D873" s="10">
        <v>12</v>
      </c>
      <c r="E873" s="13">
        <v>1000000</v>
      </c>
      <c r="F873" s="14" t="s">
        <v>243</v>
      </c>
      <c r="G873" s="14" t="s">
        <v>244</v>
      </c>
      <c r="H873" s="15" t="s">
        <v>596</v>
      </c>
      <c r="I873" s="8"/>
      <c r="J873" s="10"/>
      <c r="AV873" s="15" t="s">
        <v>181</v>
      </c>
      <c r="AW873" s="15" t="s">
        <v>182</v>
      </c>
      <c r="AX873" s="15" t="s">
        <v>2728</v>
      </c>
      <c r="AY873" s="15" t="s">
        <v>2729</v>
      </c>
      <c r="BH873" s="15" t="s">
        <v>184</v>
      </c>
      <c r="BI873" s="15" t="s">
        <v>185</v>
      </c>
      <c r="BJ873" s="15" t="s">
        <v>2351</v>
      </c>
      <c r="BK873" s="15" t="s">
        <v>2352</v>
      </c>
      <c r="BL873" s="15" t="s">
        <v>2353</v>
      </c>
      <c r="BM873" s="15" t="s">
        <v>2354</v>
      </c>
      <c r="BN873" s="15" t="s">
        <v>2355</v>
      </c>
      <c r="BO873" s="15" t="s">
        <v>2356</v>
      </c>
      <c r="BR873" s="15" t="s">
        <v>192</v>
      </c>
      <c r="BS873" s="15" t="s">
        <v>193</v>
      </c>
      <c r="BT873" s="15" t="s">
        <v>194</v>
      </c>
      <c r="BU873" s="15" t="s">
        <v>195</v>
      </c>
      <c r="BV873" s="15" t="s">
        <v>196</v>
      </c>
      <c r="BW873" s="15" t="s">
        <v>251</v>
      </c>
      <c r="CA873" s="15" t="s">
        <v>2357</v>
      </c>
      <c r="CB873" s="15" t="s">
        <v>78</v>
      </c>
      <c r="CC873" s="15">
        <v>1</v>
      </c>
      <c r="CN873" s="15" t="s">
        <v>198</v>
      </c>
      <c r="CW873" s="10">
        <v>2</v>
      </c>
      <c r="CX873" s="15" t="s">
        <v>2730</v>
      </c>
    </row>
    <row r="874" spans="1:102" s="15" customFormat="1" x14ac:dyDescent="0.3">
      <c r="A874" s="11" t="s">
        <v>2349</v>
      </c>
      <c r="B874" s="10" t="s">
        <v>620</v>
      </c>
      <c r="C874" s="12" t="s">
        <v>3809</v>
      </c>
      <c r="D874" s="10">
        <v>12</v>
      </c>
      <c r="E874" s="13">
        <v>1000000</v>
      </c>
      <c r="F874" s="14" t="s">
        <v>243</v>
      </c>
      <c r="G874" s="14" t="s">
        <v>244</v>
      </c>
      <c r="H874" s="15" t="s">
        <v>596</v>
      </c>
      <c r="I874" s="8"/>
      <c r="J874" s="10"/>
      <c r="AV874" s="15" t="s">
        <v>181</v>
      </c>
      <c r="AW874" s="15" t="s">
        <v>182</v>
      </c>
      <c r="AX874" s="15" t="s">
        <v>2731</v>
      </c>
      <c r="AY874" s="15" t="s">
        <v>2732</v>
      </c>
      <c r="BH874" s="15" t="s">
        <v>184</v>
      </c>
      <c r="BI874" s="15" t="s">
        <v>185</v>
      </c>
      <c r="BJ874" s="15" t="s">
        <v>2351</v>
      </c>
      <c r="BK874" s="15" t="s">
        <v>2352</v>
      </c>
      <c r="BL874" s="15" t="s">
        <v>2353</v>
      </c>
      <c r="BM874" s="15" t="s">
        <v>2354</v>
      </c>
      <c r="BN874" s="15" t="s">
        <v>2355</v>
      </c>
      <c r="BO874" s="15" t="s">
        <v>2356</v>
      </c>
      <c r="BR874" s="15" t="s">
        <v>192</v>
      </c>
      <c r="BS874" s="15" t="s">
        <v>193</v>
      </c>
      <c r="BT874" s="15" t="s">
        <v>194</v>
      </c>
      <c r="BU874" s="15" t="s">
        <v>195</v>
      </c>
      <c r="BV874" s="15" t="s">
        <v>196</v>
      </c>
      <c r="BW874" s="15" t="s">
        <v>251</v>
      </c>
      <c r="CA874" s="15" t="s">
        <v>2357</v>
      </c>
      <c r="CB874" s="15" t="s">
        <v>78</v>
      </c>
      <c r="CC874" s="15">
        <v>1</v>
      </c>
      <c r="CN874" s="15" t="s">
        <v>198</v>
      </c>
      <c r="CW874" s="10">
        <v>2</v>
      </c>
      <c r="CX874" s="15" t="s">
        <v>2733</v>
      </c>
    </row>
    <row r="875" spans="1:102" s="15" customFormat="1" x14ac:dyDescent="0.3">
      <c r="A875" s="11" t="s">
        <v>2349</v>
      </c>
      <c r="B875" s="10" t="s">
        <v>392</v>
      </c>
      <c r="C875" s="12" t="s">
        <v>978</v>
      </c>
      <c r="D875" s="10">
        <v>12</v>
      </c>
      <c r="E875" s="13">
        <v>100000</v>
      </c>
      <c r="F875" s="14" t="s">
        <v>243</v>
      </c>
      <c r="G875" s="14" t="s">
        <v>244</v>
      </c>
      <c r="H875" s="15" t="s">
        <v>211</v>
      </c>
      <c r="I875" s="8"/>
      <c r="J875" s="10"/>
      <c r="AV875" s="15" t="s">
        <v>181</v>
      </c>
      <c r="AW875" s="15" t="s">
        <v>182</v>
      </c>
      <c r="AX875" s="15" t="s">
        <v>2734</v>
      </c>
      <c r="BH875" s="15" t="s">
        <v>184</v>
      </c>
      <c r="BI875" s="15" t="s">
        <v>185</v>
      </c>
      <c r="BJ875" s="15" t="s">
        <v>2351</v>
      </c>
      <c r="BK875" s="15" t="s">
        <v>2352</v>
      </c>
      <c r="BL875" s="15" t="s">
        <v>2353</v>
      </c>
      <c r="BM875" s="15" t="s">
        <v>2354</v>
      </c>
      <c r="BN875" s="15" t="s">
        <v>2355</v>
      </c>
      <c r="BO875" s="15" t="s">
        <v>2356</v>
      </c>
      <c r="BR875" s="15" t="s">
        <v>192</v>
      </c>
      <c r="BS875" s="15" t="s">
        <v>193</v>
      </c>
      <c r="BT875" s="15" t="s">
        <v>194</v>
      </c>
      <c r="BU875" s="15" t="s">
        <v>195</v>
      </c>
      <c r="BV875" s="15" t="s">
        <v>196</v>
      </c>
      <c r="BW875" s="15" t="s">
        <v>251</v>
      </c>
      <c r="CA875" s="15" t="s">
        <v>2357</v>
      </c>
      <c r="CB875" s="15" t="s">
        <v>78</v>
      </c>
      <c r="CC875" s="15">
        <v>1</v>
      </c>
      <c r="CN875" s="15" t="s">
        <v>198</v>
      </c>
      <c r="CW875" s="10">
        <v>2</v>
      </c>
      <c r="CX875" s="15" t="s">
        <v>2735</v>
      </c>
    </row>
    <row r="876" spans="1:102" s="15" customFormat="1" x14ac:dyDescent="0.3">
      <c r="A876" s="11" t="s">
        <v>2349</v>
      </c>
      <c r="B876" s="10" t="s">
        <v>977</v>
      </c>
      <c r="C876" s="12" t="s">
        <v>978</v>
      </c>
      <c r="D876" s="10">
        <v>12</v>
      </c>
      <c r="E876" s="13">
        <v>100000</v>
      </c>
      <c r="F876" s="14" t="s">
        <v>244</v>
      </c>
      <c r="G876" s="14" t="s">
        <v>244</v>
      </c>
      <c r="H876" s="15" t="s">
        <v>211</v>
      </c>
      <c r="I876" s="8"/>
      <c r="J876" s="10"/>
      <c r="AW876" s="15" t="s">
        <v>128</v>
      </c>
      <c r="AX876" s="15" t="s">
        <v>2734</v>
      </c>
      <c r="BH876" s="15" t="s">
        <v>184</v>
      </c>
      <c r="BI876" s="15" t="s">
        <v>185</v>
      </c>
      <c r="BJ876" s="15" t="s">
        <v>2351</v>
      </c>
      <c r="BK876" s="15" t="s">
        <v>2352</v>
      </c>
      <c r="BL876" s="15" t="s">
        <v>2353</v>
      </c>
      <c r="BM876" s="15" t="s">
        <v>2354</v>
      </c>
      <c r="BN876" s="15" t="s">
        <v>2355</v>
      </c>
      <c r="BO876" s="15" t="s">
        <v>2356</v>
      </c>
      <c r="BR876" s="15" t="s">
        <v>192</v>
      </c>
      <c r="BS876" s="15" t="s">
        <v>193</v>
      </c>
      <c r="BT876" s="15" t="s">
        <v>194</v>
      </c>
      <c r="BU876" s="15" t="s">
        <v>195</v>
      </c>
      <c r="BV876" s="15" t="s">
        <v>196</v>
      </c>
      <c r="BW876" s="15" t="s">
        <v>251</v>
      </c>
      <c r="CB876" s="15" t="s">
        <v>128</v>
      </c>
      <c r="CC876" s="15">
        <v>1</v>
      </c>
      <c r="CN876" s="15" t="s">
        <v>198</v>
      </c>
      <c r="CW876" s="10">
        <v>2</v>
      </c>
      <c r="CX876" s="15" t="s">
        <v>2736</v>
      </c>
    </row>
    <row r="877" spans="1:102" s="15" customFormat="1" x14ac:dyDescent="0.3">
      <c r="A877" s="11" t="s">
        <v>2349</v>
      </c>
      <c r="B877" s="10" t="s">
        <v>937</v>
      </c>
      <c r="C877" s="12" t="s">
        <v>3877</v>
      </c>
      <c r="D877" s="10">
        <v>12</v>
      </c>
      <c r="E877" s="13">
        <v>100000</v>
      </c>
      <c r="F877" s="14" t="s">
        <v>243</v>
      </c>
      <c r="G877" s="14" t="s">
        <v>244</v>
      </c>
      <c r="H877" s="15" t="s">
        <v>254</v>
      </c>
      <c r="I877" s="8"/>
      <c r="J877" s="10"/>
      <c r="AV877" s="15" t="s">
        <v>181</v>
      </c>
      <c r="AW877" s="15" t="s">
        <v>182</v>
      </c>
      <c r="AX877" s="15" t="s">
        <v>2737</v>
      </c>
      <c r="BH877" s="15" t="s">
        <v>184</v>
      </c>
      <c r="BI877" s="15" t="s">
        <v>185</v>
      </c>
      <c r="BJ877" s="15" t="s">
        <v>2351</v>
      </c>
      <c r="BK877" s="15" t="s">
        <v>2352</v>
      </c>
      <c r="BL877" s="15" t="s">
        <v>2353</v>
      </c>
      <c r="BM877" s="15" t="s">
        <v>2354</v>
      </c>
      <c r="BN877" s="15" t="s">
        <v>2355</v>
      </c>
      <c r="BO877" s="15" t="s">
        <v>2356</v>
      </c>
      <c r="BR877" s="15" t="s">
        <v>192</v>
      </c>
      <c r="BS877" s="15" t="s">
        <v>193</v>
      </c>
      <c r="BT877" s="15" t="s">
        <v>194</v>
      </c>
      <c r="BU877" s="15" t="s">
        <v>195</v>
      </c>
      <c r="BV877" s="15" t="s">
        <v>196</v>
      </c>
      <c r="BW877" s="15" t="s">
        <v>251</v>
      </c>
      <c r="CA877" s="15" t="s">
        <v>2357</v>
      </c>
      <c r="CB877" s="15" t="s">
        <v>78</v>
      </c>
      <c r="CC877" s="15">
        <v>1</v>
      </c>
      <c r="CN877" s="15" t="s">
        <v>198</v>
      </c>
      <c r="CW877" s="10">
        <v>2</v>
      </c>
      <c r="CX877" s="15" t="s">
        <v>2738</v>
      </c>
    </row>
    <row r="878" spans="1:102" s="15" customFormat="1" x14ac:dyDescent="0.3">
      <c r="A878" s="11" t="s">
        <v>2349</v>
      </c>
      <c r="B878" s="10" t="s">
        <v>940</v>
      </c>
      <c r="C878" s="12" t="s">
        <v>3878</v>
      </c>
      <c r="D878" s="10">
        <v>12</v>
      </c>
      <c r="E878" s="13">
        <v>500000</v>
      </c>
      <c r="F878" s="14" t="s">
        <v>243</v>
      </c>
      <c r="G878" s="14" t="s">
        <v>244</v>
      </c>
      <c r="H878" s="15" t="s">
        <v>254</v>
      </c>
      <c r="I878" s="8"/>
      <c r="J878" s="10"/>
      <c r="AV878" s="15" t="s">
        <v>181</v>
      </c>
      <c r="AW878" s="15" t="s">
        <v>182</v>
      </c>
      <c r="AX878" s="15" t="s">
        <v>2739</v>
      </c>
      <c r="BH878" s="15" t="s">
        <v>184</v>
      </c>
      <c r="BI878" s="15" t="s">
        <v>185</v>
      </c>
      <c r="BJ878" s="15" t="s">
        <v>2351</v>
      </c>
      <c r="BK878" s="15" t="s">
        <v>2352</v>
      </c>
      <c r="BL878" s="15" t="s">
        <v>2353</v>
      </c>
      <c r="BM878" s="15" t="s">
        <v>2354</v>
      </c>
      <c r="BN878" s="15" t="s">
        <v>2355</v>
      </c>
      <c r="BO878" s="15" t="s">
        <v>2356</v>
      </c>
      <c r="BR878" s="15" t="s">
        <v>192</v>
      </c>
      <c r="BS878" s="15" t="s">
        <v>193</v>
      </c>
      <c r="BT878" s="15" t="s">
        <v>194</v>
      </c>
      <c r="BU878" s="15" t="s">
        <v>195</v>
      </c>
      <c r="BV878" s="15" t="s">
        <v>196</v>
      </c>
      <c r="BW878" s="15" t="s">
        <v>251</v>
      </c>
      <c r="CA878" s="15" t="s">
        <v>2357</v>
      </c>
      <c r="CB878" s="15" t="s">
        <v>78</v>
      </c>
      <c r="CC878" s="15">
        <v>1</v>
      </c>
      <c r="CN878" s="15" t="s">
        <v>198</v>
      </c>
      <c r="CW878" s="10">
        <v>2</v>
      </c>
      <c r="CX878" s="15" t="s">
        <v>2740</v>
      </c>
    </row>
    <row r="879" spans="1:102" s="15" customFormat="1" x14ac:dyDescent="0.3">
      <c r="A879" s="11" t="s">
        <v>2349</v>
      </c>
      <c r="B879" s="10" t="s">
        <v>580</v>
      </c>
      <c r="C879" s="12" t="s">
        <v>3799</v>
      </c>
      <c r="D879" s="10">
        <v>12</v>
      </c>
      <c r="E879" s="13">
        <v>10000000</v>
      </c>
      <c r="F879" s="14" t="s">
        <v>209</v>
      </c>
      <c r="G879" s="14" t="s">
        <v>210</v>
      </c>
      <c r="H879" s="15" t="s">
        <v>254</v>
      </c>
      <c r="I879" s="8"/>
      <c r="J879" s="10"/>
      <c r="AV879" s="15" t="s">
        <v>212</v>
      </c>
      <c r="AW879" s="15" t="s">
        <v>213</v>
      </c>
      <c r="AX879" s="15" t="s">
        <v>2741</v>
      </c>
      <c r="BH879" s="15" t="s">
        <v>184</v>
      </c>
      <c r="BI879" s="15" t="s">
        <v>185</v>
      </c>
      <c r="BJ879" s="15" t="s">
        <v>2351</v>
      </c>
      <c r="BK879" s="15" t="s">
        <v>2352</v>
      </c>
      <c r="BL879" s="15" t="s">
        <v>2353</v>
      </c>
      <c r="BM879" s="15" t="s">
        <v>2354</v>
      </c>
      <c r="BN879" s="15" t="s">
        <v>2355</v>
      </c>
      <c r="BO879" s="15" t="s">
        <v>2356</v>
      </c>
      <c r="BR879" s="15" t="s">
        <v>192</v>
      </c>
      <c r="BS879" s="15" t="s">
        <v>193</v>
      </c>
      <c r="BT879" s="15" t="s">
        <v>194</v>
      </c>
      <c r="BU879" s="15" t="s">
        <v>195</v>
      </c>
      <c r="BV879" s="15" t="s">
        <v>196</v>
      </c>
      <c r="BW879" s="15" t="s">
        <v>251</v>
      </c>
      <c r="CA879" s="15" t="s">
        <v>2357</v>
      </c>
      <c r="CB879" s="15" t="s">
        <v>78</v>
      </c>
      <c r="CC879" s="15">
        <v>1</v>
      </c>
      <c r="CN879" s="15" t="s">
        <v>198</v>
      </c>
      <c r="CW879" s="10">
        <v>2</v>
      </c>
      <c r="CX879" s="15" t="s">
        <v>2742</v>
      </c>
    </row>
    <row r="880" spans="1:102" s="15" customFormat="1" x14ac:dyDescent="0.3">
      <c r="A880" s="11" t="s">
        <v>2349</v>
      </c>
      <c r="B880" s="10" t="s">
        <v>965</v>
      </c>
      <c r="C880" s="12" t="s">
        <v>3881</v>
      </c>
      <c r="D880" s="10">
        <v>12</v>
      </c>
      <c r="E880" s="13">
        <v>100000</v>
      </c>
      <c r="F880" s="14" t="s">
        <v>243</v>
      </c>
      <c r="G880" s="14" t="s">
        <v>244</v>
      </c>
      <c r="H880" s="15" t="s">
        <v>211</v>
      </c>
      <c r="I880" s="8"/>
      <c r="J880" s="10"/>
      <c r="AV880" s="15" t="s">
        <v>181</v>
      </c>
      <c r="AW880" s="15" t="s">
        <v>182</v>
      </c>
      <c r="AX880" s="15" t="s">
        <v>2743</v>
      </c>
      <c r="BH880" s="15" t="s">
        <v>184</v>
      </c>
      <c r="BI880" s="15" t="s">
        <v>185</v>
      </c>
      <c r="BJ880" s="15" t="s">
        <v>2351</v>
      </c>
      <c r="BK880" s="15" t="s">
        <v>2352</v>
      </c>
      <c r="BL880" s="15" t="s">
        <v>2353</v>
      </c>
      <c r="BM880" s="15" t="s">
        <v>2354</v>
      </c>
      <c r="BN880" s="15" t="s">
        <v>2355</v>
      </c>
      <c r="BO880" s="15" t="s">
        <v>2356</v>
      </c>
      <c r="BR880" s="15" t="s">
        <v>192</v>
      </c>
      <c r="BS880" s="15" t="s">
        <v>193</v>
      </c>
      <c r="BT880" s="15" t="s">
        <v>194</v>
      </c>
      <c r="BU880" s="15" t="s">
        <v>195</v>
      </c>
      <c r="BV880" s="15" t="s">
        <v>196</v>
      </c>
      <c r="BW880" s="15" t="s">
        <v>251</v>
      </c>
      <c r="CA880" s="15" t="s">
        <v>2357</v>
      </c>
      <c r="CB880" s="15" t="s">
        <v>78</v>
      </c>
      <c r="CC880" s="15">
        <v>1</v>
      </c>
      <c r="CN880" s="15" t="s">
        <v>198</v>
      </c>
      <c r="CW880" s="10">
        <v>2</v>
      </c>
      <c r="CX880" s="15" t="s">
        <v>2744</v>
      </c>
    </row>
    <row r="881" spans="1:102" s="15" customFormat="1" x14ac:dyDescent="0.3">
      <c r="A881" s="11" t="s">
        <v>2349</v>
      </c>
      <c r="B881" s="10" t="s">
        <v>971</v>
      </c>
      <c r="C881" s="12" t="s">
        <v>3883</v>
      </c>
      <c r="D881" s="10">
        <v>12</v>
      </c>
      <c r="E881" s="13">
        <v>100000</v>
      </c>
      <c r="F881" s="14" t="s">
        <v>243</v>
      </c>
      <c r="G881" s="14" t="s">
        <v>244</v>
      </c>
      <c r="H881" s="15" t="s">
        <v>211</v>
      </c>
      <c r="I881" s="8"/>
      <c r="J881" s="10"/>
      <c r="AV881" s="15" t="s">
        <v>181</v>
      </c>
      <c r="AW881" s="15" t="s">
        <v>182</v>
      </c>
      <c r="AX881" s="15" t="s">
        <v>2745</v>
      </c>
      <c r="BH881" s="15" t="s">
        <v>184</v>
      </c>
      <c r="BI881" s="15" t="s">
        <v>185</v>
      </c>
      <c r="BJ881" s="15" t="s">
        <v>2351</v>
      </c>
      <c r="BK881" s="15" t="s">
        <v>2352</v>
      </c>
      <c r="BL881" s="15" t="s">
        <v>2353</v>
      </c>
      <c r="BM881" s="15" t="s">
        <v>2354</v>
      </c>
      <c r="BN881" s="15" t="s">
        <v>2355</v>
      </c>
      <c r="BO881" s="15" t="s">
        <v>2356</v>
      </c>
      <c r="BR881" s="15" t="s">
        <v>192</v>
      </c>
      <c r="BS881" s="15" t="s">
        <v>193</v>
      </c>
      <c r="BT881" s="15" t="s">
        <v>194</v>
      </c>
      <c r="BU881" s="15" t="s">
        <v>195</v>
      </c>
      <c r="BV881" s="15" t="s">
        <v>196</v>
      </c>
      <c r="BW881" s="15" t="s">
        <v>251</v>
      </c>
      <c r="CA881" s="15" t="s">
        <v>2357</v>
      </c>
      <c r="CB881" s="15" t="s">
        <v>78</v>
      </c>
      <c r="CC881" s="15">
        <v>1</v>
      </c>
      <c r="CN881" s="15" t="s">
        <v>198</v>
      </c>
      <c r="CW881" s="10">
        <v>2</v>
      </c>
      <c r="CX881" s="15" t="s">
        <v>2746</v>
      </c>
    </row>
    <row r="882" spans="1:102" s="15" customFormat="1" x14ac:dyDescent="0.3">
      <c r="A882" s="11" t="s">
        <v>2349</v>
      </c>
      <c r="B882" s="10" t="s">
        <v>268</v>
      </c>
      <c r="C882" s="12" t="s">
        <v>950</v>
      </c>
      <c r="D882" s="10">
        <v>12</v>
      </c>
      <c r="E882" s="13">
        <v>1000000</v>
      </c>
      <c r="F882" s="14" t="s">
        <v>269</v>
      </c>
      <c r="G882" s="14" t="s">
        <v>210</v>
      </c>
      <c r="H882" s="15" t="s">
        <v>270</v>
      </c>
      <c r="I882" s="8"/>
      <c r="J882" s="10"/>
      <c r="AV882" s="15" t="s">
        <v>212</v>
      </c>
      <c r="AW882" s="15" t="s">
        <v>213</v>
      </c>
      <c r="AX882" s="15" t="s">
        <v>2747</v>
      </c>
      <c r="BH882" s="15" t="s">
        <v>184</v>
      </c>
      <c r="BI882" s="15" t="s">
        <v>185</v>
      </c>
      <c r="BJ882" s="15" t="s">
        <v>2351</v>
      </c>
      <c r="BK882" s="15" t="s">
        <v>2352</v>
      </c>
      <c r="BL882" s="15" t="s">
        <v>2353</v>
      </c>
      <c r="BM882" s="15" t="s">
        <v>2354</v>
      </c>
      <c r="BN882" s="15" t="s">
        <v>2355</v>
      </c>
      <c r="BO882" s="15" t="s">
        <v>2356</v>
      </c>
      <c r="BR882" s="15" t="s">
        <v>192</v>
      </c>
      <c r="BS882" s="15" t="s">
        <v>193</v>
      </c>
      <c r="BT882" s="15" t="s">
        <v>194</v>
      </c>
      <c r="BU882" s="15" t="s">
        <v>195</v>
      </c>
      <c r="BV882" s="15" t="s">
        <v>196</v>
      </c>
      <c r="BW882" s="15" t="s">
        <v>272</v>
      </c>
      <c r="CA882" s="15" t="s">
        <v>2357</v>
      </c>
      <c r="CB882" s="15" t="s">
        <v>78</v>
      </c>
      <c r="CC882" s="15">
        <v>1</v>
      </c>
      <c r="CN882" s="15" t="s">
        <v>273</v>
      </c>
      <c r="CW882" s="10">
        <v>2</v>
      </c>
      <c r="CX882" s="15" t="s">
        <v>2748</v>
      </c>
    </row>
    <row r="883" spans="1:102" s="15" customFormat="1" x14ac:dyDescent="0.3">
      <c r="A883" s="11" t="s">
        <v>2349</v>
      </c>
      <c r="B883" s="10" t="s">
        <v>949</v>
      </c>
      <c r="C883" s="12" t="s">
        <v>950</v>
      </c>
      <c r="D883" s="10">
        <v>12</v>
      </c>
      <c r="E883" s="13">
        <v>1000000</v>
      </c>
      <c r="F883" s="14" t="s">
        <v>210</v>
      </c>
      <c r="G883" s="14" t="s">
        <v>210</v>
      </c>
      <c r="H883" s="15" t="s">
        <v>270</v>
      </c>
      <c r="I883" s="8"/>
      <c r="J883" s="10"/>
      <c r="AW883" s="15" t="s">
        <v>128</v>
      </c>
      <c r="AX883" s="15" t="s">
        <v>2747</v>
      </c>
      <c r="BH883" s="15" t="s">
        <v>184</v>
      </c>
      <c r="BI883" s="15" t="s">
        <v>185</v>
      </c>
      <c r="BJ883" s="15" t="s">
        <v>2351</v>
      </c>
      <c r="BK883" s="15" t="s">
        <v>2352</v>
      </c>
      <c r="BL883" s="15" t="s">
        <v>2353</v>
      </c>
      <c r="BM883" s="15" t="s">
        <v>2354</v>
      </c>
      <c r="BN883" s="15" t="s">
        <v>2355</v>
      </c>
      <c r="BO883" s="15" t="s">
        <v>2356</v>
      </c>
      <c r="BR883" s="15" t="s">
        <v>192</v>
      </c>
      <c r="BS883" s="15" t="s">
        <v>193</v>
      </c>
      <c r="BT883" s="15" t="s">
        <v>194</v>
      </c>
      <c r="BU883" s="15" t="s">
        <v>195</v>
      </c>
      <c r="BV883" s="15" t="s">
        <v>196</v>
      </c>
      <c r="BW883" s="15" t="s">
        <v>272</v>
      </c>
      <c r="CB883" s="15" t="s">
        <v>128</v>
      </c>
      <c r="CC883" s="15">
        <v>1</v>
      </c>
      <c r="CN883" s="15" t="s">
        <v>273</v>
      </c>
      <c r="CW883" s="10">
        <v>2</v>
      </c>
      <c r="CX883" s="15" t="s">
        <v>2749</v>
      </c>
    </row>
    <row r="884" spans="1:102" s="15" customFormat="1" x14ac:dyDescent="0.3">
      <c r="A884" s="11" t="s">
        <v>2349</v>
      </c>
      <c r="B884" s="10" t="s">
        <v>275</v>
      </c>
      <c r="C884" s="12" t="s">
        <v>953</v>
      </c>
      <c r="D884" s="10">
        <v>12</v>
      </c>
      <c r="E884" s="13">
        <v>1000000</v>
      </c>
      <c r="F884" s="14" t="s">
        <v>269</v>
      </c>
      <c r="G884" s="14" t="s">
        <v>210</v>
      </c>
      <c r="H884" s="15" t="s">
        <v>270</v>
      </c>
      <c r="I884" s="8"/>
      <c r="J884" s="10"/>
      <c r="AV884" s="15" t="s">
        <v>212</v>
      </c>
      <c r="AW884" s="15" t="s">
        <v>213</v>
      </c>
      <c r="AX884" s="15" t="s">
        <v>2750</v>
      </c>
      <c r="BH884" s="15" t="s">
        <v>184</v>
      </c>
      <c r="BI884" s="15" t="s">
        <v>185</v>
      </c>
      <c r="BJ884" s="15" t="s">
        <v>2351</v>
      </c>
      <c r="BK884" s="15" t="s">
        <v>2352</v>
      </c>
      <c r="BL884" s="15" t="s">
        <v>2353</v>
      </c>
      <c r="BM884" s="15" t="s">
        <v>2354</v>
      </c>
      <c r="BN884" s="15" t="s">
        <v>2355</v>
      </c>
      <c r="BO884" s="15" t="s">
        <v>2356</v>
      </c>
      <c r="BR884" s="15" t="s">
        <v>192</v>
      </c>
      <c r="BS884" s="15" t="s">
        <v>193</v>
      </c>
      <c r="BT884" s="15" t="s">
        <v>194</v>
      </c>
      <c r="BU884" s="15" t="s">
        <v>195</v>
      </c>
      <c r="BV884" s="15" t="s">
        <v>196</v>
      </c>
      <c r="BW884" s="15" t="s">
        <v>272</v>
      </c>
      <c r="CA884" s="15" t="s">
        <v>2357</v>
      </c>
      <c r="CB884" s="15" t="s">
        <v>78</v>
      </c>
      <c r="CC884" s="15">
        <v>1</v>
      </c>
      <c r="CN884" s="15" t="s">
        <v>273</v>
      </c>
      <c r="CW884" s="10">
        <v>2</v>
      </c>
      <c r="CX884" s="15" t="s">
        <v>2751</v>
      </c>
    </row>
    <row r="885" spans="1:102" s="15" customFormat="1" x14ac:dyDescent="0.3">
      <c r="A885" s="11" t="s">
        <v>2349</v>
      </c>
      <c r="B885" s="10" t="s">
        <v>952</v>
      </c>
      <c r="C885" s="12" t="s">
        <v>953</v>
      </c>
      <c r="D885" s="10">
        <v>12</v>
      </c>
      <c r="E885" s="13">
        <v>1000000</v>
      </c>
      <c r="F885" s="14" t="s">
        <v>210</v>
      </c>
      <c r="G885" s="14" t="s">
        <v>210</v>
      </c>
      <c r="H885" s="15" t="s">
        <v>270</v>
      </c>
      <c r="I885" s="8"/>
      <c r="J885" s="10"/>
      <c r="AX885" s="15" t="s">
        <v>2750</v>
      </c>
      <c r="BH885" s="15" t="s">
        <v>184</v>
      </c>
      <c r="BI885" s="15" t="s">
        <v>185</v>
      </c>
      <c r="BJ885" s="15" t="s">
        <v>2351</v>
      </c>
      <c r="BK885" s="15" t="s">
        <v>2352</v>
      </c>
      <c r="BL885" s="15" t="s">
        <v>2353</v>
      </c>
      <c r="BM885" s="15" t="s">
        <v>2354</v>
      </c>
      <c r="BN885" s="15" t="s">
        <v>2355</v>
      </c>
      <c r="BO885" s="15" t="s">
        <v>2356</v>
      </c>
      <c r="BR885" s="15" t="s">
        <v>192</v>
      </c>
      <c r="BS885" s="15" t="s">
        <v>193</v>
      </c>
      <c r="BT885" s="15" t="s">
        <v>194</v>
      </c>
      <c r="BU885" s="15" t="s">
        <v>195</v>
      </c>
      <c r="BV885" s="15" t="s">
        <v>196</v>
      </c>
      <c r="BW885" s="15" t="s">
        <v>272</v>
      </c>
      <c r="CC885" s="15">
        <v>1</v>
      </c>
      <c r="CN885" s="15" t="s">
        <v>273</v>
      </c>
      <c r="CW885" s="10">
        <v>2</v>
      </c>
      <c r="CX885" s="15" t="s">
        <v>2752</v>
      </c>
    </row>
    <row r="886" spans="1:102" s="15" customFormat="1" x14ac:dyDescent="0.3">
      <c r="A886" s="11" t="s">
        <v>2349</v>
      </c>
      <c r="B886" s="10" t="s">
        <v>1253</v>
      </c>
      <c r="C886" s="12" t="s">
        <v>1602</v>
      </c>
      <c r="D886" s="10">
        <v>12</v>
      </c>
      <c r="E886" s="13">
        <v>100000</v>
      </c>
      <c r="F886" s="14" t="s">
        <v>243</v>
      </c>
      <c r="G886" s="14" t="s">
        <v>244</v>
      </c>
      <c r="H886" s="15" t="s">
        <v>1254</v>
      </c>
      <c r="I886" s="8" t="s">
        <v>1255</v>
      </c>
      <c r="J886" s="10" t="s">
        <v>1256</v>
      </c>
      <c r="AV886" s="15" t="s">
        <v>181</v>
      </c>
      <c r="AW886" s="15" t="s">
        <v>182</v>
      </c>
      <c r="AX886" s="15" t="s">
        <v>2753</v>
      </c>
      <c r="AY886" s="15" t="s">
        <v>2754</v>
      </c>
      <c r="AZ886" s="15" t="s">
        <v>2755</v>
      </c>
      <c r="BH886" s="15" t="s">
        <v>184</v>
      </c>
      <c r="BI886" s="15" t="s">
        <v>185</v>
      </c>
      <c r="BJ886" s="15" t="s">
        <v>2351</v>
      </c>
      <c r="BK886" s="15" t="s">
        <v>2352</v>
      </c>
      <c r="BL886" s="15" t="s">
        <v>2353</v>
      </c>
      <c r="BM886" s="15" t="s">
        <v>2354</v>
      </c>
      <c r="BN886" s="15" t="s">
        <v>2355</v>
      </c>
      <c r="BO886" s="15" t="s">
        <v>2356</v>
      </c>
      <c r="BR886" s="15" t="s">
        <v>192</v>
      </c>
      <c r="BS886" s="15" t="s">
        <v>193</v>
      </c>
      <c r="BT886" s="15" t="s">
        <v>194</v>
      </c>
      <c r="BU886" s="15" t="s">
        <v>195</v>
      </c>
      <c r="BV886" s="15" t="s">
        <v>196</v>
      </c>
      <c r="BW886" s="15" t="s">
        <v>272</v>
      </c>
      <c r="CA886" s="15" t="s">
        <v>2357</v>
      </c>
      <c r="CB886" s="15" t="s">
        <v>78</v>
      </c>
      <c r="CC886" s="15">
        <v>1</v>
      </c>
      <c r="CN886" s="15" t="s">
        <v>273</v>
      </c>
      <c r="CW886" s="10">
        <v>2</v>
      </c>
      <c r="CX886" s="15" t="s">
        <v>2756</v>
      </c>
    </row>
    <row r="887" spans="1:102" s="15" customFormat="1" x14ac:dyDescent="0.3">
      <c r="A887" s="11" t="s">
        <v>2349</v>
      </c>
      <c r="B887" s="10" t="s">
        <v>1601</v>
      </c>
      <c r="C887" s="12" t="s">
        <v>1602</v>
      </c>
      <c r="D887" s="10">
        <v>12</v>
      </c>
      <c r="E887" s="13">
        <v>100000</v>
      </c>
      <c r="F887" s="14" t="s">
        <v>244</v>
      </c>
      <c r="G887" s="14" t="s">
        <v>244</v>
      </c>
      <c r="H887" s="15" t="s">
        <v>1254</v>
      </c>
      <c r="I887" s="8" t="s">
        <v>1255</v>
      </c>
      <c r="J887" s="10" t="s">
        <v>1256</v>
      </c>
      <c r="AW887" s="15" t="s">
        <v>128</v>
      </c>
      <c r="AX887" s="15" t="s">
        <v>2753</v>
      </c>
      <c r="AY887" s="15" t="s">
        <v>2754</v>
      </c>
      <c r="AZ887" s="15" t="s">
        <v>2755</v>
      </c>
      <c r="BH887" s="15" t="s">
        <v>184</v>
      </c>
      <c r="BI887" s="15" t="s">
        <v>185</v>
      </c>
      <c r="BJ887" s="15" t="s">
        <v>2351</v>
      </c>
      <c r="BK887" s="15" t="s">
        <v>2352</v>
      </c>
      <c r="BL887" s="15" t="s">
        <v>2353</v>
      </c>
      <c r="BM887" s="15" t="s">
        <v>2354</v>
      </c>
      <c r="BN887" s="15" t="s">
        <v>2355</v>
      </c>
      <c r="BO887" s="15" t="s">
        <v>2356</v>
      </c>
      <c r="BR887" s="15" t="s">
        <v>192</v>
      </c>
      <c r="BS887" s="15" t="s">
        <v>193</v>
      </c>
      <c r="BT887" s="15" t="s">
        <v>194</v>
      </c>
      <c r="BU887" s="15" t="s">
        <v>195</v>
      </c>
      <c r="BV887" s="15" t="s">
        <v>196</v>
      </c>
      <c r="BW887" s="15" t="s">
        <v>272</v>
      </c>
      <c r="CB887" s="15" t="s">
        <v>128</v>
      </c>
      <c r="CC887" s="15">
        <v>1</v>
      </c>
      <c r="CN887" s="15" t="s">
        <v>198</v>
      </c>
      <c r="CW887" s="10">
        <v>2</v>
      </c>
      <c r="CX887" s="15" t="s">
        <v>2757</v>
      </c>
    </row>
    <row r="888" spans="1:102" s="15" customFormat="1" x14ac:dyDescent="0.3">
      <c r="A888" s="11" t="s">
        <v>2349</v>
      </c>
      <c r="B888" s="10" t="s">
        <v>1261</v>
      </c>
      <c r="C888" s="12" t="s">
        <v>1608</v>
      </c>
      <c r="D888" s="10">
        <v>12</v>
      </c>
      <c r="E888" s="13">
        <v>100000</v>
      </c>
      <c r="F888" s="14" t="s">
        <v>243</v>
      </c>
      <c r="G888" s="14" t="s">
        <v>244</v>
      </c>
      <c r="H888" s="15" t="s">
        <v>1262</v>
      </c>
      <c r="I888" s="8"/>
      <c r="J888" s="10"/>
      <c r="AV888" s="15" t="s">
        <v>181</v>
      </c>
      <c r="AW888" s="15" t="s">
        <v>182</v>
      </c>
      <c r="AX888" s="15" t="s">
        <v>2758</v>
      </c>
      <c r="AY888" s="15" t="s">
        <v>2759</v>
      </c>
      <c r="AZ888" s="15" t="s">
        <v>2760</v>
      </c>
      <c r="BA888" s="15" t="s">
        <v>2761</v>
      </c>
      <c r="BB888" s="15" t="s">
        <v>2762</v>
      </c>
      <c r="BC888" s="15" t="s">
        <v>2763</v>
      </c>
      <c r="BD888" s="15" t="s">
        <v>2764</v>
      </c>
      <c r="BE888" s="15" t="s">
        <v>2765</v>
      </c>
      <c r="BF888" s="15" t="s">
        <v>2766</v>
      </c>
      <c r="BH888" s="15" t="s">
        <v>184</v>
      </c>
      <c r="BI888" s="15" t="s">
        <v>185</v>
      </c>
      <c r="BJ888" s="15" t="s">
        <v>2351</v>
      </c>
      <c r="BK888" s="15" t="s">
        <v>2352</v>
      </c>
      <c r="BL888" s="15" t="s">
        <v>2353</v>
      </c>
      <c r="BM888" s="15" t="s">
        <v>2354</v>
      </c>
      <c r="BN888" s="15" t="s">
        <v>2355</v>
      </c>
      <c r="BO888" s="15" t="s">
        <v>2356</v>
      </c>
      <c r="BR888" s="15" t="s">
        <v>192</v>
      </c>
      <c r="BS888" s="15" t="s">
        <v>193</v>
      </c>
      <c r="BT888" s="15" t="s">
        <v>194</v>
      </c>
      <c r="BU888" s="15" t="s">
        <v>195</v>
      </c>
      <c r="BV888" s="15" t="s">
        <v>196</v>
      </c>
      <c r="BW888" s="15" t="s">
        <v>272</v>
      </c>
      <c r="CA888" s="15" t="s">
        <v>2357</v>
      </c>
      <c r="CB888" s="15" t="s">
        <v>78</v>
      </c>
      <c r="CC888" s="15">
        <v>1</v>
      </c>
      <c r="CN888" s="15" t="s">
        <v>273</v>
      </c>
      <c r="CW888" s="10">
        <v>2</v>
      </c>
      <c r="CX888" s="15" t="s">
        <v>2767</v>
      </c>
    </row>
    <row r="889" spans="1:102" s="15" customFormat="1" x14ac:dyDescent="0.3">
      <c r="A889" s="11" t="s">
        <v>2349</v>
      </c>
      <c r="B889" s="10" t="s">
        <v>1607</v>
      </c>
      <c r="C889" s="12" t="s">
        <v>1608</v>
      </c>
      <c r="D889" s="10">
        <v>12</v>
      </c>
      <c r="E889" s="13">
        <v>100000</v>
      </c>
      <c r="F889" s="14" t="s">
        <v>244</v>
      </c>
      <c r="G889" s="14" t="s">
        <v>244</v>
      </c>
      <c r="H889" s="15" t="s">
        <v>1609</v>
      </c>
      <c r="I889" s="8"/>
      <c r="J889" s="10"/>
      <c r="AW889" s="15" t="s">
        <v>128</v>
      </c>
      <c r="AX889" s="15" t="s">
        <v>2758</v>
      </c>
      <c r="AY889" s="15" t="s">
        <v>2759</v>
      </c>
      <c r="AZ889" s="15" t="s">
        <v>2760</v>
      </c>
      <c r="BA889" s="15" t="s">
        <v>2761</v>
      </c>
      <c r="BB889" s="15" t="s">
        <v>2762</v>
      </c>
      <c r="BC889" s="15" t="s">
        <v>2763</v>
      </c>
      <c r="BD889" s="15" t="s">
        <v>2764</v>
      </c>
      <c r="BE889" s="15" t="s">
        <v>2765</v>
      </c>
      <c r="BF889" s="15" t="s">
        <v>2766</v>
      </c>
      <c r="BH889" s="15" t="s">
        <v>184</v>
      </c>
      <c r="BI889" s="15" t="s">
        <v>185</v>
      </c>
      <c r="BJ889" s="15" t="s">
        <v>2351</v>
      </c>
      <c r="BK889" s="15" t="s">
        <v>2352</v>
      </c>
      <c r="BL889" s="15" t="s">
        <v>2353</v>
      </c>
      <c r="BM889" s="15" t="s">
        <v>2354</v>
      </c>
      <c r="BN889" s="15" t="s">
        <v>2355</v>
      </c>
      <c r="BO889" s="15" t="s">
        <v>2356</v>
      </c>
      <c r="BR889" s="15" t="s">
        <v>192</v>
      </c>
      <c r="BS889" s="15" t="s">
        <v>193</v>
      </c>
      <c r="BT889" s="15" t="s">
        <v>194</v>
      </c>
      <c r="BU889" s="15" t="s">
        <v>195</v>
      </c>
      <c r="BV889" s="15" t="s">
        <v>196</v>
      </c>
      <c r="BW889" s="15" t="s">
        <v>272</v>
      </c>
      <c r="CB889" s="15" t="s">
        <v>128</v>
      </c>
      <c r="CC889" s="15">
        <v>1</v>
      </c>
      <c r="CN889" s="15" t="s">
        <v>273</v>
      </c>
      <c r="CW889" s="10">
        <v>2</v>
      </c>
      <c r="CX889" s="15" t="s">
        <v>2768</v>
      </c>
    </row>
    <row r="890" spans="1:102" s="15" customFormat="1" x14ac:dyDescent="0.3">
      <c r="A890" s="11" t="s">
        <v>2349</v>
      </c>
      <c r="B890" s="10" t="s">
        <v>295</v>
      </c>
      <c r="C890" s="12" t="s">
        <v>3630</v>
      </c>
      <c r="D890" s="10">
        <v>12</v>
      </c>
      <c r="E890" s="13">
        <v>1000000</v>
      </c>
      <c r="F890" s="14" t="s">
        <v>243</v>
      </c>
      <c r="G890" s="14" t="s">
        <v>244</v>
      </c>
      <c r="H890" s="15" t="s">
        <v>254</v>
      </c>
      <c r="I890" s="8" t="s">
        <v>296</v>
      </c>
      <c r="J890" s="10"/>
      <c r="AB890" s="15" t="s">
        <v>210</v>
      </c>
      <c r="AC890" s="15" t="s">
        <v>297</v>
      </c>
      <c r="AV890" s="15" t="s">
        <v>181</v>
      </c>
      <c r="AW890" s="15" t="s">
        <v>182</v>
      </c>
      <c r="AX890" s="15" t="s">
        <v>2769</v>
      </c>
      <c r="AY890" s="15" t="s">
        <v>2770</v>
      </c>
      <c r="BH890" s="15" t="s">
        <v>184</v>
      </c>
      <c r="BI890" s="15" t="s">
        <v>185</v>
      </c>
      <c r="BJ890" s="15" t="s">
        <v>2351</v>
      </c>
      <c r="BK890" s="15" t="s">
        <v>2352</v>
      </c>
      <c r="BL890" s="15" t="s">
        <v>2353</v>
      </c>
      <c r="BM890" s="15" t="s">
        <v>2354</v>
      </c>
      <c r="BN890" s="15" t="s">
        <v>2355</v>
      </c>
      <c r="BO890" s="15" t="s">
        <v>2356</v>
      </c>
      <c r="BR890" s="15" t="s">
        <v>192</v>
      </c>
      <c r="BS890" s="15" t="s">
        <v>193</v>
      </c>
      <c r="BT890" s="15" t="s">
        <v>194</v>
      </c>
      <c r="BU890" s="15" t="s">
        <v>195</v>
      </c>
      <c r="BV890" s="15" t="s">
        <v>196</v>
      </c>
      <c r="BW890" s="15" t="s">
        <v>272</v>
      </c>
      <c r="CA890" s="15" t="s">
        <v>2357</v>
      </c>
      <c r="CB890" s="15" t="s">
        <v>78</v>
      </c>
      <c r="CC890" s="15">
        <v>1</v>
      </c>
      <c r="CN890" s="15" t="s">
        <v>198</v>
      </c>
      <c r="CW890" s="10">
        <v>2</v>
      </c>
      <c r="CX890" s="15" t="s">
        <v>2771</v>
      </c>
    </row>
    <row r="891" spans="1:102" s="15" customFormat="1" x14ac:dyDescent="0.3">
      <c r="A891" s="11" t="s">
        <v>2349</v>
      </c>
      <c r="B891" s="10" t="s">
        <v>301</v>
      </c>
      <c r="C891" s="12" t="s">
        <v>3632</v>
      </c>
      <c r="D891" s="10">
        <v>12</v>
      </c>
      <c r="E891" s="13">
        <v>1000000</v>
      </c>
      <c r="F891" s="14" t="s">
        <v>243</v>
      </c>
      <c r="G891" s="14" t="s">
        <v>244</v>
      </c>
      <c r="H891" s="15" t="s">
        <v>254</v>
      </c>
      <c r="I891" s="8" t="s">
        <v>296</v>
      </c>
      <c r="J891" s="10"/>
      <c r="AB891" s="15" t="s">
        <v>210</v>
      </c>
      <c r="AC891" s="15" t="s">
        <v>297</v>
      </c>
      <c r="AV891" s="15" t="s">
        <v>181</v>
      </c>
      <c r="AW891" s="15" t="s">
        <v>182</v>
      </c>
      <c r="AX891" s="15" t="s">
        <v>2772</v>
      </c>
      <c r="AY891" s="15" t="s">
        <v>2773</v>
      </c>
      <c r="BH891" s="15" t="s">
        <v>184</v>
      </c>
      <c r="BI891" s="15" t="s">
        <v>185</v>
      </c>
      <c r="BJ891" s="15" t="s">
        <v>2351</v>
      </c>
      <c r="BK891" s="15" t="s">
        <v>2352</v>
      </c>
      <c r="BL891" s="15" t="s">
        <v>2353</v>
      </c>
      <c r="BM891" s="15" t="s">
        <v>2354</v>
      </c>
      <c r="BN891" s="15" t="s">
        <v>2355</v>
      </c>
      <c r="BO891" s="15" t="s">
        <v>2356</v>
      </c>
      <c r="BR891" s="15" t="s">
        <v>192</v>
      </c>
      <c r="BS891" s="15" t="s">
        <v>193</v>
      </c>
      <c r="BT891" s="15" t="s">
        <v>194</v>
      </c>
      <c r="BU891" s="15" t="s">
        <v>195</v>
      </c>
      <c r="BV891" s="15" t="s">
        <v>196</v>
      </c>
      <c r="BW891" s="15" t="s">
        <v>272</v>
      </c>
      <c r="CA891" s="15" t="s">
        <v>2357</v>
      </c>
      <c r="CB891" s="15" t="s">
        <v>78</v>
      </c>
      <c r="CC891" s="15">
        <v>1</v>
      </c>
      <c r="CN891" s="15" t="s">
        <v>198</v>
      </c>
      <c r="CW891" s="10">
        <v>2</v>
      </c>
      <c r="CX891" s="15" t="s">
        <v>2774</v>
      </c>
    </row>
    <row r="892" spans="1:102" s="15" customFormat="1" x14ac:dyDescent="0.3">
      <c r="A892" s="11" t="s">
        <v>2349</v>
      </c>
      <c r="B892" s="10" t="s">
        <v>850</v>
      </c>
      <c r="C892" s="12" t="s">
        <v>463</v>
      </c>
      <c r="D892" s="10">
        <v>12</v>
      </c>
      <c r="E892" s="13">
        <v>1000000</v>
      </c>
      <c r="F892" s="14" t="s">
        <v>269</v>
      </c>
      <c r="G892" s="14" t="s">
        <v>210</v>
      </c>
      <c r="H892" s="15" t="s">
        <v>312</v>
      </c>
      <c r="I892" s="8"/>
      <c r="J892" s="10"/>
      <c r="AV892" s="15" t="s">
        <v>212</v>
      </c>
      <c r="AW892" s="15" t="s">
        <v>213</v>
      </c>
      <c r="AX892" s="15" t="s">
        <v>2775</v>
      </c>
      <c r="BF892" s="15" t="s">
        <v>2776</v>
      </c>
      <c r="BG892" s="15" t="s">
        <v>2777</v>
      </c>
      <c r="BH892" s="15" t="s">
        <v>184</v>
      </c>
      <c r="BI892" s="15" t="s">
        <v>185</v>
      </c>
      <c r="BJ892" s="15" t="s">
        <v>2351</v>
      </c>
      <c r="BK892" s="15" t="s">
        <v>2352</v>
      </c>
      <c r="BL892" s="15" t="s">
        <v>2353</v>
      </c>
      <c r="BM892" s="15" t="s">
        <v>2354</v>
      </c>
      <c r="BN892" s="15" t="s">
        <v>2355</v>
      </c>
      <c r="BO892" s="15" t="s">
        <v>2356</v>
      </c>
      <c r="BP892" s="15" t="s">
        <v>2480</v>
      </c>
      <c r="BQ892" s="15" t="s">
        <v>2479</v>
      </c>
      <c r="BR892" s="15" t="s">
        <v>192</v>
      </c>
      <c r="BS892" s="15" t="s">
        <v>193</v>
      </c>
      <c r="BT892" s="15" t="s">
        <v>194</v>
      </c>
      <c r="BU892" s="15" t="s">
        <v>195</v>
      </c>
      <c r="BV892" s="15" t="s">
        <v>196</v>
      </c>
      <c r="BW892" s="15" t="s">
        <v>272</v>
      </c>
      <c r="CA892" s="15" t="s">
        <v>2357</v>
      </c>
      <c r="CB892" s="15" t="s">
        <v>78</v>
      </c>
      <c r="CC892" s="15">
        <v>1</v>
      </c>
      <c r="CN892" s="15" t="s">
        <v>851</v>
      </c>
      <c r="CW892" s="10">
        <v>2</v>
      </c>
      <c r="CX892" s="15" t="s">
        <v>2778</v>
      </c>
    </row>
    <row r="893" spans="1:102" s="15" customFormat="1" x14ac:dyDescent="0.3">
      <c r="A893" s="11" t="s">
        <v>2349</v>
      </c>
      <c r="B893" s="10" t="s">
        <v>462</v>
      </c>
      <c r="C893" s="12" t="s">
        <v>463</v>
      </c>
      <c r="D893" s="10">
        <v>12</v>
      </c>
      <c r="E893" s="13">
        <v>1000000</v>
      </c>
      <c r="F893" s="14" t="s">
        <v>210</v>
      </c>
      <c r="G893" s="14" t="s">
        <v>210</v>
      </c>
      <c r="H893" s="15" t="s">
        <v>312</v>
      </c>
      <c r="I893" s="8"/>
      <c r="J893" s="10"/>
      <c r="AW893" s="15" t="s">
        <v>128</v>
      </c>
      <c r="AX893" s="15" t="s">
        <v>2775</v>
      </c>
      <c r="BF893" s="15" t="s">
        <v>2776</v>
      </c>
      <c r="BG893" s="15" t="s">
        <v>2777</v>
      </c>
      <c r="BH893" s="15" t="s">
        <v>184</v>
      </c>
      <c r="BI893" s="15" t="s">
        <v>185</v>
      </c>
      <c r="BJ893" s="15" t="s">
        <v>2351</v>
      </c>
      <c r="BK893" s="15" t="s">
        <v>2352</v>
      </c>
      <c r="BL893" s="15" t="s">
        <v>2353</v>
      </c>
      <c r="BM893" s="15" t="s">
        <v>2354</v>
      </c>
      <c r="BN893" s="15" t="s">
        <v>2355</v>
      </c>
      <c r="BO893" s="15" t="s">
        <v>2356</v>
      </c>
      <c r="BP893" s="15" t="s">
        <v>2480</v>
      </c>
      <c r="BQ893" s="15" t="s">
        <v>2479</v>
      </c>
      <c r="BR893" s="15" t="s">
        <v>192</v>
      </c>
      <c r="BS893" s="15" t="s">
        <v>193</v>
      </c>
      <c r="BT893" s="15" t="s">
        <v>194</v>
      </c>
      <c r="BU893" s="15" t="s">
        <v>195</v>
      </c>
      <c r="BV893" s="15" t="s">
        <v>196</v>
      </c>
      <c r="BW893" s="15" t="s">
        <v>272</v>
      </c>
      <c r="CB893" s="15" t="s">
        <v>128</v>
      </c>
      <c r="CC893" s="15">
        <v>1</v>
      </c>
      <c r="CN893" s="15" t="s">
        <v>469</v>
      </c>
      <c r="CW893" s="10">
        <v>2</v>
      </c>
      <c r="CX893" s="15" t="s">
        <v>2779</v>
      </c>
    </row>
    <row r="894" spans="1:102" s="15" customFormat="1" x14ac:dyDescent="0.3">
      <c r="A894" s="11" t="s">
        <v>2349</v>
      </c>
      <c r="B894" s="10" t="s">
        <v>1061</v>
      </c>
      <c r="C894" s="12" t="s">
        <v>1065</v>
      </c>
      <c r="D894" s="10">
        <v>12</v>
      </c>
      <c r="E894" s="13">
        <v>100000</v>
      </c>
      <c r="F894" s="14" t="s">
        <v>243</v>
      </c>
      <c r="G894" s="14" t="s">
        <v>244</v>
      </c>
      <c r="H894" s="15" t="s">
        <v>312</v>
      </c>
      <c r="I894" s="8"/>
      <c r="J894" s="10"/>
      <c r="AV894" s="15" t="s">
        <v>181</v>
      </c>
      <c r="AW894" s="15" t="s">
        <v>182</v>
      </c>
      <c r="AX894" s="15" t="s">
        <v>2780</v>
      </c>
      <c r="BF894" s="15" t="s">
        <v>2480</v>
      </c>
      <c r="BG894" s="15" t="s">
        <v>2479</v>
      </c>
      <c r="BH894" s="15" t="s">
        <v>184</v>
      </c>
      <c r="BI894" s="15" t="s">
        <v>185</v>
      </c>
      <c r="BJ894" s="15" t="s">
        <v>2351</v>
      </c>
      <c r="BK894" s="15" t="s">
        <v>2352</v>
      </c>
      <c r="BL894" s="15" t="s">
        <v>2353</v>
      </c>
      <c r="BM894" s="15" t="s">
        <v>2354</v>
      </c>
      <c r="BN894" s="15" t="s">
        <v>2355</v>
      </c>
      <c r="BO894" s="15" t="s">
        <v>2356</v>
      </c>
      <c r="BR894" s="15" t="s">
        <v>192</v>
      </c>
      <c r="BS894" s="15" t="s">
        <v>193</v>
      </c>
      <c r="BT894" s="15" t="s">
        <v>194</v>
      </c>
      <c r="BU894" s="15" t="s">
        <v>195</v>
      </c>
      <c r="BV894" s="15" t="s">
        <v>196</v>
      </c>
      <c r="BW894" s="15" t="s">
        <v>272</v>
      </c>
      <c r="CA894" s="15" t="s">
        <v>2357</v>
      </c>
      <c r="CB894" s="15" t="s">
        <v>78</v>
      </c>
      <c r="CC894" s="15">
        <v>1</v>
      </c>
      <c r="CN894" s="15" t="s">
        <v>985</v>
      </c>
      <c r="CW894" s="10">
        <v>2</v>
      </c>
      <c r="CX894" s="15" t="s">
        <v>2781</v>
      </c>
    </row>
    <row r="895" spans="1:102" s="15" customFormat="1" x14ac:dyDescent="0.3">
      <c r="A895" s="11" t="s">
        <v>2349</v>
      </c>
      <c r="B895" s="10" t="s">
        <v>1064</v>
      </c>
      <c r="C895" s="12" t="s">
        <v>1065</v>
      </c>
      <c r="D895" s="10">
        <v>12</v>
      </c>
      <c r="E895" s="13">
        <v>100000</v>
      </c>
      <c r="F895" s="14" t="s">
        <v>244</v>
      </c>
      <c r="G895" s="14" t="s">
        <v>244</v>
      </c>
      <c r="H895" s="15" t="s">
        <v>312</v>
      </c>
      <c r="I895" s="8"/>
      <c r="J895" s="10"/>
      <c r="AW895" s="15" t="s">
        <v>128</v>
      </c>
      <c r="AX895" s="15" t="s">
        <v>2780</v>
      </c>
      <c r="BF895" s="15" t="s">
        <v>2480</v>
      </c>
      <c r="BG895" s="15" t="s">
        <v>2479</v>
      </c>
      <c r="BH895" s="15" t="s">
        <v>184</v>
      </c>
      <c r="BI895" s="15" t="s">
        <v>185</v>
      </c>
      <c r="BJ895" s="15" t="s">
        <v>2351</v>
      </c>
      <c r="BK895" s="15" t="s">
        <v>2352</v>
      </c>
      <c r="BL895" s="15" t="s">
        <v>2353</v>
      </c>
      <c r="BM895" s="15" t="s">
        <v>2354</v>
      </c>
      <c r="BN895" s="15" t="s">
        <v>2355</v>
      </c>
      <c r="BO895" s="15" t="s">
        <v>2356</v>
      </c>
      <c r="BR895" s="15" t="s">
        <v>192</v>
      </c>
      <c r="BS895" s="15" t="s">
        <v>193</v>
      </c>
      <c r="BT895" s="15" t="s">
        <v>194</v>
      </c>
      <c r="BU895" s="15" t="s">
        <v>195</v>
      </c>
      <c r="BV895" s="15" t="s">
        <v>196</v>
      </c>
      <c r="BW895" s="15" t="s">
        <v>272</v>
      </c>
      <c r="CB895" s="15" t="s">
        <v>128</v>
      </c>
      <c r="CC895" s="15">
        <v>1</v>
      </c>
      <c r="CN895" s="15" t="s">
        <v>985</v>
      </c>
      <c r="CW895" s="10">
        <v>2</v>
      </c>
      <c r="CX895" s="15" t="s">
        <v>2782</v>
      </c>
    </row>
    <row r="896" spans="1:102" s="15" customFormat="1" x14ac:dyDescent="0.3">
      <c r="A896" s="11" t="s">
        <v>2349</v>
      </c>
      <c r="B896" s="10" t="s">
        <v>853</v>
      </c>
      <c r="C896" s="12" t="s">
        <v>501</v>
      </c>
      <c r="D896" s="10">
        <v>12</v>
      </c>
      <c r="E896" s="13">
        <v>10000000</v>
      </c>
      <c r="F896" s="14" t="s">
        <v>269</v>
      </c>
      <c r="G896" s="14" t="s">
        <v>210</v>
      </c>
      <c r="H896" s="15" t="s">
        <v>312</v>
      </c>
      <c r="I896" s="8"/>
      <c r="J896" s="10"/>
      <c r="AV896" s="15" t="s">
        <v>212</v>
      </c>
      <c r="AW896" s="15" t="s">
        <v>213</v>
      </c>
      <c r="AX896" s="15" t="s">
        <v>2783</v>
      </c>
      <c r="BH896" s="15" t="s">
        <v>184</v>
      </c>
      <c r="BI896" s="15" t="s">
        <v>185</v>
      </c>
      <c r="BJ896" s="15" t="s">
        <v>2351</v>
      </c>
      <c r="BK896" s="15" t="s">
        <v>2352</v>
      </c>
      <c r="BL896" s="15" t="s">
        <v>2353</v>
      </c>
      <c r="BM896" s="15" t="s">
        <v>2354</v>
      </c>
      <c r="BN896" s="15" t="s">
        <v>2355</v>
      </c>
      <c r="BO896" s="15" t="s">
        <v>2356</v>
      </c>
      <c r="BR896" s="15" t="s">
        <v>192</v>
      </c>
      <c r="BS896" s="15" t="s">
        <v>193</v>
      </c>
      <c r="BT896" s="15" t="s">
        <v>194</v>
      </c>
      <c r="BU896" s="15" t="s">
        <v>195</v>
      </c>
      <c r="BV896" s="15" t="s">
        <v>196</v>
      </c>
      <c r="BW896" s="15" t="s">
        <v>272</v>
      </c>
      <c r="CA896" s="15" t="s">
        <v>2357</v>
      </c>
      <c r="CB896" s="15" t="s">
        <v>78</v>
      </c>
      <c r="CC896" s="15">
        <v>1</v>
      </c>
      <c r="CN896" s="15" t="s">
        <v>854</v>
      </c>
      <c r="CW896" s="10">
        <v>2</v>
      </c>
      <c r="CX896" s="15" t="s">
        <v>2784</v>
      </c>
    </row>
    <row r="897" spans="1:102" s="15" customFormat="1" x14ac:dyDescent="0.3">
      <c r="A897" s="11" t="s">
        <v>2349</v>
      </c>
      <c r="B897" s="10" t="s">
        <v>500</v>
      </c>
      <c r="C897" s="12" t="s">
        <v>501</v>
      </c>
      <c r="D897" s="10">
        <v>12</v>
      </c>
      <c r="E897" s="13">
        <v>10000000</v>
      </c>
      <c r="F897" s="14" t="s">
        <v>210</v>
      </c>
      <c r="G897" s="14" t="s">
        <v>210</v>
      </c>
      <c r="H897" s="15" t="s">
        <v>312</v>
      </c>
      <c r="I897" s="8"/>
      <c r="J897" s="10"/>
      <c r="AW897" s="15" t="s">
        <v>128</v>
      </c>
      <c r="AX897" s="15" t="s">
        <v>2783</v>
      </c>
      <c r="BH897" s="15" t="s">
        <v>184</v>
      </c>
      <c r="BI897" s="15" t="s">
        <v>185</v>
      </c>
      <c r="BJ897" s="15" t="s">
        <v>2351</v>
      </c>
      <c r="BK897" s="15" t="s">
        <v>2352</v>
      </c>
      <c r="BL897" s="15" t="s">
        <v>2353</v>
      </c>
      <c r="BM897" s="15" t="s">
        <v>2354</v>
      </c>
      <c r="BN897" s="15" t="s">
        <v>2355</v>
      </c>
      <c r="BO897" s="15" t="s">
        <v>2356</v>
      </c>
      <c r="BR897" s="15" t="s">
        <v>192</v>
      </c>
      <c r="BS897" s="15" t="s">
        <v>193</v>
      </c>
      <c r="BT897" s="15" t="s">
        <v>194</v>
      </c>
      <c r="BU897" s="15" t="s">
        <v>195</v>
      </c>
      <c r="BV897" s="15" t="s">
        <v>196</v>
      </c>
      <c r="BW897" s="15" t="s">
        <v>272</v>
      </c>
      <c r="CB897" s="15" t="s">
        <v>128</v>
      </c>
      <c r="CC897" s="15">
        <v>1</v>
      </c>
      <c r="CN897" s="15" t="s">
        <v>503</v>
      </c>
      <c r="CW897" s="10">
        <v>2</v>
      </c>
      <c r="CX897" s="15" t="s">
        <v>2785</v>
      </c>
    </row>
    <row r="898" spans="1:102" s="15" customFormat="1" x14ac:dyDescent="0.3">
      <c r="A898" s="11" t="s">
        <v>2349</v>
      </c>
      <c r="B898" s="10" t="s">
        <v>861</v>
      </c>
      <c r="C898" s="12" t="s">
        <v>551</v>
      </c>
      <c r="D898" s="10">
        <v>12</v>
      </c>
      <c r="E898" s="13">
        <v>1000000</v>
      </c>
      <c r="F898" s="14" t="s">
        <v>857</v>
      </c>
      <c r="G898" s="14" t="s">
        <v>541</v>
      </c>
      <c r="H898" s="15" t="s">
        <v>542</v>
      </c>
      <c r="I898" s="8"/>
      <c r="J898" s="10"/>
      <c r="AV898" s="15" t="s">
        <v>858</v>
      </c>
      <c r="AW898" s="15" t="s">
        <v>859</v>
      </c>
      <c r="AX898" s="15" t="s">
        <v>2786</v>
      </c>
      <c r="AY898" s="15" t="s">
        <v>2787</v>
      </c>
      <c r="AZ898" s="15" t="s">
        <v>2788</v>
      </c>
      <c r="BF898" s="15" t="s">
        <v>2787</v>
      </c>
      <c r="BG898" s="15" t="s">
        <v>2788</v>
      </c>
      <c r="BH898" s="15" t="s">
        <v>184</v>
      </c>
      <c r="BI898" s="15" t="s">
        <v>185</v>
      </c>
      <c r="BJ898" s="15" t="s">
        <v>2351</v>
      </c>
      <c r="BK898" s="15" t="s">
        <v>2352</v>
      </c>
      <c r="BL898" s="15" t="s">
        <v>2353</v>
      </c>
      <c r="BM898" s="15" t="s">
        <v>2354</v>
      </c>
      <c r="BN898" s="15" t="s">
        <v>2355</v>
      </c>
      <c r="BO898" s="15" t="s">
        <v>2356</v>
      </c>
      <c r="BP898" s="15" t="s">
        <v>2480</v>
      </c>
      <c r="BQ898" s="15" t="s">
        <v>2479</v>
      </c>
      <c r="BR898" s="15" t="s">
        <v>192</v>
      </c>
      <c r="BS898" s="15" t="s">
        <v>193</v>
      </c>
      <c r="BT898" s="15" t="s">
        <v>194</v>
      </c>
      <c r="BU898" s="15" t="s">
        <v>195</v>
      </c>
      <c r="BV898" s="15" t="s">
        <v>196</v>
      </c>
      <c r="BW898" s="15" t="s">
        <v>272</v>
      </c>
      <c r="CA898" s="15" t="s">
        <v>2357</v>
      </c>
      <c r="CB898" s="15" t="s">
        <v>78</v>
      </c>
      <c r="CC898" s="15">
        <v>1</v>
      </c>
      <c r="CN898" s="15" t="s">
        <v>851</v>
      </c>
      <c r="CW898" s="10">
        <v>2</v>
      </c>
      <c r="CX898" s="15" t="s">
        <v>2789</v>
      </c>
    </row>
    <row r="899" spans="1:102" s="15" customFormat="1" x14ac:dyDescent="0.3">
      <c r="A899" s="11" t="s">
        <v>2349</v>
      </c>
      <c r="B899" s="10" t="s">
        <v>550</v>
      </c>
      <c r="C899" s="12" t="s">
        <v>551</v>
      </c>
      <c r="D899" s="10">
        <v>12</v>
      </c>
      <c r="E899" s="13">
        <v>1000000</v>
      </c>
      <c r="F899" s="14" t="s">
        <v>541</v>
      </c>
      <c r="G899" s="14" t="s">
        <v>541</v>
      </c>
      <c r="H899" s="15" t="s">
        <v>542</v>
      </c>
      <c r="I899" s="8"/>
      <c r="J899" s="10"/>
      <c r="AW899" s="15" t="s">
        <v>128</v>
      </c>
      <c r="AX899" s="15" t="s">
        <v>2786</v>
      </c>
      <c r="AY899" s="15" t="s">
        <v>2787</v>
      </c>
      <c r="AZ899" s="15" t="s">
        <v>2788</v>
      </c>
      <c r="BF899" s="15" t="s">
        <v>2787</v>
      </c>
      <c r="BG899" s="15" t="s">
        <v>2788</v>
      </c>
      <c r="BH899" s="15" t="s">
        <v>184</v>
      </c>
      <c r="BI899" s="15" t="s">
        <v>185</v>
      </c>
      <c r="BJ899" s="15" t="s">
        <v>2351</v>
      </c>
      <c r="BK899" s="15" t="s">
        <v>2352</v>
      </c>
      <c r="BL899" s="15" t="s">
        <v>2353</v>
      </c>
      <c r="BM899" s="15" t="s">
        <v>2354</v>
      </c>
      <c r="BN899" s="15" t="s">
        <v>2355</v>
      </c>
      <c r="BO899" s="15" t="s">
        <v>2356</v>
      </c>
      <c r="BP899" s="15" t="s">
        <v>2480</v>
      </c>
      <c r="BQ899" s="15" t="s">
        <v>2479</v>
      </c>
      <c r="BR899" s="15" t="s">
        <v>192</v>
      </c>
      <c r="BS899" s="15" t="s">
        <v>193</v>
      </c>
      <c r="BT899" s="15" t="s">
        <v>194</v>
      </c>
      <c r="BU899" s="15" t="s">
        <v>195</v>
      </c>
      <c r="BV899" s="15" t="s">
        <v>196</v>
      </c>
      <c r="BW899" s="15" t="s">
        <v>272</v>
      </c>
      <c r="CB899" s="15" t="s">
        <v>128</v>
      </c>
      <c r="CC899" s="15">
        <v>1</v>
      </c>
      <c r="CN899" s="15" t="s">
        <v>469</v>
      </c>
      <c r="CW899" s="10">
        <v>2</v>
      </c>
      <c r="CX899" s="15" t="s">
        <v>2790</v>
      </c>
    </row>
    <row r="900" spans="1:102" s="15" customFormat="1" x14ac:dyDescent="0.3">
      <c r="A900" s="11" t="s">
        <v>2349</v>
      </c>
      <c r="B900" s="10" t="s">
        <v>856</v>
      </c>
      <c r="C900" s="12" t="s">
        <v>540</v>
      </c>
      <c r="D900" s="10">
        <v>12</v>
      </c>
      <c r="E900" s="13">
        <v>1000000</v>
      </c>
      <c r="F900" s="14" t="s">
        <v>857</v>
      </c>
      <c r="G900" s="14" t="s">
        <v>541</v>
      </c>
      <c r="H900" s="15" t="s">
        <v>542</v>
      </c>
      <c r="I900" s="8"/>
      <c r="J900" s="10"/>
      <c r="AV900" s="15" t="s">
        <v>858</v>
      </c>
      <c r="AW900" s="15" t="s">
        <v>859</v>
      </c>
      <c r="AX900" s="15" t="s">
        <v>2791</v>
      </c>
      <c r="AY900" s="15" t="s">
        <v>2792</v>
      </c>
      <c r="AZ900" s="15" t="s">
        <v>2793</v>
      </c>
      <c r="BF900" s="15" t="s">
        <v>2792</v>
      </c>
      <c r="BG900" s="15" t="s">
        <v>2793</v>
      </c>
      <c r="BH900" s="15" t="s">
        <v>184</v>
      </c>
      <c r="BI900" s="15" t="s">
        <v>185</v>
      </c>
      <c r="BJ900" s="15" t="s">
        <v>2351</v>
      </c>
      <c r="BK900" s="15" t="s">
        <v>2352</v>
      </c>
      <c r="BL900" s="15" t="s">
        <v>2353</v>
      </c>
      <c r="BM900" s="15" t="s">
        <v>2354</v>
      </c>
      <c r="BN900" s="15" t="s">
        <v>2355</v>
      </c>
      <c r="BO900" s="15" t="s">
        <v>2356</v>
      </c>
      <c r="BP900" s="15" t="s">
        <v>2480</v>
      </c>
      <c r="BQ900" s="15" t="s">
        <v>2479</v>
      </c>
      <c r="BR900" s="15" t="s">
        <v>192</v>
      </c>
      <c r="BS900" s="15" t="s">
        <v>193</v>
      </c>
      <c r="BT900" s="15" t="s">
        <v>194</v>
      </c>
      <c r="BU900" s="15" t="s">
        <v>195</v>
      </c>
      <c r="BV900" s="15" t="s">
        <v>196</v>
      </c>
      <c r="BW900" s="15" t="s">
        <v>272</v>
      </c>
      <c r="CA900" s="15" t="s">
        <v>2357</v>
      </c>
      <c r="CB900" s="15" t="s">
        <v>78</v>
      </c>
      <c r="CC900" s="15">
        <v>1</v>
      </c>
      <c r="CN900" s="15" t="s">
        <v>851</v>
      </c>
      <c r="CW900" s="10">
        <v>2</v>
      </c>
      <c r="CX900" s="15" t="s">
        <v>2794</v>
      </c>
    </row>
    <row r="901" spans="1:102" s="15" customFormat="1" x14ac:dyDescent="0.3">
      <c r="A901" s="11" t="s">
        <v>2349</v>
      </c>
      <c r="B901" s="10" t="s">
        <v>539</v>
      </c>
      <c r="C901" s="12" t="s">
        <v>540</v>
      </c>
      <c r="D901" s="10">
        <v>12</v>
      </c>
      <c r="E901" s="13">
        <v>1000000</v>
      </c>
      <c r="F901" s="14" t="s">
        <v>541</v>
      </c>
      <c r="G901" s="14" t="s">
        <v>541</v>
      </c>
      <c r="H901" s="15" t="s">
        <v>542</v>
      </c>
      <c r="I901" s="8"/>
      <c r="J901" s="10"/>
      <c r="AW901" s="15" t="s">
        <v>128</v>
      </c>
      <c r="AX901" s="15" t="s">
        <v>2791</v>
      </c>
      <c r="AY901" s="15" t="s">
        <v>2792</v>
      </c>
      <c r="AZ901" s="15" t="s">
        <v>2793</v>
      </c>
      <c r="BF901" s="15" t="s">
        <v>2792</v>
      </c>
      <c r="BG901" s="15" t="s">
        <v>2793</v>
      </c>
      <c r="BH901" s="15" t="s">
        <v>184</v>
      </c>
      <c r="BI901" s="15" t="s">
        <v>185</v>
      </c>
      <c r="BJ901" s="15" t="s">
        <v>2351</v>
      </c>
      <c r="BK901" s="15" t="s">
        <v>2352</v>
      </c>
      <c r="BL901" s="15" t="s">
        <v>2353</v>
      </c>
      <c r="BM901" s="15" t="s">
        <v>2354</v>
      </c>
      <c r="BN901" s="15" t="s">
        <v>2355</v>
      </c>
      <c r="BO901" s="15" t="s">
        <v>2356</v>
      </c>
      <c r="BP901" s="15" t="s">
        <v>2480</v>
      </c>
      <c r="BQ901" s="15" t="s">
        <v>2479</v>
      </c>
      <c r="BR901" s="15" t="s">
        <v>192</v>
      </c>
      <c r="BS901" s="15" t="s">
        <v>193</v>
      </c>
      <c r="BT901" s="15" t="s">
        <v>194</v>
      </c>
      <c r="BU901" s="15" t="s">
        <v>195</v>
      </c>
      <c r="BV901" s="15" t="s">
        <v>196</v>
      </c>
      <c r="BW901" s="15" t="s">
        <v>272</v>
      </c>
      <c r="CB901" s="15" t="s">
        <v>128</v>
      </c>
      <c r="CC901" s="15">
        <v>1</v>
      </c>
      <c r="CN901" s="15" t="s">
        <v>469</v>
      </c>
      <c r="CW901" s="10">
        <v>2</v>
      </c>
      <c r="CX901" s="15" t="s">
        <v>2795</v>
      </c>
    </row>
    <row r="902" spans="1:102" s="15" customFormat="1" x14ac:dyDescent="0.3">
      <c r="A902" s="11" t="s">
        <v>2349</v>
      </c>
      <c r="B902" s="10" t="s">
        <v>987</v>
      </c>
      <c r="C902" s="12" t="s">
        <v>3886</v>
      </c>
      <c r="D902" s="10">
        <v>12</v>
      </c>
      <c r="E902" s="13">
        <v>100000</v>
      </c>
      <c r="F902" s="14" t="s">
        <v>243</v>
      </c>
      <c r="G902" s="14" t="s">
        <v>244</v>
      </c>
      <c r="H902" s="15" t="s">
        <v>270</v>
      </c>
      <c r="I902" s="8"/>
      <c r="J902" s="10"/>
      <c r="AV902" s="15" t="s">
        <v>181</v>
      </c>
      <c r="AW902" s="15" t="s">
        <v>182</v>
      </c>
      <c r="AX902" s="15" t="s">
        <v>2796</v>
      </c>
      <c r="BH902" s="15" t="s">
        <v>184</v>
      </c>
      <c r="BI902" s="15" t="s">
        <v>185</v>
      </c>
      <c r="BJ902" s="15" t="s">
        <v>2351</v>
      </c>
      <c r="BK902" s="15" t="s">
        <v>2352</v>
      </c>
      <c r="BL902" s="15" t="s">
        <v>2353</v>
      </c>
      <c r="BM902" s="15" t="s">
        <v>2354</v>
      </c>
      <c r="BN902" s="15" t="s">
        <v>2355</v>
      </c>
      <c r="BO902" s="15" t="s">
        <v>2356</v>
      </c>
      <c r="BR902" s="15" t="s">
        <v>192</v>
      </c>
      <c r="BS902" s="15" t="s">
        <v>193</v>
      </c>
      <c r="BT902" s="15" t="s">
        <v>194</v>
      </c>
      <c r="BU902" s="15" t="s">
        <v>195</v>
      </c>
      <c r="BV902" s="15" t="s">
        <v>196</v>
      </c>
      <c r="BW902" s="15" t="s">
        <v>272</v>
      </c>
      <c r="CA902" s="15" t="s">
        <v>2357</v>
      </c>
      <c r="CB902" s="15" t="s">
        <v>78</v>
      </c>
      <c r="CC902" s="15">
        <v>1</v>
      </c>
      <c r="CN902" s="15" t="s">
        <v>273</v>
      </c>
      <c r="CW902" s="10">
        <v>2</v>
      </c>
      <c r="CX902" s="15" t="s">
        <v>2797</v>
      </c>
    </row>
    <row r="903" spans="1:102" s="15" customFormat="1" x14ac:dyDescent="0.3">
      <c r="A903" s="11" t="s">
        <v>2349</v>
      </c>
      <c r="B903" s="10" t="s">
        <v>1005</v>
      </c>
      <c r="C903" s="12" t="s">
        <v>3891</v>
      </c>
      <c r="D903" s="10">
        <v>12</v>
      </c>
      <c r="E903" s="13">
        <v>1000000</v>
      </c>
      <c r="F903" s="14" t="s">
        <v>243</v>
      </c>
      <c r="G903" s="14" t="s">
        <v>244</v>
      </c>
      <c r="H903" s="15" t="s">
        <v>254</v>
      </c>
      <c r="I903" s="8"/>
      <c r="J903" s="10"/>
      <c r="AV903" s="15" t="s">
        <v>181</v>
      </c>
      <c r="AW903" s="15" t="s">
        <v>182</v>
      </c>
      <c r="AX903" s="15" t="s">
        <v>2798</v>
      </c>
      <c r="BH903" s="15" t="s">
        <v>184</v>
      </c>
      <c r="BI903" s="15" t="s">
        <v>185</v>
      </c>
      <c r="BJ903" s="15" t="s">
        <v>2351</v>
      </c>
      <c r="BK903" s="15" t="s">
        <v>2352</v>
      </c>
      <c r="BL903" s="15" t="s">
        <v>2353</v>
      </c>
      <c r="BM903" s="15" t="s">
        <v>2354</v>
      </c>
      <c r="BN903" s="15" t="s">
        <v>2355</v>
      </c>
      <c r="BO903" s="15" t="s">
        <v>2356</v>
      </c>
      <c r="BR903" s="15" t="s">
        <v>192</v>
      </c>
      <c r="BS903" s="15" t="s">
        <v>193</v>
      </c>
      <c r="BT903" s="15" t="s">
        <v>194</v>
      </c>
      <c r="BU903" s="15" t="s">
        <v>195</v>
      </c>
      <c r="BV903" s="15" t="s">
        <v>196</v>
      </c>
      <c r="BW903" s="15" t="s">
        <v>251</v>
      </c>
      <c r="CA903" s="15" t="s">
        <v>2357</v>
      </c>
      <c r="CB903" s="15" t="s">
        <v>78</v>
      </c>
      <c r="CC903" s="15">
        <v>1</v>
      </c>
      <c r="CN903" s="15" t="s">
        <v>198</v>
      </c>
      <c r="CW903" s="10">
        <v>2</v>
      </c>
      <c r="CX903" s="15" t="s">
        <v>2799</v>
      </c>
    </row>
    <row r="904" spans="1:102" s="15" customFormat="1" x14ac:dyDescent="0.3">
      <c r="A904" s="11" t="s">
        <v>2349</v>
      </c>
      <c r="B904" s="10" t="s">
        <v>291</v>
      </c>
      <c r="C904" s="12" t="s">
        <v>3612</v>
      </c>
      <c r="D904" s="10">
        <v>12</v>
      </c>
      <c r="E904" s="13">
        <v>1000000</v>
      </c>
      <c r="F904" s="14" t="s">
        <v>269</v>
      </c>
      <c r="G904" s="14" t="s">
        <v>210</v>
      </c>
      <c r="H904" s="15" t="s">
        <v>254</v>
      </c>
      <c r="I904" s="8"/>
      <c r="J904" s="10"/>
      <c r="AV904" s="15" t="s">
        <v>212</v>
      </c>
      <c r="AW904" s="15" t="s">
        <v>213</v>
      </c>
      <c r="AX904" s="15" t="s">
        <v>2800</v>
      </c>
      <c r="BH904" s="15" t="s">
        <v>184</v>
      </c>
      <c r="BI904" s="15" t="s">
        <v>185</v>
      </c>
      <c r="BJ904" s="15" t="s">
        <v>2351</v>
      </c>
      <c r="BK904" s="15" t="s">
        <v>2352</v>
      </c>
      <c r="BL904" s="15" t="s">
        <v>2353</v>
      </c>
      <c r="BM904" s="15" t="s">
        <v>2354</v>
      </c>
      <c r="BN904" s="15" t="s">
        <v>2355</v>
      </c>
      <c r="BO904" s="15" t="s">
        <v>2356</v>
      </c>
      <c r="BR904" s="15" t="s">
        <v>192</v>
      </c>
      <c r="BS904" s="15" t="s">
        <v>193</v>
      </c>
      <c r="BT904" s="15" t="s">
        <v>194</v>
      </c>
      <c r="BU904" s="15" t="s">
        <v>195</v>
      </c>
      <c r="BV904" s="15" t="s">
        <v>196</v>
      </c>
      <c r="BW904" s="15" t="s">
        <v>293</v>
      </c>
      <c r="CA904" s="15" t="s">
        <v>2357</v>
      </c>
      <c r="CB904" s="15" t="s">
        <v>78</v>
      </c>
      <c r="CC904" s="15">
        <v>1</v>
      </c>
      <c r="CN904" s="15" t="s">
        <v>198</v>
      </c>
      <c r="CW904" s="10">
        <v>2</v>
      </c>
      <c r="CX904" s="15" t="s">
        <v>2801</v>
      </c>
    </row>
    <row r="905" spans="1:102" s="15" customFormat="1" x14ac:dyDescent="0.3">
      <c r="A905" s="11" t="s">
        <v>2349</v>
      </c>
      <c r="B905" s="10" t="s">
        <v>287</v>
      </c>
      <c r="C905" s="12" t="s">
        <v>3622</v>
      </c>
      <c r="D905" s="10">
        <v>12</v>
      </c>
      <c r="E905" s="13">
        <v>1000000</v>
      </c>
      <c r="F905" s="14" t="s">
        <v>269</v>
      </c>
      <c r="G905" s="14" t="s">
        <v>210</v>
      </c>
      <c r="H905" s="15" t="s">
        <v>254</v>
      </c>
      <c r="I905" s="8"/>
      <c r="J905" s="10"/>
      <c r="AV905" s="15" t="s">
        <v>212</v>
      </c>
      <c r="AW905" s="15" t="s">
        <v>213</v>
      </c>
      <c r="AX905" s="15" t="s">
        <v>2802</v>
      </c>
      <c r="BH905" s="15" t="s">
        <v>184</v>
      </c>
      <c r="BI905" s="15" t="s">
        <v>185</v>
      </c>
      <c r="BJ905" s="15" t="s">
        <v>2351</v>
      </c>
      <c r="BK905" s="15" t="s">
        <v>2352</v>
      </c>
      <c r="BL905" s="15" t="s">
        <v>2353</v>
      </c>
      <c r="BM905" s="15" t="s">
        <v>2354</v>
      </c>
      <c r="BN905" s="15" t="s">
        <v>2355</v>
      </c>
      <c r="BO905" s="15" t="s">
        <v>2356</v>
      </c>
      <c r="BR905" s="15" t="s">
        <v>192</v>
      </c>
      <c r="BS905" s="15" t="s">
        <v>193</v>
      </c>
      <c r="BT905" s="15" t="s">
        <v>194</v>
      </c>
      <c r="BU905" s="15" t="s">
        <v>195</v>
      </c>
      <c r="BV905" s="15" t="s">
        <v>196</v>
      </c>
      <c r="BW905" s="15" t="s">
        <v>289</v>
      </c>
      <c r="CA905" s="15" t="s">
        <v>2357</v>
      </c>
      <c r="CB905" s="15" t="s">
        <v>78</v>
      </c>
      <c r="CC905" s="15">
        <v>1</v>
      </c>
      <c r="CN905" s="15" t="s">
        <v>198</v>
      </c>
      <c r="CW905" s="10">
        <v>2</v>
      </c>
      <c r="CX905" s="15" t="s">
        <v>2803</v>
      </c>
    </row>
    <row r="906" spans="1:102" s="15" customFormat="1" x14ac:dyDescent="0.3">
      <c r="A906" s="11" t="s">
        <v>2349</v>
      </c>
      <c r="B906" s="10" t="s">
        <v>960</v>
      </c>
      <c r="C906" s="12" t="s">
        <v>961</v>
      </c>
      <c r="D906" s="10">
        <v>12</v>
      </c>
      <c r="E906" s="13">
        <v>1000000</v>
      </c>
      <c r="F906" s="14" t="s">
        <v>210</v>
      </c>
      <c r="G906" s="14" t="s">
        <v>210</v>
      </c>
      <c r="H906" s="15" t="s">
        <v>211</v>
      </c>
      <c r="I906" s="8"/>
      <c r="J906" s="10"/>
      <c r="AW906" s="15" t="s">
        <v>128</v>
      </c>
      <c r="AX906" s="15" t="s">
        <v>2804</v>
      </c>
      <c r="BH906" s="15" t="s">
        <v>184</v>
      </c>
      <c r="BI906" s="15" t="s">
        <v>185</v>
      </c>
      <c r="BJ906" s="15" t="s">
        <v>2351</v>
      </c>
      <c r="BK906" s="15" t="s">
        <v>2352</v>
      </c>
      <c r="BL906" s="15" t="s">
        <v>2353</v>
      </c>
      <c r="BM906" s="15" t="s">
        <v>2354</v>
      </c>
      <c r="BN906" s="15" t="s">
        <v>2355</v>
      </c>
      <c r="BO906" s="15" t="s">
        <v>2356</v>
      </c>
      <c r="BR906" s="15" t="s">
        <v>192</v>
      </c>
      <c r="BS906" s="15" t="s">
        <v>193</v>
      </c>
      <c r="BT906" s="15" t="s">
        <v>194</v>
      </c>
      <c r="BU906" s="15" t="s">
        <v>195</v>
      </c>
      <c r="BV906" s="15" t="s">
        <v>196</v>
      </c>
      <c r="BW906" s="15" t="s">
        <v>251</v>
      </c>
      <c r="CB906" s="15" t="s">
        <v>128</v>
      </c>
      <c r="CC906" s="15">
        <v>1</v>
      </c>
      <c r="CN906" s="15" t="s">
        <v>963</v>
      </c>
      <c r="CW906" s="10">
        <v>2</v>
      </c>
      <c r="CX906" s="15" t="s">
        <v>2805</v>
      </c>
    </row>
    <row r="907" spans="1:102" s="15" customFormat="1" x14ac:dyDescent="0.3">
      <c r="A907" s="11" t="s">
        <v>2349</v>
      </c>
      <c r="B907" s="10" t="s">
        <v>828</v>
      </c>
      <c r="C907" s="12" t="s">
        <v>3849</v>
      </c>
      <c r="D907" s="10">
        <v>12</v>
      </c>
      <c r="E907" s="13">
        <v>100000</v>
      </c>
      <c r="F907" s="14" t="s">
        <v>209</v>
      </c>
      <c r="G907" s="14" t="s">
        <v>210</v>
      </c>
      <c r="H907" s="15" t="s">
        <v>211</v>
      </c>
      <c r="I907" s="8"/>
      <c r="J907" s="10"/>
      <c r="AV907" s="15" t="s">
        <v>212</v>
      </c>
      <c r="AW907" s="15" t="s">
        <v>213</v>
      </c>
      <c r="AX907" s="15" t="s">
        <v>2806</v>
      </c>
      <c r="BH907" s="15" t="s">
        <v>184</v>
      </c>
      <c r="BI907" s="15" t="s">
        <v>185</v>
      </c>
      <c r="BJ907" s="15" t="s">
        <v>2351</v>
      </c>
      <c r="BK907" s="15" t="s">
        <v>2352</v>
      </c>
      <c r="BL907" s="15" t="s">
        <v>2353</v>
      </c>
      <c r="BM907" s="15" t="s">
        <v>2354</v>
      </c>
      <c r="BN907" s="15" t="s">
        <v>2355</v>
      </c>
      <c r="BO907" s="15" t="s">
        <v>2356</v>
      </c>
      <c r="BR907" s="15" t="s">
        <v>192</v>
      </c>
      <c r="BS907" s="15" t="s">
        <v>193</v>
      </c>
      <c r="BT907" s="15" t="s">
        <v>194</v>
      </c>
      <c r="BU907" s="15" t="s">
        <v>195</v>
      </c>
      <c r="BV907" s="15" t="s">
        <v>196</v>
      </c>
      <c r="BW907" s="15" t="s">
        <v>251</v>
      </c>
      <c r="CA907" s="15" t="s">
        <v>2357</v>
      </c>
      <c r="CB907" s="15" t="s">
        <v>78</v>
      </c>
      <c r="CC907" s="15">
        <v>1</v>
      </c>
      <c r="CN907" s="15" t="s">
        <v>198</v>
      </c>
      <c r="CW907" s="10">
        <v>2</v>
      </c>
      <c r="CX907" s="15" t="s">
        <v>2807</v>
      </c>
    </row>
    <row r="908" spans="1:102" s="15" customFormat="1" x14ac:dyDescent="0.3">
      <c r="A908" s="11" t="s">
        <v>2349</v>
      </c>
      <c r="B908" s="10" t="s">
        <v>709</v>
      </c>
      <c r="C908" s="12" t="s">
        <v>3824</v>
      </c>
      <c r="D908" s="10">
        <v>12</v>
      </c>
      <c r="E908" s="13">
        <v>100000</v>
      </c>
      <c r="F908" s="14" t="s">
        <v>209</v>
      </c>
      <c r="G908" s="14" t="s">
        <v>210</v>
      </c>
      <c r="H908" s="15" t="s">
        <v>211</v>
      </c>
      <c r="I908" s="8"/>
      <c r="J908" s="10"/>
      <c r="AV908" s="15" t="s">
        <v>212</v>
      </c>
      <c r="AW908" s="15" t="s">
        <v>213</v>
      </c>
      <c r="AX908" s="15" t="s">
        <v>2808</v>
      </c>
      <c r="BH908" s="15" t="s">
        <v>184</v>
      </c>
      <c r="BI908" s="15" t="s">
        <v>185</v>
      </c>
      <c r="BJ908" s="15" t="s">
        <v>2351</v>
      </c>
      <c r="BK908" s="15" t="s">
        <v>2352</v>
      </c>
      <c r="BL908" s="15" t="s">
        <v>2353</v>
      </c>
      <c r="BM908" s="15" t="s">
        <v>2354</v>
      </c>
      <c r="BN908" s="15" t="s">
        <v>2355</v>
      </c>
      <c r="BO908" s="15" t="s">
        <v>2356</v>
      </c>
      <c r="BR908" s="15" t="s">
        <v>192</v>
      </c>
      <c r="BS908" s="15" t="s">
        <v>193</v>
      </c>
      <c r="BT908" s="15" t="s">
        <v>194</v>
      </c>
      <c r="BU908" s="15" t="s">
        <v>195</v>
      </c>
      <c r="BV908" s="15" t="s">
        <v>196</v>
      </c>
      <c r="BW908" s="15" t="s">
        <v>251</v>
      </c>
      <c r="CA908" s="15" t="s">
        <v>2357</v>
      </c>
      <c r="CB908" s="15" t="s">
        <v>78</v>
      </c>
      <c r="CC908" s="15">
        <v>1</v>
      </c>
      <c r="CN908" s="15" t="s">
        <v>198</v>
      </c>
      <c r="CW908" s="10">
        <v>2</v>
      </c>
      <c r="CX908" s="15" t="s">
        <v>2809</v>
      </c>
    </row>
    <row r="909" spans="1:102" s="15" customFormat="1" x14ac:dyDescent="0.3">
      <c r="A909" s="11" t="s">
        <v>2349</v>
      </c>
      <c r="B909" s="10" t="s">
        <v>451</v>
      </c>
      <c r="C909" s="12" t="s">
        <v>3794</v>
      </c>
      <c r="D909" s="10">
        <v>12</v>
      </c>
      <c r="E909" s="13">
        <v>1000000</v>
      </c>
      <c r="F909" s="14" t="s">
        <v>243</v>
      </c>
      <c r="G909" s="14" t="s">
        <v>244</v>
      </c>
      <c r="H909" s="15" t="s">
        <v>211</v>
      </c>
      <c r="I909" s="8"/>
      <c r="J909" s="10"/>
      <c r="AV909" s="15" t="s">
        <v>181</v>
      </c>
      <c r="AW909" s="15" t="s">
        <v>182</v>
      </c>
      <c r="AX909" s="15" t="s">
        <v>2810</v>
      </c>
      <c r="BH909" s="15" t="s">
        <v>184</v>
      </c>
      <c r="BI909" s="15" t="s">
        <v>185</v>
      </c>
      <c r="BJ909" s="15" t="s">
        <v>2351</v>
      </c>
      <c r="BK909" s="15" t="s">
        <v>2352</v>
      </c>
      <c r="BL909" s="15" t="s">
        <v>2353</v>
      </c>
      <c r="BM909" s="15" t="s">
        <v>2354</v>
      </c>
      <c r="BN909" s="15" t="s">
        <v>2355</v>
      </c>
      <c r="BO909" s="15" t="s">
        <v>2356</v>
      </c>
      <c r="BR909" s="15" t="s">
        <v>192</v>
      </c>
      <c r="BS909" s="15" t="s">
        <v>193</v>
      </c>
      <c r="BT909" s="15" t="s">
        <v>194</v>
      </c>
      <c r="BU909" s="15" t="s">
        <v>195</v>
      </c>
      <c r="BV909" s="15" t="s">
        <v>196</v>
      </c>
      <c r="BW909" s="15" t="s">
        <v>293</v>
      </c>
      <c r="CA909" s="15" t="s">
        <v>2357</v>
      </c>
      <c r="CB909" s="15" t="s">
        <v>78</v>
      </c>
      <c r="CC909" s="15">
        <v>1</v>
      </c>
      <c r="CN909" s="15" t="s">
        <v>198</v>
      </c>
      <c r="CW909" s="10">
        <v>2</v>
      </c>
      <c r="CX909" s="15" t="s">
        <v>2811</v>
      </c>
    </row>
    <row r="910" spans="1:102" s="15" customFormat="1" x14ac:dyDescent="0.3">
      <c r="A910" s="11" t="s">
        <v>2349</v>
      </c>
      <c r="B910" s="10" t="s">
        <v>433</v>
      </c>
      <c r="C910" s="12" t="s">
        <v>3793</v>
      </c>
      <c r="D910" s="10">
        <v>12</v>
      </c>
      <c r="E910" s="13">
        <v>1000000</v>
      </c>
      <c r="F910" s="14" t="s">
        <v>243</v>
      </c>
      <c r="G910" s="14" t="s">
        <v>244</v>
      </c>
      <c r="H910" s="15" t="s">
        <v>211</v>
      </c>
      <c r="I910" s="8"/>
      <c r="J910" s="10"/>
      <c r="AV910" s="15" t="s">
        <v>181</v>
      </c>
      <c r="AW910" s="15" t="s">
        <v>182</v>
      </c>
      <c r="AX910" s="15" t="s">
        <v>2812</v>
      </c>
      <c r="BH910" s="15" t="s">
        <v>184</v>
      </c>
      <c r="BI910" s="15" t="s">
        <v>185</v>
      </c>
      <c r="BJ910" s="15" t="s">
        <v>2351</v>
      </c>
      <c r="BK910" s="15" t="s">
        <v>2352</v>
      </c>
      <c r="BL910" s="15" t="s">
        <v>2353</v>
      </c>
      <c r="BM910" s="15" t="s">
        <v>2354</v>
      </c>
      <c r="BN910" s="15" t="s">
        <v>2355</v>
      </c>
      <c r="BO910" s="15" t="s">
        <v>2356</v>
      </c>
      <c r="BR910" s="15" t="s">
        <v>192</v>
      </c>
      <c r="BS910" s="15" t="s">
        <v>193</v>
      </c>
      <c r="BT910" s="15" t="s">
        <v>194</v>
      </c>
      <c r="BU910" s="15" t="s">
        <v>195</v>
      </c>
      <c r="BV910" s="15" t="s">
        <v>196</v>
      </c>
      <c r="BW910" s="15" t="s">
        <v>251</v>
      </c>
      <c r="CA910" s="15" t="s">
        <v>2357</v>
      </c>
      <c r="CB910" s="15" t="s">
        <v>78</v>
      </c>
      <c r="CC910" s="15">
        <v>1</v>
      </c>
      <c r="CN910" s="15" t="s">
        <v>198</v>
      </c>
      <c r="CW910" s="10">
        <v>2</v>
      </c>
      <c r="CX910" s="15" t="s">
        <v>2813</v>
      </c>
    </row>
    <row r="911" spans="1:102" s="15" customFormat="1" x14ac:dyDescent="0.3">
      <c r="A911" s="11" t="s">
        <v>2349</v>
      </c>
      <c r="B911" s="10" t="s">
        <v>418</v>
      </c>
      <c r="C911" s="12" t="s">
        <v>3958</v>
      </c>
      <c r="D911" s="10">
        <v>12</v>
      </c>
      <c r="E911" s="13">
        <v>1000000</v>
      </c>
      <c r="F911" s="14" t="s">
        <v>243</v>
      </c>
      <c r="G911" s="14" t="s">
        <v>244</v>
      </c>
      <c r="H911" s="15" t="s">
        <v>211</v>
      </c>
      <c r="I911" s="8"/>
      <c r="J911" s="10"/>
      <c r="AV911" s="15" t="s">
        <v>181</v>
      </c>
      <c r="AW911" s="15" t="s">
        <v>182</v>
      </c>
      <c r="AX911" s="15" t="s">
        <v>2814</v>
      </c>
      <c r="BH911" s="15" t="s">
        <v>184</v>
      </c>
      <c r="BI911" s="15" t="s">
        <v>185</v>
      </c>
      <c r="BJ911" s="15" t="s">
        <v>2351</v>
      </c>
      <c r="BK911" s="15" t="s">
        <v>2352</v>
      </c>
      <c r="BL911" s="15" t="s">
        <v>2353</v>
      </c>
      <c r="BM911" s="15" t="s">
        <v>2354</v>
      </c>
      <c r="BN911" s="15" t="s">
        <v>2355</v>
      </c>
      <c r="BO911" s="15" t="s">
        <v>2356</v>
      </c>
      <c r="BR911" s="15" t="s">
        <v>192</v>
      </c>
      <c r="BS911" s="15" t="s">
        <v>193</v>
      </c>
      <c r="BT911" s="15" t="s">
        <v>194</v>
      </c>
      <c r="BU911" s="15" t="s">
        <v>195</v>
      </c>
      <c r="BV911" s="15" t="s">
        <v>196</v>
      </c>
      <c r="BW911" s="15" t="s">
        <v>251</v>
      </c>
      <c r="CA911" s="15" t="s">
        <v>2357</v>
      </c>
      <c r="CB911" s="15" t="s">
        <v>78</v>
      </c>
      <c r="CC911" s="15">
        <v>1</v>
      </c>
      <c r="CN911" s="15" t="s">
        <v>198</v>
      </c>
      <c r="CW911" s="10">
        <v>2</v>
      </c>
      <c r="CX911" s="15" t="s">
        <v>2815</v>
      </c>
    </row>
    <row r="912" spans="1:102" s="15" customFormat="1" x14ac:dyDescent="0.3">
      <c r="A912" s="11" t="s">
        <v>2349</v>
      </c>
      <c r="B912" s="10" t="s">
        <v>980</v>
      </c>
      <c r="C912" s="12" t="s">
        <v>3884</v>
      </c>
      <c r="D912" s="10">
        <v>12</v>
      </c>
      <c r="E912" s="13">
        <v>100000</v>
      </c>
      <c r="F912" s="14" t="s">
        <v>209</v>
      </c>
      <c r="G912" s="14" t="s">
        <v>210</v>
      </c>
      <c r="H912" s="15" t="s">
        <v>211</v>
      </c>
      <c r="I912" s="8"/>
      <c r="J912" s="10"/>
      <c r="AV912" s="15" t="s">
        <v>212</v>
      </c>
      <c r="AW912" s="15" t="s">
        <v>213</v>
      </c>
      <c r="AX912" s="15" t="s">
        <v>2816</v>
      </c>
      <c r="BH912" s="15" t="s">
        <v>184</v>
      </c>
      <c r="BI912" s="15" t="s">
        <v>185</v>
      </c>
      <c r="BJ912" s="15" t="s">
        <v>2351</v>
      </c>
      <c r="BK912" s="15" t="s">
        <v>2352</v>
      </c>
      <c r="BL912" s="15" t="s">
        <v>2353</v>
      </c>
      <c r="BM912" s="15" t="s">
        <v>2354</v>
      </c>
      <c r="BN912" s="15" t="s">
        <v>2355</v>
      </c>
      <c r="BO912" s="15" t="s">
        <v>2356</v>
      </c>
      <c r="BR912" s="15" t="s">
        <v>192</v>
      </c>
      <c r="BS912" s="15" t="s">
        <v>193</v>
      </c>
      <c r="BT912" s="15" t="s">
        <v>194</v>
      </c>
      <c r="BU912" s="15" t="s">
        <v>195</v>
      </c>
      <c r="BV912" s="15" t="s">
        <v>196</v>
      </c>
      <c r="BW912" s="15" t="s">
        <v>251</v>
      </c>
      <c r="CA912" s="15" t="s">
        <v>2357</v>
      </c>
      <c r="CB912" s="15" t="s">
        <v>78</v>
      </c>
      <c r="CC912" s="15">
        <v>1</v>
      </c>
      <c r="CN912" s="15" t="s">
        <v>198</v>
      </c>
      <c r="CW912" s="10">
        <v>2</v>
      </c>
      <c r="CX912" s="15" t="s">
        <v>2817</v>
      </c>
    </row>
    <row r="913" spans="1:102" s="15" customFormat="1" x14ac:dyDescent="0.3">
      <c r="A913" s="11" t="s">
        <v>2349</v>
      </c>
      <c r="B913" s="10" t="s">
        <v>2295</v>
      </c>
      <c r="C913" s="12" t="s">
        <v>2296</v>
      </c>
      <c r="D913" s="10">
        <v>12</v>
      </c>
      <c r="E913" s="13">
        <v>50000</v>
      </c>
      <c r="F913" s="14">
        <v>1</v>
      </c>
      <c r="G913" s="14">
        <v>1</v>
      </c>
      <c r="H913" s="15" t="s">
        <v>2297</v>
      </c>
      <c r="I913" s="8"/>
      <c r="J913" s="10"/>
      <c r="AW913" s="15" t="s">
        <v>128</v>
      </c>
      <c r="AX913" s="15" t="s">
        <v>2818</v>
      </c>
      <c r="BH913" s="15" t="s">
        <v>184</v>
      </c>
      <c r="BI913" s="15" t="s">
        <v>185</v>
      </c>
      <c r="BJ913" s="15" t="s">
        <v>2351</v>
      </c>
      <c r="BK913" s="15" t="s">
        <v>2352</v>
      </c>
      <c r="BL913" s="15" t="s">
        <v>2353</v>
      </c>
      <c r="BM913" s="15" t="s">
        <v>2354</v>
      </c>
      <c r="BN913" s="15" t="s">
        <v>2355</v>
      </c>
      <c r="BO913" s="15" t="s">
        <v>2356</v>
      </c>
      <c r="BR913" s="15" t="s">
        <v>192</v>
      </c>
      <c r="BS913" s="15" t="s">
        <v>193</v>
      </c>
      <c r="BT913" s="15" t="s">
        <v>194</v>
      </c>
      <c r="BU913" s="15" t="s">
        <v>195</v>
      </c>
      <c r="BV913" s="15" t="s">
        <v>196</v>
      </c>
      <c r="BW913" s="15" t="s">
        <v>251</v>
      </c>
      <c r="CW913" s="10">
        <v>2</v>
      </c>
      <c r="CX913" s="15" t="s">
        <v>2819</v>
      </c>
    </row>
    <row r="914" spans="1:102" s="15" customFormat="1" x14ac:dyDescent="0.3">
      <c r="A914" s="11" t="s">
        <v>2349</v>
      </c>
      <c r="B914" s="10" t="s">
        <v>694</v>
      </c>
      <c r="C914" s="12" t="s">
        <v>698</v>
      </c>
      <c r="D914" s="10">
        <v>12</v>
      </c>
      <c r="E914" s="13">
        <v>10000</v>
      </c>
      <c r="F914" s="14" t="s">
        <v>243</v>
      </c>
      <c r="G914" s="14" t="s">
        <v>244</v>
      </c>
      <c r="H914" s="15" t="s">
        <v>254</v>
      </c>
      <c r="I914" s="8"/>
      <c r="J914" s="10"/>
      <c r="AV914" s="15" t="s">
        <v>181</v>
      </c>
      <c r="AW914" s="15" t="s">
        <v>182</v>
      </c>
      <c r="AX914" s="15" t="s">
        <v>2820</v>
      </c>
      <c r="BH914" s="15" t="s">
        <v>184</v>
      </c>
      <c r="BI914" s="15" t="s">
        <v>185</v>
      </c>
      <c r="BJ914" s="15" t="s">
        <v>2351</v>
      </c>
      <c r="BK914" s="15" t="s">
        <v>2352</v>
      </c>
      <c r="BL914" s="15" t="s">
        <v>2353</v>
      </c>
      <c r="BM914" s="15" t="s">
        <v>2354</v>
      </c>
      <c r="BN914" s="15" t="s">
        <v>2355</v>
      </c>
      <c r="BO914" s="15" t="s">
        <v>2356</v>
      </c>
      <c r="BR914" s="15" t="s">
        <v>192</v>
      </c>
      <c r="BS914" s="15" t="s">
        <v>193</v>
      </c>
      <c r="BT914" s="15" t="s">
        <v>194</v>
      </c>
      <c r="BU914" s="15" t="s">
        <v>195</v>
      </c>
      <c r="BV914" s="15" t="s">
        <v>196</v>
      </c>
      <c r="BW914" s="15" t="s">
        <v>323</v>
      </c>
      <c r="CA914" s="15" t="s">
        <v>2357</v>
      </c>
      <c r="CB914" s="15" t="s">
        <v>78</v>
      </c>
      <c r="CC914" s="15">
        <v>1</v>
      </c>
      <c r="CN914" s="15" t="s">
        <v>198</v>
      </c>
      <c r="CW914" s="10">
        <v>2</v>
      </c>
      <c r="CX914" s="15" t="s">
        <v>2821</v>
      </c>
    </row>
    <row r="915" spans="1:102" s="15" customFormat="1" x14ac:dyDescent="0.3">
      <c r="A915" s="11" t="s">
        <v>2349</v>
      </c>
      <c r="B915" s="10" t="s">
        <v>1058</v>
      </c>
      <c r="C915" s="12" t="s">
        <v>3908</v>
      </c>
      <c r="D915" s="10">
        <v>12</v>
      </c>
      <c r="E915" s="13">
        <v>10000</v>
      </c>
      <c r="F915" s="14" t="s">
        <v>243</v>
      </c>
      <c r="G915" s="14" t="s">
        <v>244</v>
      </c>
      <c r="H915" s="15" t="s">
        <v>254</v>
      </c>
      <c r="I915" s="8"/>
      <c r="J915" s="10"/>
      <c r="AV915" s="15" t="s">
        <v>181</v>
      </c>
      <c r="AW915" s="15" t="s">
        <v>182</v>
      </c>
      <c r="AX915" s="15" t="s">
        <v>2822</v>
      </c>
      <c r="BH915" s="15" t="s">
        <v>184</v>
      </c>
      <c r="BI915" s="15" t="s">
        <v>185</v>
      </c>
      <c r="BJ915" s="15" t="s">
        <v>2351</v>
      </c>
      <c r="BK915" s="15" t="s">
        <v>2352</v>
      </c>
      <c r="BL915" s="15" t="s">
        <v>2353</v>
      </c>
      <c r="BM915" s="15" t="s">
        <v>2354</v>
      </c>
      <c r="BN915" s="15" t="s">
        <v>2355</v>
      </c>
      <c r="BO915" s="15" t="s">
        <v>2356</v>
      </c>
      <c r="BR915" s="15" t="s">
        <v>192</v>
      </c>
      <c r="BS915" s="15" t="s">
        <v>193</v>
      </c>
      <c r="BT915" s="15" t="s">
        <v>194</v>
      </c>
      <c r="BU915" s="15" t="s">
        <v>195</v>
      </c>
      <c r="BV915" s="15" t="s">
        <v>196</v>
      </c>
      <c r="BW915" s="15" t="s">
        <v>323</v>
      </c>
      <c r="CA915" s="15" t="s">
        <v>2357</v>
      </c>
      <c r="CB915" s="15" t="s">
        <v>78</v>
      </c>
      <c r="CC915" s="15">
        <v>1</v>
      </c>
      <c r="CN915" s="15" t="s">
        <v>198</v>
      </c>
      <c r="CW915" s="10">
        <v>2</v>
      </c>
      <c r="CX915" s="15" t="s">
        <v>2823</v>
      </c>
    </row>
    <row r="916" spans="1:102" s="15" customFormat="1" x14ac:dyDescent="0.3">
      <c r="A916" s="11" t="s">
        <v>2349</v>
      </c>
      <c r="B916" s="10" t="s">
        <v>647</v>
      </c>
      <c r="C916" s="12" t="s">
        <v>3584</v>
      </c>
      <c r="D916" s="10">
        <v>12</v>
      </c>
      <c r="E916" s="13">
        <v>10000</v>
      </c>
      <c r="F916" s="14" t="s">
        <v>243</v>
      </c>
      <c r="G916" s="14" t="s">
        <v>244</v>
      </c>
      <c r="H916" s="15" t="s">
        <v>254</v>
      </c>
      <c r="I916" s="8"/>
      <c r="J916" s="10"/>
      <c r="AV916" s="15" t="s">
        <v>181</v>
      </c>
      <c r="AW916" s="15" t="s">
        <v>182</v>
      </c>
      <c r="AX916" s="15" t="s">
        <v>2824</v>
      </c>
      <c r="BH916" s="15" t="s">
        <v>184</v>
      </c>
      <c r="BI916" s="15" t="s">
        <v>185</v>
      </c>
      <c r="BJ916" s="15" t="s">
        <v>2351</v>
      </c>
      <c r="BK916" s="15" t="s">
        <v>2352</v>
      </c>
      <c r="BL916" s="15" t="s">
        <v>2353</v>
      </c>
      <c r="BM916" s="15" t="s">
        <v>2354</v>
      </c>
      <c r="BN916" s="15" t="s">
        <v>2355</v>
      </c>
      <c r="BO916" s="15" t="s">
        <v>2356</v>
      </c>
      <c r="BR916" s="15" t="s">
        <v>192</v>
      </c>
      <c r="BS916" s="15" t="s">
        <v>193</v>
      </c>
      <c r="BT916" s="15" t="s">
        <v>194</v>
      </c>
      <c r="BU916" s="15" t="s">
        <v>195</v>
      </c>
      <c r="BV916" s="15" t="s">
        <v>196</v>
      </c>
      <c r="BW916" s="15" t="s">
        <v>323</v>
      </c>
      <c r="CA916" s="15" t="s">
        <v>2357</v>
      </c>
      <c r="CB916" s="15" t="s">
        <v>78</v>
      </c>
      <c r="CC916" s="15">
        <v>1</v>
      </c>
      <c r="CN916" s="15" t="s">
        <v>198</v>
      </c>
      <c r="CW916" s="10">
        <v>2</v>
      </c>
      <c r="CX916" s="15" t="s">
        <v>2825</v>
      </c>
    </row>
    <row r="917" spans="1:102" s="15" customFormat="1" x14ac:dyDescent="0.3">
      <c r="A917" s="11" t="s">
        <v>2349</v>
      </c>
      <c r="B917" s="10" t="s">
        <v>321</v>
      </c>
      <c r="C917" s="12" t="s">
        <v>3672</v>
      </c>
      <c r="D917" s="10">
        <v>12</v>
      </c>
      <c r="E917" s="13">
        <v>10000</v>
      </c>
      <c r="F917" s="14" t="s">
        <v>243</v>
      </c>
      <c r="G917" s="14" t="s">
        <v>244</v>
      </c>
      <c r="H917" s="15" t="s">
        <v>254</v>
      </c>
      <c r="I917" s="8"/>
      <c r="J917" s="10"/>
      <c r="AV917" s="15" t="s">
        <v>181</v>
      </c>
      <c r="AW917" s="15" t="s">
        <v>182</v>
      </c>
      <c r="AX917" s="15" t="s">
        <v>2826</v>
      </c>
      <c r="BH917" s="15" t="s">
        <v>184</v>
      </c>
      <c r="BI917" s="15" t="s">
        <v>185</v>
      </c>
      <c r="BJ917" s="15" t="s">
        <v>2351</v>
      </c>
      <c r="BK917" s="15" t="s">
        <v>2352</v>
      </c>
      <c r="BL917" s="15" t="s">
        <v>2353</v>
      </c>
      <c r="BM917" s="15" t="s">
        <v>2354</v>
      </c>
      <c r="BN917" s="15" t="s">
        <v>2355</v>
      </c>
      <c r="BO917" s="15" t="s">
        <v>2356</v>
      </c>
      <c r="BR917" s="15" t="s">
        <v>192</v>
      </c>
      <c r="BS917" s="15" t="s">
        <v>193</v>
      </c>
      <c r="BT917" s="15" t="s">
        <v>194</v>
      </c>
      <c r="BU917" s="15" t="s">
        <v>195</v>
      </c>
      <c r="BV917" s="15" t="s">
        <v>196</v>
      </c>
      <c r="BW917" s="15" t="s">
        <v>323</v>
      </c>
      <c r="CA917" s="15" t="s">
        <v>2357</v>
      </c>
      <c r="CB917" s="15" t="s">
        <v>78</v>
      </c>
      <c r="CC917" s="15">
        <v>1</v>
      </c>
      <c r="CN917" s="15" t="s">
        <v>198</v>
      </c>
      <c r="CW917" s="10">
        <v>2</v>
      </c>
      <c r="CX917" s="15" t="s">
        <v>2827</v>
      </c>
    </row>
    <row r="918" spans="1:102" s="15" customFormat="1" x14ac:dyDescent="0.3">
      <c r="A918" s="11" t="s">
        <v>2349</v>
      </c>
      <c r="B918" s="10" t="s">
        <v>421</v>
      </c>
      <c r="C918" s="12" t="s">
        <v>3792</v>
      </c>
      <c r="D918" s="10">
        <v>12</v>
      </c>
      <c r="E918" s="13">
        <v>10000</v>
      </c>
      <c r="F918" s="14" t="s">
        <v>243</v>
      </c>
      <c r="G918" s="14" t="s">
        <v>244</v>
      </c>
      <c r="H918" s="15" t="s">
        <v>254</v>
      </c>
      <c r="I918" s="8"/>
      <c r="J918" s="10"/>
      <c r="AV918" s="15" t="s">
        <v>181</v>
      </c>
      <c r="AW918" s="15" t="s">
        <v>182</v>
      </c>
      <c r="AX918" s="15" t="s">
        <v>2828</v>
      </c>
      <c r="BH918" s="15" t="s">
        <v>184</v>
      </c>
      <c r="BI918" s="15" t="s">
        <v>185</v>
      </c>
      <c r="BJ918" s="15" t="s">
        <v>2351</v>
      </c>
      <c r="BK918" s="15" t="s">
        <v>2352</v>
      </c>
      <c r="BL918" s="15" t="s">
        <v>2353</v>
      </c>
      <c r="BM918" s="15" t="s">
        <v>2354</v>
      </c>
      <c r="BN918" s="15" t="s">
        <v>2355</v>
      </c>
      <c r="BO918" s="15" t="s">
        <v>2356</v>
      </c>
      <c r="BR918" s="15" t="s">
        <v>192</v>
      </c>
      <c r="BS918" s="15" t="s">
        <v>193</v>
      </c>
      <c r="BT918" s="15" t="s">
        <v>194</v>
      </c>
      <c r="BU918" s="15" t="s">
        <v>195</v>
      </c>
      <c r="BV918" s="15" t="s">
        <v>196</v>
      </c>
      <c r="BW918" s="15" t="s">
        <v>323</v>
      </c>
      <c r="CA918" s="15" t="s">
        <v>2357</v>
      </c>
      <c r="CB918" s="15" t="s">
        <v>78</v>
      </c>
      <c r="CC918" s="15">
        <v>1</v>
      </c>
      <c r="CN918" s="15" t="s">
        <v>198</v>
      </c>
      <c r="CW918" s="10">
        <v>2</v>
      </c>
      <c r="CX918" s="15" t="s">
        <v>2829</v>
      </c>
    </row>
    <row r="919" spans="1:102" s="15" customFormat="1" x14ac:dyDescent="0.3">
      <c r="A919" s="11" t="s">
        <v>2349</v>
      </c>
      <c r="B919" s="10" t="s">
        <v>776</v>
      </c>
      <c r="C919" s="12" t="s">
        <v>3840</v>
      </c>
      <c r="D919" s="10">
        <v>12</v>
      </c>
      <c r="E919" s="13">
        <v>10000</v>
      </c>
      <c r="F919" s="14" t="s">
        <v>243</v>
      </c>
      <c r="G919" s="14" t="s">
        <v>244</v>
      </c>
      <c r="H919" s="15" t="s">
        <v>254</v>
      </c>
      <c r="I919" s="8"/>
      <c r="J919" s="10"/>
      <c r="AV919" s="15" t="s">
        <v>181</v>
      </c>
      <c r="AW919" s="15" t="s">
        <v>182</v>
      </c>
      <c r="AX919" s="15" t="s">
        <v>2830</v>
      </c>
      <c r="BH919" s="15" t="s">
        <v>184</v>
      </c>
      <c r="BI919" s="15" t="s">
        <v>185</v>
      </c>
      <c r="BJ919" s="15" t="s">
        <v>2351</v>
      </c>
      <c r="BK919" s="15" t="s">
        <v>2352</v>
      </c>
      <c r="BL919" s="15" t="s">
        <v>2353</v>
      </c>
      <c r="BM919" s="15" t="s">
        <v>2354</v>
      </c>
      <c r="BN919" s="15" t="s">
        <v>2355</v>
      </c>
      <c r="BO919" s="15" t="s">
        <v>2356</v>
      </c>
      <c r="BR919" s="15" t="s">
        <v>192</v>
      </c>
      <c r="BS919" s="15" t="s">
        <v>193</v>
      </c>
      <c r="BT919" s="15" t="s">
        <v>194</v>
      </c>
      <c r="BU919" s="15" t="s">
        <v>195</v>
      </c>
      <c r="BV919" s="15" t="s">
        <v>196</v>
      </c>
      <c r="BW919" s="15" t="s">
        <v>323</v>
      </c>
      <c r="CA919" s="15" t="s">
        <v>2357</v>
      </c>
      <c r="CB919" s="15" t="s">
        <v>78</v>
      </c>
      <c r="CC919" s="15">
        <v>1</v>
      </c>
      <c r="CN919" s="15" t="s">
        <v>198</v>
      </c>
      <c r="CW919" s="10">
        <v>2</v>
      </c>
      <c r="CX919" s="15" t="s">
        <v>2831</v>
      </c>
    </row>
    <row r="920" spans="1:102" s="15" customFormat="1" x14ac:dyDescent="0.3">
      <c r="A920" s="11" t="s">
        <v>2349</v>
      </c>
      <c r="B920" s="10" t="s">
        <v>2266</v>
      </c>
      <c r="C920" s="12" t="s">
        <v>2270</v>
      </c>
      <c r="D920" s="10">
        <v>12</v>
      </c>
      <c r="E920" s="13">
        <v>10000</v>
      </c>
      <c r="F920" s="14" t="s">
        <v>243</v>
      </c>
      <c r="G920" s="14" t="s">
        <v>244</v>
      </c>
      <c r="H920" s="15" t="s">
        <v>254</v>
      </c>
      <c r="I920" s="8"/>
      <c r="J920" s="10"/>
      <c r="AV920" s="15" t="s">
        <v>181</v>
      </c>
      <c r="AW920" s="15" t="s">
        <v>182</v>
      </c>
      <c r="AX920" s="15" t="s">
        <v>2832</v>
      </c>
      <c r="BH920" s="15" t="s">
        <v>184</v>
      </c>
      <c r="BI920" s="15" t="s">
        <v>185</v>
      </c>
      <c r="BJ920" s="15" t="s">
        <v>2351</v>
      </c>
      <c r="BK920" s="15" t="s">
        <v>2352</v>
      </c>
      <c r="BL920" s="15" t="s">
        <v>2353</v>
      </c>
      <c r="BM920" s="15" t="s">
        <v>2354</v>
      </c>
      <c r="BN920" s="15" t="s">
        <v>2355</v>
      </c>
      <c r="BO920" s="15" t="s">
        <v>2356</v>
      </c>
      <c r="BR920" s="15" t="s">
        <v>192</v>
      </c>
      <c r="BS920" s="15" t="s">
        <v>193</v>
      </c>
      <c r="BT920" s="15" t="s">
        <v>194</v>
      </c>
      <c r="BU920" s="15" t="s">
        <v>195</v>
      </c>
      <c r="BV920" s="15" t="s">
        <v>196</v>
      </c>
      <c r="BW920" s="15" t="s">
        <v>323</v>
      </c>
      <c r="CA920" s="15" t="s">
        <v>2357</v>
      </c>
      <c r="CB920" s="15" t="s">
        <v>78</v>
      </c>
      <c r="CC920" s="15">
        <v>1</v>
      </c>
      <c r="CN920" s="15" t="s">
        <v>198</v>
      </c>
      <c r="CW920" s="10">
        <v>2</v>
      </c>
      <c r="CX920" s="15" t="s">
        <v>2833</v>
      </c>
    </row>
    <row r="921" spans="1:102" s="15" customFormat="1" x14ac:dyDescent="0.3">
      <c r="A921" s="11" t="s">
        <v>2349</v>
      </c>
      <c r="B921" s="10" t="s">
        <v>2260</v>
      </c>
      <c r="C921" s="12" t="s">
        <v>2264</v>
      </c>
      <c r="D921" s="10">
        <v>12</v>
      </c>
      <c r="E921" s="13">
        <v>10000</v>
      </c>
      <c r="F921" s="14" t="s">
        <v>243</v>
      </c>
      <c r="G921" s="14" t="s">
        <v>244</v>
      </c>
      <c r="H921" s="15" t="s">
        <v>254</v>
      </c>
      <c r="I921" s="8"/>
      <c r="J921" s="10"/>
      <c r="AV921" s="15" t="s">
        <v>181</v>
      </c>
      <c r="AW921" s="15" t="s">
        <v>182</v>
      </c>
      <c r="AX921" s="15" t="s">
        <v>2834</v>
      </c>
      <c r="BH921" s="15" t="s">
        <v>184</v>
      </c>
      <c r="BI921" s="15" t="s">
        <v>185</v>
      </c>
      <c r="BJ921" s="15" t="s">
        <v>2351</v>
      </c>
      <c r="BK921" s="15" t="s">
        <v>2352</v>
      </c>
      <c r="BL921" s="15" t="s">
        <v>2353</v>
      </c>
      <c r="BM921" s="15" t="s">
        <v>2354</v>
      </c>
      <c r="BN921" s="15" t="s">
        <v>2355</v>
      </c>
      <c r="BO921" s="15" t="s">
        <v>2356</v>
      </c>
      <c r="BR921" s="15" t="s">
        <v>192</v>
      </c>
      <c r="BS921" s="15" t="s">
        <v>193</v>
      </c>
      <c r="BT921" s="15" t="s">
        <v>194</v>
      </c>
      <c r="BU921" s="15" t="s">
        <v>195</v>
      </c>
      <c r="BV921" s="15" t="s">
        <v>196</v>
      </c>
      <c r="BW921" s="15" t="s">
        <v>323</v>
      </c>
      <c r="CA921" s="15" t="s">
        <v>2357</v>
      </c>
      <c r="CB921" s="15" t="s">
        <v>78</v>
      </c>
      <c r="CC921" s="15">
        <v>1</v>
      </c>
      <c r="CN921" s="15" t="s">
        <v>198</v>
      </c>
      <c r="CW921" s="10">
        <v>2</v>
      </c>
      <c r="CX921" s="15" t="s">
        <v>2835</v>
      </c>
    </row>
    <row r="922" spans="1:102" s="15" customFormat="1" x14ac:dyDescent="0.3">
      <c r="A922" s="11" t="s">
        <v>2349</v>
      </c>
      <c r="B922" s="10" t="s">
        <v>2456</v>
      </c>
      <c r="C922" s="12" t="s">
        <v>3959</v>
      </c>
      <c r="D922" s="10"/>
      <c r="E922" s="13">
        <v>0</v>
      </c>
      <c r="F922" s="14"/>
      <c r="G922" s="14"/>
      <c r="I922" s="8"/>
      <c r="J922" s="10"/>
      <c r="BH922" s="15" t="s">
        <v>184</v>
      </c>
      <c r="BI922" s="15" t="s">
        <v>185</v>
      </c>
      <c r="BJ922" s="15" t="s">
        <v>2351</v>
      </c>
      <c r="BK922" s="15" t="s">
        <v>2352</v>
      </c>
      <c r="BL922" s="15" t="s">
        <v>2353</v>
      </c>
      <c r="BM922" s="15" t="s">
        <v>2354</v>
      </c>
      <c r="BN922" s="15" t="s">
        <v>2355</v>
      </c>
      <c r="BO922" s="15" t="s">
        <v>2356</v>
      </c>
      <c r="CW922" s="10"/>
    </row>
    <row r="923" spans="1:102" s="15" customFormat="1" x14ac:dyDescent="0.3">
      <c r="A923" s="11" t="s">
        <v>2349</v>
      </c>
      <c r="B923" s="10" t="s">
        <v>893</v>
      </c>
      <c r="C923" s="12" t="s">
        <v>3864</v>
      </c>
      <c r="D923" s="10">
        <v>12</v>
      </c>
      <c r="E923" s="13">
        <v>10000</v>
      </c>
      <c r="F923" s="14" t="s">
        <v>243</v>
      </c>
      <c r="G923" s="14" t="s">
        <v>244</v>
      </c>
      <c r="H923" s="15" t="s">
        <v>894</v>
      </c>
      <c r="I923" s="8"/>
      <c r="J923" s="10"/>
      <c r="AV923" s="15" t="s">
        <v>181</v>
      </c>
      <c r="AW923" s="15" t="s">
        <v>182</v>
      </c>
      <c r="AX923" s="15" t="s">
        <v>2836</v>
      </c>
      <c r="AY923" s="15" t="s">
        <v>2837</v>
      </c>
      <c r="BH923" s="15" t="s">
        <v>184</v>
      </c>
      <c r="BI923" s="15" t="s">
        <v>185</v>
      </c>
      <c r="BJ923" s="15" t="s">
        <v>2351</v>
      </c>
      <c r="BK923" s="15" t="s">
        <v>2352</v>
      </c>
      <c r="BL923" s="15" t="s">
        <v>2353</v>
      </c>
      <c r="BM923" s="15" t="s">
        <v>2354</v>
      </c>
      <c r="BN923" s="15" t="s">
        <v>2355</v>
      </c>
      <c r="BO923" s="15" t="s">
        <v>2356</v>
      </c>
      <c r="BR923" s="15" t="s">
        <v>192</v>
      </c>
      <c r="BS923" s="15" t="s">
        <v>193</v>
      </c>
      <c r="BT923" s="15" t="s">
        <v>194</v>
      </c>
      <c r="BU923" s="15" t="s">
        <v>195</v>
      </c>
      <c r="BV923" s="15" t="s">
        <v>196</v>
      </c>
      <c r="BW923" s="15" t="s">
        <v>323</v>
      </c>
      <c r="CA923" s="15" t="s">
        <v>2357</v>
      </c>
      <c r="CB923" s="15" t="s">
        <v>78</v>
      </c>
      <c r="CC923" s="15">
        <v>1</v>
      </c>
      <c r="CN923" s="15" t="s">
        <v>198</v>
      </c>
      <c r="CW923" s="10">
        <v>2</v>
      </c>
      <c r="CX923" s="15" t="s">
        <v>2838</v>
      </c>
    </row>
    <row r="924" spans="1:102" s="15" customFormat="1" x14ac:dyDescent="0.3">
      <c r="A924" s="11" t="s">
        <v>2349</v>
      </c>
      <c r="B924" s="10" t="s">
        <v>898</v>
      </c>
      <c r="C924" s="12" t="s">
        <v>3865</v>
      </c>
      <c r="D924" s="10">
        <v>12</v>
      </c>
      <c r="E924" s="13">
        <v>30000</v>
      </c>
      <c r="F924" s="14" t="s">
        <v>243</v>
      </c>
      <c r="G924" s="14" t="s">
        <v>244</v>
      </c>
      <c r="H924" s="15" t="s">
        <v>254</v>
      </c>
      <c r="I924" s="8"/>
      <c r="J924" s="10"/>
      <c r="AV924" s="15" t="s">
        <v>181</v>
      </c>
      <c r="AW924" s="15" t="s">
        <v>182</v>
      </c>
      <c r="AX924" s="15" t="s">
        <v>2839</v>
      </c>
      <c r="BH924" s="15" t="s">
        <v>184</v>
      </c>
      <c r="BI924" s="15" t="s">
        <v>185</v>
      </c>
      <c r="BJ924" s="15" t="s">
        <v>2351</v>
      </c>
      <c r="BK924" s="15" t="s">
        <v>2352</v>
      </c>
      <c r="BL924" s="15" t="s">
        <v>2353</v>
      </c>
      <c r="BM924" s="15" t="s">
        <v>2354</v>
      </c>
      <c r="BN924" s="15" t="s">
        <v>2355</v>
      </c>
      <c r="BO924" s="15" t="s">
        <v>2356</v>
      </c>
      <c r="BR924" s="15" t="s">
        <v>192</v>
      </c>
      <c r="BS924" s="15" t="s">
        <v>193</v>
      </c>
      <c r="BT924" s="15" t="s">
        <v>194</v>
      </c>
      <c r="BU924" s="15" t="s">
        <v>195</v>
      </c>
      <c r="BV924" s="15" t="s">
        <v>196</v>
      </c>
      <c r="BW924" s="15" t="s">
        <v>323</v>
      </c>
      <c r="CA924" s="15" t="s">
        <v>2357</v>
      </c>
      <c r="CB924" s="15" t="s">
        <v>78</v>
      </c>
      <c r="CC924" s="15">
        <v>1</v>
      </c>
      <c r="CN924" s="15" t="s">
        <v>198</v>
      </c>
      <c r="CW924" s="10">
        <v>2</v>
      </c>
      <c r="CX924" s="15" t="s">
        <v>2840</v>
      </c>
    </row>
    <row r="925" spans="1:102" s="15" customFormat="1" x14ac:dyDescent="0.3">
      <c r="A925" s="11" t="s">
        <v>2349</v>
      </c>
      <c r="B925" s="10" t="s">
        <v>901</v>
      </c>
      <c r="C925" s="12" t="s">
        <v>3866</v>
      </c>
      <c r="D925" s="10">
        <v>12</v>
      </c>
      <c r="E925" s="13">
        <v>10000</v>
      </c>
      <c r="F925" s="14" t="s">
        <v>243</v>
      </c>
      <c r="G925" s="14" t="s">
        <v>244</v>
      </c>
      <c r="H925" s="15" t="s">
        <v>254</v>
      </c>
      <c r="I925" s="8"/>
      <c r="J925" s="10"/>
      <c r="AV925" s="15" t="s">
        <v>181</v>
      </c>
      <c r="AW925" s="15" t="s">
        <v>182</v>
      </c>
      <c r="AX925" s="15" t="s">
        <v>2841</v>
      </c>
      <c r="BH925" s="15" t="s">
        <v>184</v>
      </c>
      <c r="BI925" s="15" t="s">
        <v>185</v>
      </c>
      <c r="BJ925" s="15" t="s">
        <v>2351</v>
      </c>
      <c r="BK925" s="15" t="s">
        <v>2352</v>
      </c>
      <c r="BL925" s="15" t="s">
        <v>2353</v>
      </c>
      <c r="BM925" s="15" t="s">
        <v>2354</v>
      </c>
      <c r="BN925" s="15" t="s">
        <v>2355</v>
      </c>
      <c r="BO925" s="15" t="s">
        <v>2356</v>
      </c>
      <c r="BR925" s="15" t="s">
        <v>192</v>
      </c>
      <c r="BS925" s="15" t="s">
        <v>193</v>
      </c>
      <c r="BT925" s="15" t="s">
        <v>194</v>
      </c>
      <c r="BU925" s="15" t="s">
        <v>195</v>
      </c>
      <c r="BV925" s="15" t="s">
        <v>196</v>
      </c>
      <c r="BW925" s="15" t="s">
        <v>323</v>
      </c>
      <c r="CA925" s="15" t="s">
        <v>2357</v>
      </c>
      <c r="CB925" s="15" t="s">
        <v>78</v>
      </c>
      <c r="CC925" s="15">
        <v>1</v>
      </c>
      <c r="CN925" s="15" t="s">
        <v>198</v>
      </c>
      <c r="CW925" s="10">
        <v>2</v>
      </c>
      <c r="CX925" s="15" t="s">
        <v>2842</v>
      </c>
    </row>
    <row r="926" spans="1:102" s="15" customFormat="1" x14ac:dyDescent="0.3">
      <c r="A926" s="11" t="s">
        <v>2349</v>
      </c>
      <c r="B926" s="10" t="s">
        <v>770</v>
      </c>
      <c r="C926" s="12" t="s">
        <v>3838</v>
      </c>
      <c r="D926" s="10">
        <v>12</v>
      </c>
      <c r="E926" s="13">
        <v>10000</v>
      </c>
      <c r="F926" s="14" t="s">
        <v>243</v>
      </c>
      <c r="G926" s="14" t="s">
        <v>244</v>
      </c>
      <c r="H926" s="15" t="s">
        <v>254</v>
      </c>
      <c r="I926" s="8"/>
      <c r="J926" s="10"/>
      <c r="AV926" s="15" t="s">
        <v>181</v>
      </c>
      <c r="AW926" s="15" t="s">
        <v>182</v>
      </c>
      <c r="AX926" s="15" t="s">
        <v>2843</v>
      </c>
      <c r="BH926" s="15" t="s">
        <v>184</v>
      </c>
      <c r="BI926" s="15" t="s">
        <v>185</v>
      </c>
      <c r="BJ926" s="15" t="s">
        <v>2351</v>
      </c>
      <c r="BK926" s="15" t="s">
        <v>2352</v>
      </c>
      <c r="BL926" s="15" t="s">
        <v>2353</v>
      </c>
      <c r="BM926" s="15" t="s">
        <v>2354</v>
      </c>
      <c r="BN926" s="15" t="s">
        <v>2355</v>
      </c>
      <c r="BO926" s="15" t="s">
        <v>2356</v>
      </c>
      <c r="BR926" s="15" t="s">
        <v>192</v>
      </c>
      <c r="BS926" s="15" t="s">
        <v>193</v>
      </c>
      <c r="BT926" s="15" t="s">
        <v>194</v>
      </c>
      <c r="BU926" s="15" t="s">
        <v>195</v>
      </c>
      <c r="BV926" s="15" t="s">
        <v>196</v>
      </c>
      <c r="BW926" s="15" t="s">
        <v>323</v>
      </c>
      <c r="CA926" s="15" t="s">
        <v>2357</v>
      </c>
      <c r="CB926" s="15" t="s">
        <v>78</v>
      </c>
      <c r="CC926" s="15">
        <v>1</v>
      </c>
      <c r="CN926" s="15" t="s">
        <v>198</v>
      </c>
      <c r="CW926" s="10">
        <v>2</v>
      </c>
      <c r="CX926" s="15" t="s">
        <v>2844</v>
      </c>
    </row>
    <row r="927" spans="1:102" s="15" customFormat="1" x14ac:dyDescent="0.3">
      <c r="A927" s="11" t="s">
        <v>2349</v>
      </c>
      <c r="B927" s="10" t="s">
        <v>712</v>
      </c>
      <c r="C927" s="12" t="s">
        <v>3825</v>
      </c>
      <c r="D927" s="10">
        <v>12</v>
      </c>
      <c r="E927" s="13">
        <v>10000</v>
      </c>
      <c r="F927" s="14" t="s">
        <v>243</v>
      </c>
      <c r="G927" s="14" t="s">
        <v>244</v>
      </c>
      <c r="H927" s="15" t="s">
        <v>687</v>
      </c>
      <c r="I927" s="8"/>
      <c r="J927" s="10"/>
      <c r="AV927" s="15" t="s">
        <v>181</v>
      </c>
      <c r="AW927" s="15" t="s">
        <v>182</v>
      </c>
      <c r="AX927" s="15" t="s">
        <v>2845</v>
      </c>
      <c r="AY927" s="15" t="s">
        <v>2846</v>
      </c>
      <c r="AZ927" s="15" t="s">
        <v>2847</v>
      </c>
      <c r="BA927" s="15" t="s">
        <v>2848</v>
      </c>
      <c r="BB927" s="15" t="s">
        <v>2849</v>
      </c>
      <c r="BH927" s="15" t="s">
        <v>184</v>
      </c>
      <c r="BI927" s="15" t="s">
        <v>185</v>
      </c>
      <c r="BJ927" s="15" t="s">
        <v>2351</v>
      </c>
      <c r="BK927" s="15" t="s">
        <v>2352</v>
      </c>
      <c r="BL927" s="15" t="s">
        <v>2353</v>
      </c>
      <c r="BM927" s="15" t="s">
        <v>2354</v>
      </c>
      <c r="BN927" s="15" t="s">
        <v>2355</v>
      </c>
      <c r="BO927" s="15" t="s">
        <v>2356</v>
      </c>
      <c r="BR927" s="15" t="s">
        <v>192</v>
      </c>
      <c r="BS927" s="15" t="s">
        <v>193</v>
      </c>
      <c r="BT927" s="15" t="s">
        <v>194</v>
      </c>
      <c r="BU927" s="15" t="s">
        <v>195</v>
      </c>
      <c r="BV927" s="15" t="s">
        <v>196</v>
      </c>
      <c r="BW927" s="15" t="s">
        <v>272</v>
      </c>
      <c r="CA927" s="15" t="s">
        <v>2357</v>
      </c>
      <c r="CB927" s="15" t="s">
        <v>78</v>
      </c>
      <c r="CC927" s="15">
        <v>1</v>
      </c>
      <c r="CN927" s="15" t="s">
        <v>273</v>
      </c>
      <c r="CW927" s="10">
        <v>2</v>
      </c>
      <c r="CX927" s="15" t="s">
        <v>2850</v>
      </c>
    </row>
    <row r="928" spans="1:102" s="15" customFormat="1" x14ac:dyDescent="0.3">
      <c r="A928" s="11" t="s">
        <v>2349</v>
      </c>
      <c r="B928" s="10" t="s">
        <v>686</v>
      </c>
      <c r="C928" s="12" t="s">
        <v>3674</v>
      </c>
      <c r="D928" s="10">
        <v>12</v>
      </c>
      <c r="E928" s="13">
        <v>10000</v>
      </c>
      <c r="F928" s="14" t="s">
        <v>243</v>
      </c>
      <c r="G928" s="14" t="s">
        <v>244</v>
      </c>
      <c r="H928" s="15" t="s">
        <v>687</v>
      </c>
      <c r="I928" s="8"/>
      <c r="J928" s="10"/>
      <c r="AV928" s="15" t="s">
        <v>181</v>
      </c>
      <c r="AW928" s="15" t="s">
        <v>182</v>
      </c>
      <c r="AX928" s="15" t="s">
        <v>2851</v>
      </c>
      <c r="AY928" s="15" t="s">
        <v>2852</v>
      </c>
      <c r="AZ928" s="15" t="s">
        <v>2853</v>
      </c>
      <c r="BA928" s="15" t="s">
        <v>2854</v>
      </c>
      <c r="BB928" s="15" t="s">
        <v>2855</v>
      </c>
      <c r="BH928" s="15" t="s">
        <v>184</v>
      </c>
      <c r="BI928" s="15" t="s">
        <v>185</v>
      </c>
      <c r="BJ928" s="15" t="s">
        <v>2351</v>
      </c>
      <c r="BK928" s="15" t="s">
        <v>2352</v>
      </c>
      <c r="BL928" s="15" t="s">
        <v>2353</v>
      </c>
      <c r="BM928" s="15" t="s">
        <v>2354</v>
      </c>
      <c r="BN928" s="15" t="s">
        <v>2355</v>
      </c>
      <c r="BO928" s="15" t="s">
        <v>2356</v>
      </c>
      <c r="BR928" s="15" t="s">
        <v>192</v>
      </c>
      <c r="BS928" s="15" t="s">
        <v>193</v>
      </c>
      <c r="BT928" s="15" t="s">
        <v>194</v>
      </c>
      <c r="BU928" s="15" t="s">
        <v>195</v>
      </c>
      <c r="BV928" s="15" t="s">
        <v>196</v>
      </c>
      <c r="BW928" s="15" t="s">
        <v>272</v>
      </c>
      <c r="CA928" s="15" t="s">
        <v>2357</v>
      </c>
      <c r="CB928" s="15" t="s">
        <v>78</v>
      </c>
      <c r="CC928" s="15">
        <v>1</v>
      </c>
      <c r="CN928" s="15" t="s">
        <v>273</v>
      </c>
      <c r="CW928" s="10">
        <v>2</v>
      </c>
      <c r="CX928" s="15" t="s">
        <v>2856</v>
      </c>
    </row>
    <row r="929" spans="1:102" s="15" customFormat="1" x14ac:dyDescent="0.3">
      <c r="A929" s="11" t="s">
        <v>2349</v>
      </c>
      <c r="B929" s="10" t="s">
        <v>755</v>
      </c>
      <c r="C929" s="12" t="s">
        <v>3835</v>
      </c>
      <c r="D929" s="10">
        <v>12</v>
      </c>
      <c r="E929" s="13">
        <v>10000</v>
      </c>
      <c r="F929" s="14" t="s">
        <v>243</v>
      </c>
      <c r="G929" s="14" t="s">
        <v>244</v>
      </c>
      <c r="H929" s="15" t="s">
        <v>402</v>
      </c>
      <c r="I929" s="8"/>
      <c r="J929" s="10"/>
      <c r="AV929" s="15" t="s">
        <v>181</v>
      </c>
      <c r="AW929" s="15" t="s">
        <v>182</v>
      </c>
      <c r="AX929" s="15" t="s">
        <v>2857</v>
      </c>
      <c r="BH929" s="15" t="s">
        <v>184</v>
      </c>
      <c r="BI929" s="15" t="s">
        <v>185</v>
      </c>
      <c r="BJ929" s="15" t="s">
        <v>2351</v>
      </c>
      <c r="BK929" s="15" t="s">
        <v>2352</v>
      </c>
      <c r="BL929" s="15" t="s">
        <v>2353</v>
      </c>
      <c r="BM929" s="15" t="s">
        <v>2354</v>
      </c>
      <c r="BN929" s="15" t="s">
        <v>2355</v>
      </c>
      <c r="BO929" s="15" t="s">
        <v>2356</v>
      </c>
      <c r="BR929" s="15" t="s">
        <v>192</v>
      </c>
      <c r="BS929" s="15" t="s">
        <v>193</v>
      </c>
      <c r="BT929" s="15" t="s">
        <v>194</v>
      </c>
      <c r="BU929" s="15" t="s">
        <v>195</v>
      </c>
      <c r="BV929" s="15" t="s">
        <v>196</v>
      </c>
      <c r="BW929" s="15" t="s">
        <v>293</v>
      </c>
      <c r="CA929" s="15" t="s">
        <v>2357</v>
      </c>
      <c r="CB929" s="15" t="s">
        <v>78</v>
      </c>
      <c r="CC929" s="15">
        <v>1</v>
      </c>
      <c r="CN929" s="15" t="s">
        <v>198</v>
      </c>
      <c r="CW929" s="10">
        <v>2</v>
      </c>
      <c r="CX929" s="15" t="s">
        <v>2858</v>
      </c>
    </row>
    <row r="930" spans="1:102" s="15" customFormat="1" x14ac:dyDescent="0.3">
      <c r="A930" s="11" t="s">
        <v>2349</v>
      </c>
      <c r="B930" s="10" t="s">
        <v>758</v>
      </c>
      <c r="C930" s="12" t="s">
        <v>3836</v>
      </c>
      <c r="D930" s="10">
        <v>12</v>
      </c>
      <c r="E930" s="13">
        <v>10000</v>
      </c>
      <c r="F930" s="14" t="s">
        <v>243</v>
      </c>
      <c r="G930" s="14" t="s">
        <v>244</v>
      </c>
      <c r="H930" s="15" t="s">
        <v>402</v>
      </c>
      <c r="I930" s="8"/>
      <c r="J930" s="10"/>
      <c r="AV930" s="15" t="s">
        <v>181</v>
      </c>
      <c r="AW930" s="15" t="s">
        <v>182</v>
      </c>
      <c r="AX930" s="15" t="s">
        <v>2859</v>
      </c>
      <c r="BH930" s="15" t="s">
        <v>184</v>
      </c>
      <c r="BI930" s="15" t="s">
        <v>185</v>
      </c>
      <c r="BJ930" s="15" t="s">
        <v>2351</v>
      </c>
      <c r="BK930" s="15" t="s">
        <v>2352</v>
      </c>
      <c r="BL930" s="15" t="s">
        <v>2353</v>
      </c>
      <c r="BM930" s="15" t="s">
        <v>2354</v>
      </c>
      <c r="BN930" s="15" t="s">
        <v>2355</v>
      </c>
      <c r="BO930" s="15" t="s">
        <v>2356</v>
      </c>
      <c r="BR930" s="15" t="s">
        <v>192</v>
      </c>
      <c r="BS930" s="15" t="s">
        <v>193</v>
      </c>
      <c r="BT930" s="15" t="s">
        <v>194</v>
      </c>
      <c r="BU930" s="15" t="s">
        <v>195</v>
      </c>
      <c r="BV930" s="15" t="s">
        <v>196</v>
      </c>
      <c r="BW930" s="15" t="s">
        <v>289</v>
      </c>
      <c r="CA930" s="15" t="s">
        <v>2357</v>
      </c>
      <c r="CB930" s="15" t="s">
        <v>78</v>
      </c>
      <c r="CC930" s="15">
        <v>1</v>
      </c>
      <c r="CN930" s="15" t="s">
        <v>198</v>
      </c>
      <c r="CW930" s="10">
        <v>2</v>
      </c>
      <c r="CX930" s="15" t="s">
        <v>2860</v>
      </c>
    </row>
    <row r="931" spans="1:102" s="15" customFormat="1" x14ac:dyDescent="0.3">
      <c r="A931" s="11" t="s">
        <v>2349</v>
      </c>
      <c r="B931" s="10" t="s">
        <v>1049</v>
      </c>
      <c r="C931" s="12" t="s">
        <v>3905</v>
      </c>
      <c r="D931" s="10">
        <v>12</v>
      </c>
      <c r="E931" s="13">
        <v>1000000</v>
      </c>
      <c r="F931" s="14" t="s">
        <v>209</v>
      </c>
      <c r="G931" s="14" t="s">
        <v>210</v>
      </c>
      <c r="H931" s="15" t="s">
        <v>254</v>
      </c>
      <c r="I931" s="8"/>
      <c r="J931" s="10"/>
      <c r="AV931" s="15" t="s">
        <v>212</v>
      </c>
      <c r="AW931" s="15" t="s">
        <v>213</v>
      </c>
      <c r="AX931" s="15" t="s">
        <v>2861</v>
      </c>
      <c r="BH931" s="15" t="s">
        <v>184</v>
      </c>
      <c r="BI931" s="15" t="s">
        <v>185</v>
      </c>
      <c r="BJ931" s="15" t="s">
        <v>2351</v>
      </c>
      <c r="BK931" s="15" t="s">
        <v>2352</v>
      </c>
      <c r="BL931" s="15" t="s">
        <v>2353</v>
      </c>
      <c r="BM931" s="15" t="s">
        <v>2354</v>
      </c>
      <c r="BN931" s="15" t="s">
        <v>2355</v>
      </c>
      <c r="BO931" s="15" t="s">
        <v>2356</v>
      </c>
      <c r="BR931" s="15" t="s">
        <v>192</v>
      </c>
      <c r="BS931" s="15" t="s">
        <v>193</v>
      </c>
      <c r="BT931" s="15" t="s">
        <v>194</v>
      </c>
      <c r="BU931" s="15" t="s">
        <v>195</v>
      </c>
      <c r="BV931" s="15" t="s">
        <v>196</v>
      </c>
      <c r="BW931" s="15" t="s">
        <v>516</v>
      </c>
      <c r="CA931" s="15" t="s">
        <v>2357</v>
      </c>
      <c r="CB931" s="15" t="s">
        <v>78</v>
      </c>
      <c r="CC931" s="15">
        <v>1</v>
      </c>
      <c r="CN931" s="15" t="s">
        <v>198</v>
      </c>
      <c r="CW931" s="10">
        <v>2</v>
      </c>
      <c r="CX931" s="15" t="s">
        <v>2862</v>
      </c>
    </row>
    <row r="932" spans="1:102" s="15" customFormat="1" x14ac:dyDescent="0.3">
      <c r="A932" s="11" t="s">
        <v>2349</v>
      </c>
      <c r="B932" s="10" t="s">
        <v>1046</v>
      </c>
      <c r="C932" s="12" t="s">
        <v>3904</v>
      </c>
      <c r="D932" s="10">
        <v>12</v>
      </c>
      <c r="E932" s="13">
        <v>1000000</v>
      </c>
      <c r="F932" s="14" t="s">
        <v>209</v>
      </c>
      <c r="G932" s="14" t="s">
        <v>210</v>
      </c>
      <c r="H932" s="15" t="s">
        <v>211</v>
      </c>
      <c r="I932" s="8"/>
      <c r="J932" s="10"/>
      <c r="AV932" s="15" t="s">
        <v>212</v>
      </c>
      <c r="AW932" s="15" t="s">
        <v>213</v>
      </c>
      <c r="AX932" s="15" t="s">
        <v>2863</v>
      </c>
      <c r="BH932" s="15" t="s">
        <v>184</v>
      </c>
      <c r="BI932" s="15" t="s">
        <v>185</v>
      </c>
      <c r="BJ932" s="15" t="s">
        <v>2351</v>
      </c>
      <c r="BK932" s="15" t="s">
        <v>2352</v>
      </c>
      <c r="BL932" s="15" t="s">
        <v>2353</v>
      </c>
      <c r="BM932" s="15" t="s">
        <v>2354</v>
      </c>
      <c r="BN932" s="15" t="s">
        <v>2355</v>
      </c>
      <c r="BO932" s="15" t="s">
        <v>2356</v>
      </c>
      <c r="BR932" s="15" t="s">
        <v>192</v>
      </c>
      <c r="BS932" s="15" t="s">
        <v>193</v>
      </c>
      <c r="BT932" s="15" t="s">
        <v>194</v>
      </c>
      <c r="BU932" s="15" t="s">
        <v>195</v>
      </c>
      <c r="BV932" s="15" t="s">
        <v>196</v>
      </c>
      <c r="BW932" s="15" t="s">
        <v>460</v>
      </c>
      <c r="CA932" s="15" t="s">
        <v>2357</v>
      </c>
      <c r="CB932" s="15" t="s">
        <v>78</v>
      </c>
      <c r="CC932" s="15">
        <v>1</v>
      </c>
      <c r="CN932" s="15" t="s">
        <v>198</v>
      </c>
      <c r="CW932" s="10">
        <v>2</v>
      </c>
      <c r="CX932" s="15" t="s">
        <v>2864</v>
      </c>
    </row>
    <row r="933" spans="1:102" s="15" customFormat="1" x14ac:dyDescent="0.3">
      <c r="A933" s="11" t="s">
        <v>2349</v>
      </c>
      <c r="B933" s="10" t="s">
        <v>514</v>
      </c>
      <c r="C933" s="12" t="s">
        <v>519</v>
      </c>
      <c r="D933" s="10">
        <v>12</v>
      </c>
      <c r="E933" s="13">
        <v>1000000</v>
      </c>
      <c r="F933" s="14" t="s">
        <v>243</v>
      </c>
      <c r="G933" s="14" t="s">
        <v>244</v>
      </c>
      <c r="H933" s="15" t="s">
        <v>211</v>
      </c>
      <c r="I933" s="8"/>
      <c r="J933" s="10"/>
      <c r="AV933" s="15" t="s">
        <v>181</v>
      </c>
      <c r="AW933" s="15" t="s">
        <v>182</v>
      </c>
      <c r="AX933" s="15" t="s">
        <v>2865</v>
      </c>
      <c r="BH933" s="15" t="s">
        <v>184</v>
      </c>
      <c r="BI933" s="15" t="s">
        <v>185</v>
      </c>
      <c r="BJ933" s="15" t="s">
        <v>2351</v>
      </c>
      <c r="BK933" s="15" t="s">
        <v>2352</v>
      </c>
      <c r="BL933" s="15" t="s">
        <v>2353</v>
      </c>
      <c r="BM933" s="15" t="s">
        <v>2354</v>
      </c>
      <c r="BN933" s="15" t="s">
        <v>2355</v>
      </c>
      <c r="BO933" s="15" t="s">
        <v>2356</v>
      </c>
      <c r="BR933" s="15" t="s">
        <v>192</v>
      </c>
      <c r="BS933" s="15" t="s">
        <v>193</v>
      </c>
      <c r="BT933" s="15" t="s">
        <v>194</v>
      </c>
      <c r="BU933" s="15" t="s">
        <v>195</v>
      </c>
      <c r="BV933" s="15" t="s">
        <v>196</v>
      </c>
      <c r="BW933" s="15" t="s">
        <v>516</v>
      </c>
      <c r="CA933" s="15" t="s">
        <v>2357</v>
      </c>
      <c r="CB933" s="15" t="s">
        <v>78</v>
      </c>
      <c r="CC933" s="15">
        <v>1</v>
      </c>
      <c r="CN933" s="15" t="s">
        <v>198</v>
      </c>
      <c r="CW933" s="10">
        <v>2</v>
      </c>
      <c r="CX933" s="15" t="s">
        <v>2866</v>
      </c>
    </row>
    <row r="934" spans="1:102" s="15" customFormat="1" x14ac:dyDescent="0.3">
      <c r="A934" s="11" t="s">
        <v>2349</v>
      </c>
      <c r="B934" s="10" t="s">
        <v>527</v>
      </c>
      <c r="C934" s="12" t="s">
        <v>531</v>
      </c>
      <c r="D934" s="10">
        <v>12</v>
      </c>
      <c r="E934" s="13">
        <v>1000000</v>
      </c>
      <c r="F934" s="14" t="s">
        <v>243</v>
      </c>
      <c r="G934" s="14" t="s">
        <v>244</v>
      </c>
      <c r="H934" s="15" t="s">
        <v>211</v>
      </c>
      <c r="I934" s="8"/>
      <c r="J934" s="10"/>
      <c r="AV934" s="15" t="s">
        <v>181</v>
      </c>
      <c r="AW934" s="15" t="s">
        <v>182</v>
      </c>
      <c r="AX934" s="15" t="s">
        <v>2867</v>
      </c>
      <c r="BH934" s="15" t="s">
        <v>184</v>
      </c>
      <c r="BI934" s="15" t="s">
        <v>185</v>
      </c>
      <c r="BJ934" s="15" t="s">
        <v>2351</v>
      </c>
      <c r="BK934" s="15" t="s">
        <v>2352</v>
      </c>
      <c r="BL934" s="15" t="s">
        <v>2353</v>
      </c>
      <c r="BM934" s="15" t="s">
        <v>2354</v>
      </c>
      <c r="BN934" s="15" t="s">
        <v>2355</v>
      </c>
      <c r="BO934" s="15" t="s">
        <v>2356</v>
      </c>
      <c r="BR934" s="15" t="s">
        <v>192</v>
      </c>
      <c r="BS934" s="15" t="s">
        <v>193</v>
      </c>
      <c r="BT934" s="15" t="s">
        <v>194</v>
      </c>
      <c r="BU934" s="15" t="s">
        <v>195</v>
      </c>
      <c r="BV934" s="15" t="s">
        <v>196</v>
      </c>
      <c r="BW934" s="15" t="s">
        <v>516</v>
      </c>
      <c r="CA934" s="15" t="s">
        <v>2357</v>
      </c>
      <c r="CB934" s="15" t="s">
        <v>78</v>
      </c>
      <c r="CC934" s="15">
        <v>1</v>
      </c>
      <c r="CN934" s="15" t="s">
        <v>198</v>
      </c>
      <c r="CW934" s="10">
        <v>2</v>
      </c>
      <c r="CX934" s="15" t="s">
        <v>2868</v>
      </c>
    </row>
    <row r="935" spans="1:102" s="15" customFormat="1" x14ac:dyDescent="0.3">
      <c r="A935" s="11" t="s">
        <v>2349</v>
      </c>
      <c r="B935" s="10" t="s">
        <v>1008</v>
      </c>
      <c r="C935" s="12" t="s">
        <v>3892</v>
      </c>
      <c r="D935" s="10">
        <v>12</v>
      </c>
      <c r="E935" s="13">
        <v>100000</v>
      </c>
      <c r="F935" s="14" t="s">
        <v>243</v>
      </c>
      <c r="G935" s="14" t="s">
        <v>244</v>
      </c>
      <c r="H935" s="15" t="s">
        <v>402</v>
      </c>
      <c r="I935" s="8"/>
      <c r="J935" s="10"/>
      <c r="AV935" s="15" t="s">
        <v>181</v>
      </c>
      <c r="AW935" s="15" t="s">
        <v>182</v>
      </c>
      <c r="AX935" s="15" t="s">
        <v>2869</v>
      </c>
      <c r="BH935" s="15" t="s">
        <v>184</v>
      </c>
      <c r="BI935" s="15" t="s">
        <v>185</v>
      </c>
      <c r="BJ935" s="15" t="s">
        <v>2351</v>
      </c>
      <c r="BK935" s="15" t="s">
        <v>2352</v>
      </c>
      <c r="BL935" s="15" t="s">
        <v>2353</v>
      </c>
      <c r="BM935" s="15" t="s">
        <v>2354</v>
      </c>
      <c r="BN935" s="15" t="s">
        <v>2355</v>
      </c>
      <c r="BO935" s="15" t="s">
        <v>2356</v>
      </c>
      <c r="BR935" s="15" t="s">
        <v>192</v>
      </c>
      <c r="BS935" s="15" t="s">
        <v>193</v>
      </c>
      <c r="BT935" s="15" t="s">
        <v>194</v>
      </c>
      <c r="BU935" s="15" t="s">
        <v>195</v>
      </c>
      <c r="BV935" s="15" t="s">
        <v>196</v>
      </c>
      <c r="BW935" s="15" t="s">
        <v>456</v>
      </c>
      <c r="CA935" s="15" t="s">
        <v>2357</v>
      </c>
      <c r="CB935" s="15" t="s">
        <v>78</v>
      </c>
      <c r="CC935" s="15">
        <v>1</v>
      </c>
      <c r="CN935" s="15" t="s">
        <v>198</v>
      </c>
      <c r="CW935" s="10">
        <v>2</v>
      </c>
      <c r="CX935" s="15" t="s">
        <v>2870</v>
      </c>
    </row>
    <row r="936" spans="1:102" s="15" customFormat="1" x14ac:dyDescent="0.3">
      <c r="A936" s="11" t="s">
        <v>2349</v>
      </c>
      <c r="B936" s="10" t="s">
        <v>674</v>
      </c>
      <c r="C936" s="12" t="s">
        <v>3819</v>
      </c>
      <c r="D936" s="10">
        <v>12</v>
      </c>
      <c r="E936" s="13">
        <v>100000</v>
      </c>
      <c r="F936" s="14" t="s">
        <v>243</v>
      </c>
      <c r="G936" s="14" t="s">
        <v>244</v>
      </c>
      <c r="H936" s="15" t="s">
        <v>402</v>
      </c>
      <c r="I936" s="8"/>
      <c r="J936" s="10"/>
      <c r="AV936" s="15" t="s">
        <v>181</v>
      </c>
      <c r="AW936" s="15" t="s">
        <v>182</v>
      </c>
      <c r="AX936" s="15" t="s">
        <v>2871</v>
      </c>
      <c r="BH936" s="15" t="s">
        <v>184</v>
      </c>
      <c r="BI936" s="15" t="s">
        <v>185</v>
      </c>
      <c r="BJ936" s="15" t="s">
        <v>2351</v>
      </c>
      <c r="BK936" s="15" t="s">
        <v>2352</v>
      </c>
      <c r="BL936" s="15" t="s">
        <v>2353</v>
      </c>
      <c r="BM936" s="15" t="s">
        <v>2354</v>
      </c>
      <c r="BN936" s="15" t="s">
        <v>2355</v>
      </c>
      <c r="BO936" s="15" t="s">
        <v>2356</v>
      </c>
      <c r="BR936" s="15" t="s">
        <v>192</v>
      </c>
      <c r="BS936" s="15" t="s">
        <v>193</v>
      </c>
      <c r="BT936" s="15" t="s">
        <v>194</v>
      </c>
      <c r="BU936" s="15" t="s">
        <v>195</v>
      </c>
      <c r="BV936" s="15" t="s">
        <v>196</v>
      </c>
      <c r="BW936" s="15" t="s">
        <v>456</v>
      </c>
      <c r="CA936" s="15" t="s">
        <v>2357</v>
      </c>
      <c r="CB936" s="15" t="s">
        <v>78</v>
      </c>
      <c r="CC936" s="15">
        <v>1</v>
      </c>
      <c r="CN936" s="15" t="s">
        <v>198</v>
      </c>
      <c r="CW936" s="10">
        <v>2</v>
      </c>
      <c r="CX936" s="15" t="s">
        <v>2872</v>
      </c>
    </row>
    <row r="937" spans="1:102" s="15" customFormat="1" x14ac:dyDescent="0.3">
      <c r="A937" s="11" t="s">
        <v>2349</v>
      </c>
      <c r="B937" s="10" t="s">
        <v>524</v>
      </c>
      <c r="C937" s="12" t="s">
        <v>3796</v>
      </c>
      <c r="D937" s="10">
        <v>12</v>
      </c>
      <c r="E937" s="13">
        <v>100000</v>
      </c>
      <c r="F937" s="14" t="s">
        <v>243</v>
      </c>
      <c r="G937" s="14" t="s">
        <v>244</v>
      </c>
      <c r="H937" s="15" t="s">
        <v>254</v>
      </c>
      <c r="I937" s="8"/>
      <c r="J937" s="10"/>
      <c r="AV937" s="15" t="s">
        <v>181</v>
      </c>
      <c r="AW937" s="15" t="s">
        <v>182</v>
      </c>
      <c r="AX937" s="15" t="s">
        <v>2873</v>
      </c>
      <c r="BH937" s="15" t="s">
        <v>184</v>
      </c>
      <c r="BI937" s="15" t="s">
        <v>185</v>
      </c>
      <c r="BJ937" s="15" t="s">
        <v>2351</v>
      </c>
      <c r="BK937" s="15" t="s">
        <v>2352</v>
      </c>
      <c r="BL937" s="15" t="s">
        <v>2353</v>
      </c>
      <c r="BM937" s="15" t="s">
        <v>2354</v>
      </c>
      <c r="BN937" s="15" t="s">
        <v>2355</v>
      </c>
      <c r="BO937" s="15" t="s">
        <v>2356</v>
      </c>
      <c r="BR937" s="15" t="s">
        <v>192</v>
      </c>
      <c r="BS937" s="15" t="s">
        <v>193</v>
      </c>
      <c r="BT937" s="15" t="s">
        <v>194</v>
      </c>
      <c r="BU937" s="15" t="s">
        <v>195</v>
      </c>
      <c r="BV937" s="15" t="s">
        <v>196</v>
      </c>
      <c r="BW937" s="15" t="s">
        <v>251</v>
      </c>
      <c r="CA937" s="15" t="s">
        <v>2357</v>
      </c>
      <c r="CB937" s="15" t="s">
        <v>78</v>
      </c>
      <c r="CC937" s="15">
        <v>1</v>
      </c>
      <c r="CN937" s="15" t="s">
        <v>198</v>
      </c>
      <c r="CW937" s="10">
        <v>2</v>
      </c>
      <c r="CX937" s="15" t="s">
        <v>2874</v>
      </c>
    </row>
    <row r="938" spans="1:102" s="15" customFormat="1" x14ac:dyDescent="0.3">
      <c r="A938" s="11" t="s">
        <v>2349</v>
      </c>
      <c r="B938" s="10" t="s">
        <v>565</v>
      </c>
      <c r="C938" s="12" t="s">
        <v>3797</v>
      </c>
      <c r="D938" s="10">
        <v>12</v>
      </c>
      <c r="E938" s="13">
        <v>100000</v>
      </c>
      <c r="F938" s="14" t="s">
        <v>243</v>
      </c>
      <c r="G938" s="14" t="s">
        <v>244</v>
      </c>
      <c r="H938" s="15" t="s">
        <v>254</v>
      </c>
      <c r="I938" s="8"/>
      <c r="J938" s="10"/>
      <c r="AV938" s="15" t="s">
        <v>181</v>
      </c>
      <c r="AW938" s="15" t="s">
        <v>182</v>
      </c>
      <c r="AX938" s="15" t="s">
        <v>2875</v>
      </c>
      <c r="BH938" s="15" t="s">
        <v>184</v>
      </c>
      <c r="BI938" s="15" t="s">
        <v>185</v>
      </c>
      <c r="BJ938" s="15" t="s">
        <v>2351</v>
      </c>
      <c r="BK938" s="15" t="s">
        <v>2352</v>
      </c>
      <c r="BL938" s="15" t="s">
        <v>2353</v>
      </c>
      <c r="BM938" s="15" t="s">
        <v>2354</v>
      </c>
      <c r="BN938" s="15" t="s">
        <v>2355</v>
      </c>
      <c r="BO938" s="15" t="s">
        <v>2356</v>
      </c>
      <c r="BR938" s="15" t="s">
        <v>192</v>
      </c>
      <c r="BS938" s="15" t="s">
        <v>193</v>
      </c>
      <c r="BT938" s="15" t="s">
        <v>194</v>
      </c>
      <c r="BU938" s="15" t="s">
        <v>195</v>
      </c>
      <c r="BV938" s="15" t="s">
        <v>196</v>
      </c>
      <c r="BW938" s="15" t="s">
        <v>251</v>
      </c>
      <c r="CA938" s="15" t="s">
        <v>2357</v>
      </c>
      <c r="CB938" s="15" t="s">
        <v>78</v>
      </c>
      <c r="CC938" s="15">
        <v>1</v>
      </c>
      <c r="CN938" s="15" t="s">
        <v>198</v>
      </c>
      <c r="CW938" s="10">
        <v>2</v>
      </c>
      <c r="CX938" s="15" t="s">
        <v>2876</v>
      </c>
    </row>
    <row r="939" spans="1:102" s="15" customFormat="1" x14ac:dyDescent="0.3">
      <c r="A939" s="11" t="s">
        <v>2349</v>
      </c>
      <c r="B939" s="10" t="s">
        <v>943</v>
      </c>
      <c r="C939" s="12" t="s">
        <v>3879</v>
      </c>
      <c r="D939" s="10">
        <v>12</v>
      </c>
      <c r="E939" s="13">
        <v>100000</v>
      </c>
      <c r="F939" s="14" t="s">
        <v>243</v>
      </c>
      <c r="G939" s="14" t="s">
        <v>244</v>
      </c>
      <c r="H939" s="15" t="s">
        <v>254</v>
      </c>
      <c r="I939" s="8"/>
      <c r="J939" s="10"/>
      <c r="AV939" s="15" t="s">
        <v>181</v>
      </c>
      <c r="AW939" s="15" t="s">
        <v>182</v>
      </c>
      <c r="AX939" s="15" t="s">
        <v>2877</v>
      </c>
      <c r="BH939" s="15" t="s">
        <v>184</v>
      </c>
      <c r="BI939" s="15" t="s">
        <v>185</v>
      </c>
      <c r="BJ939" s="15" t="s">
        <v>2351</v>
      </c>
      <c r="BK939" s="15" t="s">
        <v>2352</v>
      </c>
      <c r="BL939" s="15" t="s">
        <v>2353</v>
      </c>
      <c r="BM939" s="15" t="s">
        <v>2354</v>
      </c>
      <c r="BN939" s="15" t="s">
        <v>2355</v>
      </c>
      <c r="BO939" s="15" t="s">
        <v>2356</v>
      </c>
      <c r="BR939" s="15" t="s">
        <v>192</v>
      </c>
      <c r="BS939" s="15" t="s">
        <v>193</v>
      </c>
      <c r="BT939" s="15" t="s">
        <v>194</v>
      </c>
      <c r="BU939" s="15" t="s">
        <v>195</v>
      </c>
      <c r="BV939" s="15" t="s">
        <v>196</v>
      </c>
      <c r="BW939" s="15" t="s">
        <v>456</v>
      </c>
      <c r="CA939" s="15" t="s">
        <v>2357</v>
      </c>
      <c r="CB939" s="15" t="s">
        <v>78</v>
      </c>
      <c r="CC939" s="15">
        <v>1</v>
      </c>
      <c r="CN939" s="15" t="s">
        <v>198</v>
      </c>
      <c r="CW939" s="10">
        <v>2</v>
      </c>
      <c r="CX939" s="15" t="s">
        <v>2878</v>
      </c>
    </row>
    <row r="940" spans="1:102" s="15" customFormat="1" x14ac:dyDescent="0.3">
      <c r="A940" s="11" t="s">
        <v>2349</v>
      </c>
      <c r="B940" s="10" t="s">
        <v>589</v>
      </c>
      <c r="C940" s="12" t="s">
        <v>3801</v>
      </c>
      <c r="D940" s="10">
        <v>12</v>
      </c>
      <c r="E940" s="13">
        <v>10000000</v>
      </c>
      <c r="F940" s="14" t="s">
        <v>209</v>
      </c>
      <c r="G940" s="14" t="s">
        <v>210</v>
      </c>
      <c r="H940" s="15" t="s">
        <v>254</v>
      </c>
      <c r="I940" s="8"/>
      <c r="J940" s="10"/>
      <c r="AV940" s="15" t="s">
        <v>212</v>
      </c>
      <c r="AW940" s="15" t="s">
        <v>213</v>
      </c>
      <c r="AX940" s="15" t="s">
        <v>2879</v>
      </c>
      <c r="BH940" s="15" t="s">
        <v>184</v>
      </c>
      <c r="BI940" s="15" t="s">
        <v>185</v>
      </c>
      <c r="BJ940" s="15" t="s">
        <v>2351</v>
      </c>
      <c r="BK940" s="15" t="s">
        <v>2352</v>
      </c>
      <c r="BL940" s="15" t="s">
        <v>2353</v>
      </c>
      <c r="BM940" s="15" t="s">
        <v>2354</v>
      </c>
      <c r="BN940" s="15" t="s">
        <v>2355</v>
      </c>
      <c r="BO940" s="15" t="s">
        <v>2356</v>
      </c>
      <c r="BR940" s="15" t="s">
        <v>192</v>
      </c>
      <c r="BS940" s="15" t="s">
        <v>193</v>
      </c>
      <c r="BT940" s="15" t="s">
        <v>194</v>
      </c>
      <c r="BU940" s="15" t="s">
        <v>195</v>
      </c>
      <c r="BV940" s="15" t="s">
        <v>196</v>
      </c>
      <c r="BW940" s="15" t="s">
        <v>456</v>
      </c>
      <c r="CA940" s="15" t="s">
        <v>2357</v>
      </c>
      <c r="CB940" s="15" t="s">
        <v>78</v>
      </c>
      <c r="CC940" s="15">
        <v>1</v>
      </c>
      <c r="CN940" s="15" t="s">
        <v>198</v>
      </c>
      <c r="CW940" s="10">
        <v>2</v>
      </c>
      <c r="CX940" s="15" t="s">
        <v>2880</v>
      </c>
    </row>
    <row r="941" spans="1:102" s="15" customFormat="1" x14ac:dyDescent="0.3">
      <c r="A941" s="11" t="s">
        <v>2349</v>
      </c>
      <c r="B941" s="10" t="s">
        <v>583</v>
      </c>
      <c r="C941" s="12" t="s">
        <v>3800</v>
      </c>
      <c r="D941" s="10">
        <v>12</v>
      </c>
      <c r="E941" s="13">
        <v>10000000</v>
      </c>
      <c r="F941" s="14" t="s">
        <v>209</v>
      </c>
      <c r="G941" s="14" t="s">
        <v>210</v>
      </c>
      <c r="H941" s="15" t="s">
        <v>254</v>
      </c>
      <c r="I941" s="8"/>
      <c r="J941" s="10"/>
      <c r="AV941" s="15" t="s">
        <v>212</v>
      </c>
      <c r="AW941" s="15" t="s">
        <v>213</v>
      </c>
      <c r="AX941" s="15" t="s">
        <v>2881</v>
      </c>
      <c r="BH941" s="15" t="s">
        <v>184</v>
      </c>
      <c r="BI941" s="15" t="s">
        <v>185</v>
      </c>
      <c r="BJ941" s="15" t="s">
        <v>2351</v>
      </c>
      <c r="BK941" s="15" t="s">
        <v>2352</v>
      </c>
      <c r="BL941" s="15" t="s">
        <v>2353</v>
      </c>
      <c r="BM941" s="15" t="s">
        <v>2354</v>
      </c>
      <c r="BN941" s="15" t="s">
        <v>2355</v>
      </c>
      <c r="BO941" s="15" t="s">
        <v>2356</v>
      </c>
      <c r="BR941" s="15" t="s">
        <v>192</v>
      </c>
      <c r="BS941" s="15" t="s">
        <v>193</v>
      </c>
      <c r="BT941" s="15" t="s">
        <v>194</v>
      </c>
      <c r="BU941" s="15" t="s">
        <v>195</v>
      </c>
      <c r="BV941" s="15" t="s">
        <v>196</v>
      </c>
      <c r="BW941" s="15" t="s">
        <v>456</v>
      </c>
      <c r="CA941" s="15" t="s">
        <v>2357</v>
      </c>
      <c r="CB941" s="15" t="s">
        <v>78</v>
      </c>
      <c r="CC941" s="15">
        <v>1</v>
      </c>
      <c r="CN941" s="15" t="s">
        <v>198</v>
      </c>
      <c r="CW941" s="10">
        <v>2</v>
      </c>
      <c r="CX941" s="15" t="s">
        <v>2882</v>
      </c>
    </row>
    <row r="942" spans="1:102" s="15" customFormat="1" x14ac:dyDescent="0.3">
      <c r="A942" s="11" t="s">
        <v>2349</v>
      </c>
      <c r="B942" s="10" t="s">
        <v>1011</v>
      </c>
      <c r="C942" s="12" t="s">
        <v>3893</v>
      </c>
      <c r="D942" s="10">
        <v>12</v>
      </c>
      <c r="E942" s="13">
        <v>1000000</v>
      </c>
      <c r="F942" s="14" t="s">
        <v>243</v>
      </c>
      <c r="G942" s="14" t="s">
        <v>244</v>
      </c>
      <c r="H942" s="15" t="s">
        <v>254</v>
      </c>
      <c r="I942" s="8"/>
      <c r="J942" s="10"/>
      <c r="AV942" s="15" t="s">
        <v>181</v>
      </c>
      <c r="AW942" s="15" t="s">
        <v>182</v>
      </c>
      <c r="AX942" s="15" t="s">
        <v>2883</v>
      </c>
      <c r="BH942" s="15" t="s">
        <v>184</v>
      </c>
      <c r="BI942" s="15" t="s">
        <v>185</v>
      </c>
      <c r="BJ942" s="15" t="s">
        <v>2351</v>
      </c>
      <c r="BK942" s="15" t="s">
        <v>2352</v>
      </c>
      <c r="BL942" s="15" t="s">
        <v>2353</v>
      </c>
      <c r="BM942" s="15" t="s">
        <v>2354</v>
      </c>
      <c r="BN942" s="15" t="s">
        <v>2355</v>
      </c>
      <c r="BO942" s="15" t="s">
        <v>2356</v>
      </c>
      <c r="BR942" s="15" t="s">
        <v>192</v>
      </c>
      <c r="BS942" s="15" t="s">
        <v>193</v>
      </c>
      <c r="BT942" s="15" t="s">
        <v>194</v>
      </c>
      <c r="BU942" s="15" t="s">
        <v>195</v>
      </c>
      <c r="BV942" s="15" t="s">
        <v>196</v>
      </c>
      <c r="BW942" s="15" t="s">
        <v>456</v>
      </c>
      <c r="CA942" s="15" t="s">
        <v>2357</v>
      </c>
      <c r="CB942" s="15" t="s">
        <v>78</v>
      </c>
      <c r="CC942" s="15">
        <v>1</v>
      </c>
      <c r="CN942" s="15" t="s">
        <v>198</v>
      </c>
      <c r="CW942" s="10">
        <v>2</v>
      </c>
      <c r="CX942" s="15" t="s">
        <v>2884</v>
      </c>
    </row>
    <row r="943" spans="1:102" s="15" customFormat="1" x14ac:dyDescent="0.3">
      <c r="A943" s="11" t="s">
        <v>2349</v>
      </c>
      <c r="B943" s="10" t="s">
        <v>586</v>
      </c>
      <c r="C943" s="12" t="s">
        <v>3692</v>
      </c>
      <c r="D943" s="10">
        <v>12</v>
      </c>
      <c r="E943" s="13">
        <v>10000</v>
      </c>
      <c r="F943" s="14" t="s">
        <v>243</v>
      </c>
      <c r="G943" s="14" t="s">
        <v>244</v>
      </c>
      <c r="H943" s="15" t="s">
        <v>254</v>
      </c>
      <c r="I943" s="8"/>
      <c r="J943" s="10"/>
      <c r="AV943" s="15" t="s">
        <v>181</v>
      </c>
      <c r="AW943" s="15" t="s">
        <v>182</v>
      </c>
      <c r="AX943" s="15" t="s">
        <v>2885</v>
      </c>
      <c r="BH943" s="15" t="s">
        <v>184</v>
      </c>
      <c r="BI943" s="15" t="s">
        <v>185</v>
      </c>
      <c r="BJ943" s="15" t="s">
        <v>2351</v>
      </c>
      <c r="BK943" s="15" t="s">
        <v>2352</v>
      </c>
      <c r="BL943" s="15" t="s">
        <v>2353</v>
      </c>
      <c r="BM943" s="15" t="s">
        <v>2354</v>
      </c>
      <c r="BN943" s="15" t="s">
        <v>2355</v>
      </c>
      <c r="BO943" s="15" t="s">
        <v>2356</v>
      </c>
      <c r="BR943" s="15" t="s">
        <v>192</v>
      </c>
      <c r="BS943" s="15" t="s">
        <v>193</v>
      </c>
      <c r="BT943" s="15" t="s">
        <v>194</v>
      </c>
      <c r="BU943" s="15" t="s">
        <v>195</v>
      </c>
      <c r="BV943" s="15" t="s">
        <v>196</v>
      </c>
      <c r="BW943" s="15" t="s">
        <v>456</v>
      </c>
      <c r="CA943" s="15" t="s">
        <v>2357</v>
      </c>
      <c r="CB943" s="15" t="s">
        <v>78</v>
      </c>
      <c r="CC943" s="15">
        <v>1</v>
      </c>
      <c r="CN943" s="15" t="s">
        <v>198</v>
      </c>
      <c r="CW943" s="10">
        <v>2</v>
      </c>
      <c r="CX943" s="15" t="s">
        <v>2886</v>
      </c>
    </row>
    <row r="944" spans="1:102" s="15" customFormat="1" x14ac:dyDescent="0.3">
      <c r="A944" s="11" t="s">
        <v>2349</v>
      </c>
      <c r="B944" s="10" t="s">
        <v>454</v>
      </c>
      <c r="C944" s="12" t="s">
        <v>3690</v>
      </c>
      <c r="D944" s="10">
        <v>12</v>
      </c>
      <c r="E944" s="13">
        <v>10000</v>
      </c>
      <c r="F944" s="14" t="s">
        <v>243</v>
      </c>
      <c r="G944" s="14" t="s">
        <v>244</v>
      </c>
      <c r="H944" s="15" t="s">
        <v>402</v>
      </c>
      <c r="I944" s="8"/>
      <c r="J944" s="10"/>
      <c r="AV944" s="15" t="s">
        <v>181</v>
      </c>
      <c r="AW944" s="15" t="s">
        <v>182</v>
      </c>
      <c r="AX944" s="15" t="s">
        <v>2887</v>
      </c>
      <c r="BH944" s="15" t="s">
        <v>184</v>
      </c>
      <c r="BI944" s="15" t="s">
        <v>185</v>
      </c>
      <c r="BJ944" s="15" t="s">
        <v>2351</v>
      </c>
      <c r="BK944" s="15" t="s">
        <v>2352</v>
      </c>
      <c r="BL944" s="15" t="s">
        <v>2353</v>
      </c>
      <c r="BM944" s="15" t="s">
        <v>2354</v>
      </c>
      <c r="BN944" s="15" t="s">
        <v>2355</v>
      </c>
      <c r="BO944" s="15" t="s">
        <v>2356</v>
      </c>
      <c r="BR944" s="15" t="s">
        <v>192</v>
      </c>
      <c r="BS944" s="15" t="s">
        <v>193</v>
      </c>
      <c r="BT944" s="15" t="s">
        <v>194</v>
      </c>
      <c r="BU944" s="15" t="s">
        <v>195</v>
      </c>
      <c r="BV944" s="15" t="s">
        <v>196</v>
      </c>
      <c r="BW944" s="15" t="s">
        <v>456</v>
      </c>
      <c r="CA944" s="15" t="s">
        <v>2357</v>
      </c>
      <c r="CB944" s="15" t="s">
        <v>78</v>
      </c>
      <c r="CC944" s="15">
        <v>1</v>
      </c>
      <c r="CN944" s="15" t="s">
        <v>198</v>
      </c>
      <c r="CW944" s="10">
        <v>2</v>
      </c>
      <c r="CX944" s="15" t="s">
        <v>2888</v>
      </c>
    </row>
    <row r="945" spans="1:102" s="15" customFormat="1" x14ac:dyDescent="0.3">
      <c r="A945" s="11" t="s">
        <v>2349</v>
      </c>
      <c r="B945" s="10" t="s">
        <v>968</v>
      </c>
      <c r="C945" s="12" t="s">
        <v>3882</v>
      </c>
      <c r="D945" s="10">
        <v>12</v>
      </c>
      <c r="E945" s="13">
        <v>100000</v>
      </c>
      <c r="F945" s="14" t="s">
        <v>243</v>
      </c>
      <c r="G945" s="14" t="s">
        <v>244</v>
      </c>
      <c r="H945" s="15" t="s">
        <v>254</v>
      </c>
      <c r="I945" s="8"/>
      <c r="J945" s="10"/>
      <c r="AV945" s="15" t="s">
        <v>181</v>
      </c>
      <c r="AW945" s="15" t="s">
        <v>182</v>
      </c>
      <c r="AX945" s="15" t="s">
        <v>969</v>
      </c>
      <c r="BH945" s="15" t="s">
        <v>184</v>
      </c>
      <c r="BI945" s="15" t="s">
        <v>185</v>
      </c>
      <c r="BJ945" s="15" t="s">
        <v>2351</v>
      </c>
      <c r="BK945" s="15" t="s">
        <v>2352</v>
      </c>
      <c r="BL945" s="15" t="s">
        <v>2353</v>
      </c>
      <c r="BM945" s="15" t="s">
        <v>2354</v>
      </c>
      <c r="BN945" s="15" t="s">
        <v>2355</v>
      </c>
      <c r="BO945" s="15" t="s">
        <v>2356</v>
      </c>
      <c r="BR945" s="15" t="s">
        <v>192</v>
      </c>
      <c r="BS945" s="15" t="s">
        <v>193</v>
      </c>
      <c r="BT945" s="15" t="s">
        <v>194</v>
      </c>
      <c r="BU945" s="15" t="s">
        <v>195</v>
      </c>
      <c r="BV945" s="15" t="s">
        <v>196</v>
      </c>
      <c r="BW945" s="15" t="s">
        <v>456</v>
      </c>
      <c r="CA945" s="15" t="s">
        <v>2357</v>
      </c>
      <c r="CB945" s="15" t="s">
        <v>78</v>
      </c>
      <c r="CC945" s="15">
        <v>1</v>
      </c>
      <c r="CN945" s="15" t="s">
        <v>198</v>
      </c>
      <c r="CW945" s="10">
        <v>2</v>
      </c>
      <c r="CX945" s="15" t="s">
        <v>2889</v>
      </c>
    </row>
    <row r="946" spans="1:102" s="15" customFormat="1" x14ac:dyDescent="0.3">
      <c r="A946" s="11" t="s">
        <v>2349</v>
      </c>
      <c r="B946" s="10" t="s">
        <v>1014</v>
      </c>
      <c r="C946" s="12" t="s">
        <v>3960</v>
      </c>
      <c r="D946" s="10">
        <v>12</v>
      </c>
      <c r="E946" s="13">
        <v>100000</v>
      </c>
      <c r="F946" s="14" t="s">
        <v>1015</v>
      </c>
      <c r="G946" s="14" t="s">
        <v>1015</v>
      </c>
      <c r="H946" s="15" t="s">
        <v>1016</v>
      </c>
      <c r="I946" s="8"/>
      <c r="J946" s="10"/>
      <c r="AV946" s="15" t="s">
        <v>1017</v>
      </c>
      <c r="AW946" s="15" t="s">
        <v>1018</v>
      </c>
      <c r="BH946" s="15" t="s">
        <v>184</v>
      </c>
      <c r="BI946" s="15" t="s">
        <v>185</v>
      </c>
      <c r="BJ946" s="15" t="s">
        <v>2351</v>
      </c>
      <c r="BK946" s="15" t="s">
        <v>2352</v>
      </c>
      <c r="BL946" s="15" t="s">
        <v>2353</v>
      </c>
      <c r="BM946" s="15" t="s">
        <v>2354</v>
      </c>
      <c r="BN946" s="15" t="s">
        <v>2355</v>
      </c>
      <c r="BO946" s="15" t="s">
        <v>2356</v>
      </c>
      <c r="BR946" s="15" t="s">
        <v>192</v>
      </c>
      <c r="BS946" s="15" t="s">
        <v>193</v>
      </c>
      <c r="BT946" s="15" t="s">
        <v>194</v>
      </c>
      <c r="BU946" s="15" t="s">
        <v>195</v>
      </c>
      <c r="BV946" s="15" t="s">
        <v>196</v>
      </c>
      <c r="CA946" s="15" t="s">
        <v>2357</v>
      </c>
      <c r="CB946" s="15" t="s">
        <v>78</v>
      </c>
      <c r="CC946" s="15">
        <v>1</v>
      </c>
      <c r="CN946" s="15" t="s">
        <v>198</v>
      </c>
      <c r="CW946" s="10">
        <v>2</v>
      </c>
      <c r="CX946" s="15" t="s">
        <v>2890</v>
      </c>
    </row>
    <row r="947" spans="1:102" s="15" customFormat="1" x14ac:dyDescent="0.3">
      <c r="A947" s="11" t="s">
        <v>2349</v>
      </c>
      <c r="B947" s="10" t="s">
        <v>1020</v>
      </c>
      <c r="C947" s="12" t="s">
        <v>3895</v>
      </c>
      <c r="D947" s="10">
        <v>104</v>
      </c>
      <c r="E947" s="13">
        <v>10000</v>
      </c>
      <c r="F947" s="14" t="s">
        <v>1015</v>
      </c>
      <c r="G947" s="14" t="s">
        <v>244</v>
      </c>
      <c r="I947" s="8"/>
      <c r="J947" s="10"/>
      <c r="AB947" s="15">
        <v>1</v>
      </c>
      <c r="AV947" s="15" t="s">
        <v>1017</v>
      </c>
      <c r="AW947" s="15" t="s">
        <v>1018</v>
      </c>
      <c r="BH947" s="15" t="s">
        <v>184</v>
      </c>
      <c r="BI947" s="15" t="s">
        <v>185</v>
      </c>
      <c r="BJ947" s="15" t="s">
        <v>2526</v>
      </c>
      <c r="BK947" s="15" t="s">
        <v>2550</v>
      </c>
      <c r="BL947" s="15" t="s">
        <v>2353</v>
      </c>
      <c r="BM947" s="15" t="s">
        <v>2354</v>
      </c>
      <c r="BN947" s="15" t="s">
        <v>2355</v>
      </c>
      <c r="BO947" s="15" t="s">
        <v>2356</v>
      </c>
      <c r="BR947" s="15" t="s">
        <v>192</v>
      </c>
      <c r="BS947" s="15" t="s">
        <v>193</v>
      </c>
      <c r="BT947" s="15" t="s">
        <v>194</v>
      </c>
      <c r="BU947" s="15" t="s">
        <v>195</v>
      </c>
      <c r="BV947" s="15" t="s">
        <v>196</v>
      </c>
      <c r="CA947" s="15" t="s">
        <v>2357</v>
      </c>
      <c r="CB947" s="15" t="s">
        <v>78</v>
      </c>
      <c r="CC947" s="15">
        <v>1</v>
      </c>
      <c r="CN947" s="15" t="s">
        <v>198</v>
      </c>
      <c r="CW947" s="10">
        <v>2</v>
      </c>
      <c r="CX947" s="15" t="s">
        <v>2891</v>
      </c>
    </row>
    <row r="948" spans="1:102" s="15" customFormat="1" x14ac:dyDescent="0.3">
      <c r="A948" s="11" t="s">
        <v>2349</v>
      </c>
      <c r="B948" s="10" t="s">
        <v>1025</v>
      </c>
      <c r="C948" s="12" t="s">
        <v>3897</v>
      </c>
      <c r="D948" s="10">
        <v>104</v>
      </c>
      <c r="E948" s="13">
        <v>10000</v>
      </c>
      <c r="F948" s="14" t="s">
        <v>1015</v>
      </c>
      <c r="G948" s="14" t="s">
        <v>244</v>
      </c>
      <c r="I948" s="8"/>
      <c r="J948" s="10"/>
      <c r="AV948" s="15" t="s">
        <v>1017</v>
      </c>
      <c r="AW948" s="15" t="s">
        <v>1018</v>
      </c>
      <c r="BH948" s="15" t="s">
        <v>184</v>
      </c>
      <c r="BI948" s="15" t="s">
        <v>185</v>
      </c>
      <c r="BJ948" s="15" t="s">
        <v>2351</v>
      </c>
      <c r="BK948" s="15" t="s">
        <v>2352</v>
      </c>
      <c r="BL948" s="15" t="s">
        <v>2353</v>
      </c>
      <c r="BM948" s="15" t="s">
        <v>2354</v>
      </c>
      <c r="BN948" s="15" t="s">
        <v>2355</v>
      </c>
      <c r="BO948" s="15" t="s">
        <v>2356</v>
      </c>
      <c r="BR948" s="15" t="s">
        <v>192</v>
      </c>
      <c r="BS948" s="15" t="s">
        <v>193</v>
      </c>
      <c r="BT948" s="15" t="s">
        <v>194</v>
      </c>
      <c r="BU948" s="15" t="s">
        <v>195</v>
      </c>
      <c r="BV948" s="15" t="s">
        <v>196</v>
      </c>
      <c r="CA948" s="15" t="s">
        <v>2357</v>
      </c>
      <c r="CB948" s="15" t="s">
        <v>78</v>
      </c>
      <c r="CC948" s="15">
        <v>1</v>
      </c>
      <c r="CN948" s="15" t="s">
        <v>1026</v>
      </c>
      <c r="CW948" s="10">
        <v>2</v>
      </c>
      <c r="CX948" s="15" t="s">
        <v>2892</v>
      </c>
    </row>
    <row r="949" spans="1:102" s="15" customFormat="1" x14ac:dyDescent="0.3">
      <c r="A949" s="11" t="s">
        <v>2349</v>
      </c>
      <c r="B949" s="10" t="s">
        <v>1022</v>
      </c>
      <c r="C949" s="12" t="s">
        <v>3896</v>
      </c>
      <c r="D949" s="10">
        <v>104</v>
      </c>
      <c r="E949" s="13">
        <v>10000</v>
      </c>
      <c r="F949" s="14" t="s">
        <v>1015</v>
      </c>
      <c r="G949" s="14" t="s">
        <v>244</v>
      </c>
      <c r="I949" s="8"/>
      <c r="J949" s="10"/>
      <c r="AV949" s="15" t="s">
        <v>1017</v>
      </c>
      <c r="AW949" s="15" t="s">
        <v>1018</v>
      </c>
      <c r="BH949" s="15" t="s">
        <v>184</v>
      </c>
      <c r="BI949" s="15" t="s">
        <v>185</v>
      </c>
      <c r="BJ949" s="15" t="s">
        <v>2351</v>
      </c>
      <c r="BK949" s="15" t="s">
        <v>2352</v>
      </c>
      <c r="BL949" s="15" t="s">
        <v>2353</v>
      </c>
      <c r="BM949" s="15" t="s">
        <v>2354</v>
      </c>
      <c r="BN949" s="15" t="s">
        <v>2355</v>
      </c>
      <c r="BO949" s="15" t="s">
        <v>2356</v>
      </c>
      <c r="BR949" s="15" t="s">
        <v>192</v>
      </c>
      <c r="BS949" s="15" t="s">
        <v>193</v>
      </c>
      <c r="BT949" s="15" t="s">
        <v>194</v>
      </c>
      <c r="BU949" s="15" t="s">
        <v>195</v>
      </c>
      <c r="BV949" s="15" t="s">
        <v>196</v>
      </c>
      <c r="CA949" s="15" t="s">
        <v>2357</v>
      </c>
      <c r="CB949" s="15" t="s">
        <v>78</v>
      </c>
      <c r="CC949" s="15">
        <v>1</v>
      </c>
      <c r="CN949" s="15" t="s">
        <v>1023</v>
      </c>
      <c r="CW949" s="10">
        <v>2</v>
      </c>
      <c r="CX949" s="15" t="s">
        <v>2893</v>
      </c>
    </row>
    <row r="950" spans="1:102" s="15" customFormat="1" x14ac:dyDescent="0.3">
      <c r="A950" s="11" t="s">
        <v>2349</v>
      </c>
      <c r="B950" s="10" t="s">
        <v>808</v>
      </c>
      <c r="C950" s="12" t="s">
        <v>3846</v>
      </c>
      <c r="D950" s="10">
        <v>12</v>
      </c>
      <c r="E950" s="13">
        <v>10000</v>
      </c>
      <c r="F950" s="14" t="s">
        <v>243</v>
      </c>
      <c r="G950" s="14" t="s">
        <v>809</v>
      </c>
      <c r="H950" s="15" t="s">
        <v>810</v>
      </c>
      <c r="I950" s="8"/>
      <c r="J950" s="10"/>
      <c r="AV950" s="15" t="s">
        <v>811</v>
      </c>
      <c r="AW950" s="15" t="s">
        <v>812</v>
      </c>
      <c r="AX950" s="15" t="s">
        <v>2479</v>
      </c>
      <c r="AY950" s="15" t="s">
        <v>2480</v>
      </c>
      <c r="AZ950" s="15" t="s">
        <v>2481</v>
      </c>
      <c r="BA950" s="15" t="s">
        <v>2482</v>
      </c>
      <c r="BH950" s="15" t="s">
        <v>184</v>
      </c>
      <c r="BI950" s="15" t="s">
        <v>185</v>
      </c>
      <c r="BJ950" s="15" t="s">
        <v>2351</v>
      </c>
      <c r="BK950" s="15" t="s">
        <v>2352</v>
      </c>
      <c r="BL950" s="15" t="s">
        <v>2353</v>
      </c>
      <c r="BM950" s="15" t="s">
        <v>2354</v>
      </c>
      <c r="BN950" s="15" t="s">
        <v>2355</v>
      </c>
      <c r="BO950" s="15" t="s">
        <v>2356</v>
      </c>
      <c r="BR950" s="15" t="s">
        <v>192</v>
      </c>
      <c r="BS950" s="15" t="s">
        <v>193</v>
      </c>
      <c r="BT950" s="15" t="s">
        <v>194</v>
      </c>
      <c r="BU950" s="15" t="s">
        <v>195</v>
      </c>
      <c r="BV950" s="15" t="s">
        <v>196</v>
      </c>
      <c r="BW950" s="15" t="s">
        <v>323</v>
      </c>
      <c r="CA950" s="15" t="s">
        <v>2357</v>
      </c>
      <c r="CB950" s="15" t="s">
        <v>78</v>
      </c>
      <c r="CC950" s="15">
        <v>1</v>
      </c>
      <c r="CM950" s="15" t="s">
        <v>815</v>
      </c>
      <c r="CN950" s="15" t="s">
        <v>816</v>
      </c>
      <c r="CO950" s="15" t="s">
        <v>817</v>
      </c>
      <c r="CW950" s="10">
        <v>2</v>
      </c>
      <c r="CX950" s="15" t="s">
        <v>2894</v>
      </c>
    </row>
    <row r="951" spans="1:102" s="15" customFormat="1" x14ac:dyDescent="0.3">
      <c r="A951" s="11" t="s">
        <v>2349</v>
      </c>
      <c r="B951" s="10" t="s">
        <v>2895</v>
      </c>
      <c r="C951" s="12" t="s">
        <v>3610</v>
      </c>
      <c r="D951" s="10">
        <v>12</v>
      </c>
      <c r="E951" s="13">
        <v>100000</v>
      </c>
      <c r="F951" s="14" t="s">
        <v>2896</v>
      </c>
      <c r="G951" s="14" t="s">
        <v>2897</v>
      </c>
      <c r="H951" s="15" t="s">
        <v>2898</v>
      </c>
      <c r="I951" s="8"/>
      <c r="J951" s="10"/>
      <c r="AV951" s="15" t="s">
        <v>643</v>
      </c>
      <c r="AW951" s="15" t="s">
        <v>644</v>
      </c>
      <c r="AX951" s="15" t="s">
        <v>2699</v>
      </c>
      <c r="AY951" s="15" t="s">
        <v>2899</v>
      </c>
      <c r="AZ951" s="15" t="s">
        <v>2701</v>
      </c>
      <c r="BA951" s="15" t="s">
        <v>2900</v>
      </c>
      <c r="BH951" s="15" t="s">
        <v>184</v>
      </c>
      <c r="BI951" s="15" t="s">
        <v>185</v>
      </c>
      <c r="BJ951" s="15" t="s">
        <v>2351</v>
      </c>
      <c r="BK951" s="15" t="s">
        <v>2352</v>
      </c>
      <c r="BL951" s="15" t="s">
        <v>2353</v>
      </c>
      <c r="BM951" s="15" t="s">
        <v>2354</v>
      </c>
      <c r="BN951" s="15" t="s">
        <v>2355</v>
      </c>
      <c r="BO951" s="15" t="s">
        <v>2356</v>
      </c>
      <c r="BR951" s="15" t="s">
        <v>192</v>
      </c>
      <c r="BS951" s="15" t="s">
        <v>193</v>
      </c>
      <c r="BT951" s="15" t="s">
        <v>194</v>
      </c>
      <c r="BU951" s="15" t="s">
        <v>195</v>
      </c>
      <c r="BV951" s="15" t="s">
        <v>196</v>
      </c>
      <c r="BW951" s="15" t="s">
        <v>293</v>
      </c>
      <c r="CA951" s="15" t="s">
        <v>2357</v>
      </c>
      <c r="CB951" s="15" t="s">
        <v>78</v>
      </c>
      <c r="CC951" s="15">
        <v>1</v>
      </c>
      <c r="CN951" s="15" t="s">
        <v>198</v>
      </c>
      <c r="CW951" s="10">
        <v>2</v>
      </c>
      <c r="CX951" s="15" t="s">
        <v>2901</v>
      </c>
    </row>
    <row r="952" spans="1:102" s="15" customFormat="1" x14ac:dyDescent="0.3">
      <c r="A952" s="11" t="s">
        <v>2349</v>
      </c>
      <c r="B952" s="10" t="s">
        <v>2902</v>
      </c>
      <c r="C952" s="12" t="s">
        <v>3961</v>
      </c>
      <c r="D952" s="10">
        <v>12</v>
      </c>
      <c r="E952" s="13">
        <v>10000</v>
      </c>
      <c r="F952" s="14" t="s">
        <v>243</v>
      </c>
      <c r="G952" s="14" t="s">
        <v>244</v>
      </c>
      <c r="H952" s="15" t="s">
        <v>254</v>
      </c>
      <c r="I952" s="8"/>
      <c r="J952" s="10"/>
      <c r="AV952" s="15" t="s">
        <v>181</v>
      </c>
      <c r="AW952" s="15" t="s">
        <v>182</v>
      </c>
      <c r="AX952" s="15" t="s">
        <v>2903</v>
      </c>
      <c r="BH952" s="15" t="s">
        <v>184</v>
      </c>
      <c r="BI952" s="15" t="s">
        <v>185</v>
      </c>
      <c r="BJ952" s="15" t="s">
        <v>2351</v>
      </c>
      <c r="BK952" s="15" t="s">
        <v>2352</v>
      </c>
      <c r="BL952" s="15" t="s">
        <v>2353</v>
      </c>
      <c r="BM952" s="15" t="s">
        <v>2354</v>
      </c>
      <c r="BN952" s="15" t="s">
        <v>2355</v>
      </c>
      <c r="BO952" s="15" t="s">
        <v>2356</v>
      </c>
      <c r="BR952" s="15" t="s">
        <v>192</v>
      </c>
      <c r="BS952" s="15" t="s">
        <v>193</v>
      </c>
      <c r="BT952" s="15" t="s">
        <v>194</v>
      </c>
      <c r="BU952" s="15" t="s">
        <v>195</v>
      </c>
      <c r="BV952" s="15" t="s">
        <v>196</v>
      </c>
      <c r="BW952" s="15" t="s">
        <v>205</v>
      </c>
      <c r="CA952" s="15" t="s">
        <v>2357</v>
      </c>
      <c r="CB952" s="15" t="s">
        <v>78</v>
      </c>
      <c r="CC952" s="15">
        <v>1</v>
      </c>
      <c r="CN952" s="15" t="s">
        <v>198</v>
      </c>
      <c r="CW952" s="10">
        <v>2</v>
      </c>
      <c r="CX952" s="15" t="s">
        <v>2904</v>
      </c>
    </row>
    <row r="953" spans="1:102" s="15" customFormat="1" x14ac:dyDescent="0.3">
      <c r="A953" s="11" t="s">
        <v>2349</v>
      </c>
      <c r="B953" s="10" t="s">
        <v>2905</v>
      </c>
      <c r="C953" s="12" t="s">
        <v>3962</v>
      </c>
      <c r="D953" s="10">
        <v>12</v>
      </c>
      <c r="E953" s="13">
        <v>10000</v>
      </c>
      <c r="F953" s="14" t="s">
        <v>243</v>
      </c>
      <c r="G953" s="14" t="s">
        <v>244</v>
      </c>
      <c r="H953" s="15" t="s">
        <v>2906</v>
      </c>
      <c r="I953" s="8"/>
      <c r="J953" s="10"/>
      <c r="AV953" s="15" t="s">
        <v>181</v>
      </c>
      <c r="AW953" s="15" t="s">
        <v>182</v>
      </c>
      <c r="AX953" s="15" t="s">
        <v>2907</v>
      </c>
      <c r="AY953" s="15" t="s">
        <v>2908</v>
      </c>
      <c r="AZ953" s="15" t="s">
        <v>2909</v>
      </c>
      <c r="BA953" s="15" t="s">
        <v>2910</v>
      </c>
      <c r="BB953" s="15" t="s">
        <v>2911</v>
      </c>
      <c r="BH953" s="15" t="s">
        <v>184</v>
      </c>
      <c r="BI953" s="15" t="s">
        <v>185</v>
      </c>
      <c r="BJ953" s="15" t="s">
        <v>2351</v>
      </c>
      <c r="BK953" s="15" t="s">
        <v>2352</v>
      </c>
      <c r="BL953" s="15" t="s">
        <v>2353</v>
      </c>
      <c r="BM953" s="15" t="s">
        <v>2354</v>
      </c>
      <c r="BN953" s="15" t="s">
        <v>2355</v>
      </c>
      <c r="BO953" s="15" t="s">
        <v>2356</v>
      </c>
      <c r="BR953" s="15" t="s">
        <v>192</v>
      </c>
      <c r="BS953" s="15" t="s">
        <v>193</v>
      </c>
      <c r="BT953" s="15" t="s">
        <v>194</v>
      </c>
      <c r="BU953" s="15" t="s">
        <v>195</v>
      </c>
      <c r="BV953" s="15" t="s">
        <v>196</v>
      </c>
      <c r="BW953" s="15" t="s">
        <v>2912</v>
      </c>
      <c r="CA953" s="15" t="s">
        <v>2357</v>
      </c>
      <c r="CB953" s="15" t="s">
        <v>78</v>
      </c>
      <c r="CC953" s="15">
        <v>1</v>
      </c>
      <c r="CN953" s="15" t="s">
        <v>273</v>
      </c>
      <c r="CW953" s="10">
        <v>2</v>
      </c>
      <c r="CX953" s="15" t="s">
        <v>2913</v>
      </c>
    </row>
    <row r="954" spans="1:102" s="15" customFormat="1" x14ac:dyDescent="0.3">
      <c r="A954" s="11" t="s">
        <v>2349</v>
      </c>
      <c r="B954" s="10" t="s">
        <v>2914</v>
      </c>
      <c r="C954" s="12" t="s">
        <v>3963</v>
      </c>
      <c r="D954" s="10">
        <v>12</v>
      </c>
      <c r="E954" s="13">
        <v>10000</v>
      </c>
      <c r="F954" s="14" t="s">
        <v>243</v>
      </c>
      <c r="G954" s="14" t="s">
        <v>244</v>
      </c>
      <c r="H954" s="15" t="s">
        <v>2906</v>
      </c>
      <c r="I954" s="8"/>
      <c r="J954" s="10"/>
      <c r="AV954" s="15" t="s">
        <v>181</v>
      </c>
      <c r="AW954" s="15" t="s">
        <v>182</v>
      </c>
      <c r="AX954" s="15" t="s">
        <v>2915</v>
      </c>
      <c r="AY954" s="15" t="s">
        <v>2916</v>
      </c>
      <c r="AZ954" s="15" t="s">
        <v>2917</v>
      </c>
      <c r="BA954" s="15" t="s">
        <v>2918</v>
      </c>
      <c r="BB954" s="15" t="s">
        <v>2919</v>
      </c>
      <c r="BH954" s="15" t="s">
        <v>184</v>
      </c>
      <c r="BI954" s="15" t="s">
        <v>185</v>
      </c>
      <c r="BJ954" s="15" t="s">
        <v>2351</v>
      </c>
      <c r="BK954" s="15" t="s">
        <v>2352</v>
      </c>
      <c r="BL954" s="15" t="s">
        <v>2353</v>
      </c>
      <c r="BM954" s="15" t="s">
        <v>2354</v>
      </c>
      <c r="BN954" s="15" t="s">
        <v>2355</v>
      </c>
      <c r="BO954" s="15" t="s">
        <v>2356</v>
      </c>
      <c r="BR954" s="15" t="s">
        <v>192</v>
      </c>
      <c r="BS954" s="15" t="s">
        <v>193</v>
      </c>
      <c r="BT954" s="15" t="s">
        <v>194</v>
      </c>
      <c r="BU954" s="15" t="s">
        <v>195</v>
      </c>
      <c r="BV954" s="15" t="s">
        <v>196</v>
      </c>
      <c r="BW954" s="15" t="s">
        <v>2912</v>
      </c>
      <c r="CA954" s="15" t="s">
        <v>2357</v>
      </c>
      <c r="CB954" s="15" t="s">
        <v>78</v>
      </c>
      <c r="CC954" s="15">
        <v>1</v>
      </c>
      <c r="CN954" s="15" t="s">
        <v>273</v>
      </c>
      <c r="CW954" s="10">
        <v>2</v>
      </c>
      <c r="CX954" s="15" t="s">
        <v>2920</v>
      </c>
    </row>
    <row r="955" spans="1:102" s="15" customFormat="1" x14ac:dyDescent="0.3">
      <c r="A955" s="11" t="s">
        <v>2349</v>
      </c>
      <c r="B955" s="10" t="s">
        <v>2921</v>
      </c>
      <c r="C955" s="12" t="s">
        <v>2922</v>
      </c>
      <c r="D955" s="10">
        <v>12</v>
      </c>
      <c r="E955" s="13">
        <v>1000000</v>
      </c>
      <c r="F955" s="14" t="s">
        <v>210</v>
      </c>
      <c r="G955" s="14" t="s">
        <v>210</v>
      </c>
      <c r="H955" s="15" t="s">
        <v>211</v>
      </c>
      <c r="I955" s="8"/>
      <c r="J955" s="10"/>
      <c r="AX955" s="15" t="s">
        <v>2352</v>
      </c>
      <c r="BH955" s="15" t="s">
        <v>184</v>
      </c>
      <c r="BI955" s="15" t="s">
        <v>185</v>
      </c>
      <c r="BJ955" s="15" t="s">
        <v>2351</v>
      </c>
      <c r="BK955" s="15" t="s">
        <v>2352</v>
      </c>
      <c r="BL955" s="15" t="s">
        <v>2353</v>
      </c>
      <c r="BM955" s="15" t="s">
        <v>2354</v>
      </c>
      <c r="BN955" s="15" t="s">
        <v>2355</v>
      </c>
      <c r="BO955" s="15" t="s">
        <v>2356</v>
      </c>
      <c r="BR955" s="15" t="s">
        <v>192</v>
      </c>
      <c r="BS955" s="15" t="s">
        <v>193</v>
      </c>
      <c r="BT955" s="15" t="s">
        <v>194</v>
      </c>
      <c r="BU955" s="15" t="s">
        <v>195</v>
      </c>
      <c r="BV955" s="15" t="s">
        <v>196</v>
      </c>
      <c r="BW955" s="15" t="s">
        <v>195</v>
      </c>
      <c r="CC955" s="15">
        <v>1</v>
      </c>
      <c r="CN955" s="15" t="s">
        <v>225</v>
      </c>
      <c r="CW955" s="10">
        <v>2</v>
      </c>
      <c r="CX955" s="15" t="s">
        <v>2923</v>
      </c>
    </row>
    <row r="956" spans="1:102" s="15" customFormat="1" x14ac:dyDescent="0.3">
      <c r="A956" s="11" t="s">
        <v>2349</v>
      </c>
      <c r="B956" s="10" t="s">
        <v>2924</v>
      </c>
      <c r="C956" s="12" t="s">
        <v>2930</v>
      </c>
      <c r="D956" s="10">
        <v>12</v>
      </c>
      <c r="E956" s="13">
        <v>500000</v>
      </c>
      <c r="F956" s="14" t="s">
        <v>2925</v>
      </c>
      <c r="G956" s="14" t="s">
        <v>210</v>
      </c>
      <c r="H956" s="15" t="s">
        <v>2926</v>
      </c>
      <c r="I956" s="8"/>
      <c r="J956" s="10"/>
      <c r="AV956" s="15" t="s">
        <v>212</v>
      </c>
      <c r="AW956" s="15" t="s">
        <v>213</v>
      </c>
      <c r="AX956" s="15" t="s">
        <v>2927</v>
      </c>
      <c r="BH956" s="15" t="s">
        <v>184</v>
      </c>
      <c r="BI956" s="15" t="s">
        <v>185</v>
      </c>
      <c r="BJ956" s="15" t="s">
        <v>2351</v>
      </c>
      <c r="BK956" s="15" t="s">
        <v>2352</v>
      </c>
      <c r="BL956" s="15" t="s">
        <v>2353</v>
      </c>
      <c r="BM956" s="15" t="s">
        <v>2354</v>
      </c>
      <c r="BN956" s="15" t="s">
        <v>2355</v>
      </c>
      <c r="BO956" s="15" t="s">
        <v>2356</v>
      </c>
      <c r="BR956" s="15" t="s">
        <v>192</v>
      </c>
      <c r="BS956" s="15" t="s">
        <v>193</v>
      </c>
      <c r="BT956" s="15" t="s">
        <v>194</v>
      </c>
      <c r="BU956" s="15" t="s">
        <v>195</v>
      </c>
      <c r="BV956" s="15" t="s">
        <v>196</v>
      </c>
      <c r="BW956" s="15" t="s">
        <v>272</v>
      </c>
      <c r="CA956" s="15" t="s">
        <v>2357</v>
      </c>
      <c r="CB956" s="15" t="s">
        <v>78</v>
      </c>
      <c r="CC956" s="15">
        <v>1</v>
      </c>
      <c r="CN956" s="15" t="s">
        <v>273</v>
      </c>
      <c r="CW956" s="10">
        <v>2</v>
      </c>
      <c r="CX956" s="15" t="s">
        <v>2928</v>
      </c>
    </row>
    <row r="957" spans="1:102" s="15" customFormat="1" x14ac:dyDescent="0.3">
      <c r="A957" s="11" t="s">
        <v>2349</v>
      </c>
      <c r="B957" s="10" t="s">
        <v>2929</v>
      </c>
      <c r="C957" s="12" t="s">
        <v>2930</v>
      </c>
      <c r="D957" s="10">
        <v>12</v>
      </c>
      <c r="E957" s="13">
        <v>500000</v>
      </c>
      <c r="F957" s="14" t="s">
        <v>210</v>
      </c>
      <c r="G957" s="14" t="s">
        <v>210</v>
      </c>
      <c r="H957" s="15" t="s">
        <v>312</v>
      </c>
      <c r="I957" s="8"/>
      <c r="J957" s="10"/>
      <c r="AX957" s="15" t="s">
        <v>2927</v>
      </c>
      <c r="BH957" s="15" t="s">
        <v>184</v>
      </c>
      <c r="BI957" s="15" t="s">
        <v>185</v>
      </c>
      <c r="BJ957" s="15" t="s">
        <v>2351</v>
      </c>
      <c r="BK957" s="15" t="s">
        <v>2352</v>
      </c>
      <c r="BL957" s="15" t="s">
        <v>2353</v>
      </c>
      <c r="BM957" s="15" t="s">
        <v>2354</v>
      </c>
      <c r="BN957" s="15" t="s">
        <v>2355</v>
      </c>
      <c r="BO957" s="15" t="s">
        <v>2356</v>
      </c>
      <c r="BR957" s="15" t="s">
        <v>192</v>
      </c>
      <c r="BS957" s="15" t="s">
        <v>193</v>
      </c>
      <c r="BT957" s="15" t="s">
        <v>194</v>
      </c>
      <c r="BU957" s="15" t="s">
        <v>195</v>
      </c>
      <c r="BV957" s="15" t="s">
        <v>196</v>
      </c>
      <c r="BW957" s="15" t="s">
        <v>272</v>
      </c>
      <c r="CC957" s="15">
        <v>1</v>
      </c>
      <c r="CN957" s="15" t="s">
        <v>313</v>
      </c>
      <c r="CW957" s="10">
        <v>2</v>
      </c>
      <c r="CX957" s="15" t="s">
        <v>2931</v>
      </c>
    </row>
    <row r="958" spans="1:102" s="15" customFormat="1" x14ac:dyDescent="0.3">
      <c r="A958" s="11" t="s">
        <v>2349</v>
      </c>
      <c r="B958" s="10" t="s">
        <v>2932</v>
      </c>
      <c r="C958" s="12" t="s">
        <v>3716</v>
      </c>
      <c r="D958" s="10">
        <v>12</v>
      </c>
      <c r="E958" s="13">
        <v>10000</v>
      </c>
      <c r="F958" s="14" t="s">
        <v>243</v>
      </c>
      <c r="G958" s="14" t="s">
        <v>244</v>
      </c>
      <c r="H958" s="15" t="s">
        <v>2933</v>
      </c>
      <c r="I958" s="8"/>
      <c r="J958" s="10"/>
      <c r="AV958" s="15" t="s">
        <v>181</v>
      </c>
      <c r="AW958" s="15" t="s">
        <v>182</v>
      </c>
      <c r="AX958" s="15" t="s">
        <v>2934</v>
      </c>
      <c r="AY958" s="15" t="s">
        <v>2935</v>
      </c>
      <c r="BH958" s="15" t="s">
        <v>184</v>
      </c>
      <c r="BI958" s="15" t="s">
        <v>185</v>
      </c>
      <c r="BJ958" s="15" t="s">
        <v>2351</v>
      </c>
      <c r="BK958" s="15" t="s">
        <v>2352</v>
      </c>
      <c r="BL958" s="15" t="s">
        <v>2353</v>
      </c>
      <c r="BM958" s="15" t="s">
        <v>2354</v>
      </c>
      <c r="BN958" s="15" t="s">
        <v>2355</v>
      </c>
      <c r="BO958" s="15" t="s">
        <v>2356</v>
      </c>
      <c r="BR958" s="15" t="s">
        <v>192</v>
      </c>
      <c r="BS958" s="15" t="s">
        <v>193</v>
      </c>
      <c r="BT958" s="15" t="s">
        <v>194</v>
      </c>
      <c r="BU958" s="15" t="s">
        <v>195</v>
      </c>
      <c r="BV958" s="15" t="s">
        <v>196</v>
      </c>
      <c r="BW958" s="15" t="s">
        <v>2936</v>
      </c>
      <c r="CA958" s="15" t="s">
        <v>2357</v>
      </c>
      <c r="CB958" s="15" t="s">
        <v>78</v>
      </c>
      <c r="CC958" s="15">
        <v>1</v>
      </c>
      <c r="CN958" s="15" t="s">
        <v>198</v>
      </c>
      <c r="CW958" s="10">
        <v>2</v>
      </c>
      <c r="CX958" s="15" t="s">
        <v>2937</v>
      </c>
    </row>
    <row r="959" spans="1:102" s="15" customFormat="1" x14ac:dyDescent="0.3">
      <c r="A959" s="11" t="s">
        <v>2349</v>
      </c>
      <c r="B959" s="10" t="s">
        <v>2938</v>
      </c>
      <c r="C959" s="12" t="s">
        <v>3718</v>
      </c>
      <c r="D959" s="10">
        <v>12</v>
      </c>
      <c r="E959" s="13">
        <v>10000</v>
      </c>
      <c r="F959" s="14" t="s">
        <v>243</v>
      </c>
      <c r="G959" s="14" t="s">
        <v>244</v>
      </c>
      <c r="H959" s="15" t="s">
        <v>402</v>
      </c>
      <c r="I959" s="8"/>
      <c r="J959" s="10"/>
      <c r="AV959" s="15" t="s">
        <v>181</v>
      </c>
      <c r="AW959" s="15" t="s">
        <v>182</v>
      </c>
      <c r="AX959" s="15" t="s">
        <v>2939</v>
      </c>
      <c r="BH959" s="15" t="s">
        <v>184</v>
      </c>
      <c r="BI959" s="15" t="s">
        <v>185</v>
      </c>
      <c r="BJ959" s="15" t="s">
        <v>2351</v>
      </c>
      <c r="BK959" s="15" t="s">
        <v>2352</v>
      </c>
      <c r="BL959" s="15" t="s">
        <v>2353</v>
      </c>
      <c r="BM959" s="15" t="s">
        <v>2354</v>
      </c>
      <c r="BN959" s="15" t="s">
        <v>2355</v>
      </c>
      <c r="BO959" s="15" t="s">
        <v>2356</v>
      </c>
      <c r="BR959" s="15" t="s">
        <v>192</v>
      </c>
      <c r="BS959" s="15" t="s">
        <v>193</v>
      </c>
      <c r="BT959" s="15" t="s">
        <v>194</v>
      </c>
      <c r="BU959" s="15" t="s">
        <v>195</v>
      </c>
      <c r="BV959" s="15" t="s">
        <v>196</v>
      </c>
      <c r="BW959" s="15" t="s">
        <v>2936</v>
      </c>
      <c r="CA959" s="15" t="s">
        <v>2357</v>
      </c>
      <c r="CB959" s="15" t="s">
        <v>78</v>
      </c>
      <c r="CC959" s="15">
        <v>1</v>
      </c>
      <c r="CN959" s="15" t="s">
        <v>198</v>
      </c>
      <c r="CW959" s="10">
        <v>2</v>
      </c>
      <c r="CX959" s="15" t="s">
        <v>2940</v>
      </c>
    </row>
    <row r="960" spans="1:102" s="15" customFormat="1" x14ac:dyDescent="0.3">
      <c r="A960" s="11" t="s">
        <v>2349</v>
      </c>
      <c r="B960" s="10" t="s">
        <v>2941</v>
      </c>
      <c r="C960" s="12" t="s">
        <v>3720</v>
      </c>
      <c r="D960" s="10">
        <v>12</v>
      </c>
      <c r="E960" s="13">
        <v>10000</v>
      </c>
      <c r="F960" s="14" t="s">
        <v>243</v>
      </c>
      <c r="G960" s="14" t="s">
        <v>244</v>
      </c>
      <c r="H960" s="15" t="s">
        <v>254</v>
      </c>
      <c r="I960" s="8"/>
      <c r="J960" s="10"/>
      <c r="AV960" s="15" t="s">
        <v>181</v>
      </c>
      <c r="AW960" s="15" t="s">
        <v>182</v>
      </c>
      <c r="AX960" s="15" t="s">
        <v>2942</v>
      </c>
      <c r="BH960" s="15" t="s">
        <v>184</v>
      </c>
      <c r="BI960" s="15" t="s">
        <v>185</v>
      </c>
      <c r="BJ960" s="15" t="s">
        <v>2351</v>
      </c>
      <c r="BK960" s="15" t="s">
        <v>2352</v>
      </c>
      <c r="BL960" s="15" t="s">
        <v>2353</v>
      </c>
      <c r="BM960" s="15" t="s">
        <v>2354</v>
      </c>
      <c r="BN960" s="15" t="s">
        <v>2355</v>
      </c>
      <c r="BO960" s="15" t="s">
        <v>2356</v>
      </c>
      <c r="BR960" s="15" t="s">
        <v>192</v>
      </c>
      <c r="BS960" s="15" t="s">
        <v>193</v>
      </c>
      <c r="BT960" s="15" t="s">
        <v>194</v>
      </c>
      <c r="BU960" s="15" t="s">
        <v>195</v>
      </c>
      <c r="BV960" s="15" t="s">
        <v>196</v>
      </c>
      <c r="BW960" s="15" t="s">
        <v>2936</v>
      </c>
      <c r="CA960" s="15" t="s">
        <v>2357</v>
      </c>
      <c r="CB960" s="15" t="s">
        <v>78</v>
      </c>
      <c r="CC960" s="15">
        <v>1</v>
      </c>
      <c r="CN960" s="15" t="s">
        <v>198</v>
      </c>
      <c r="CW960" s="10">
        <v>2</v>
      </c>
      <c r="CX960" s="15" t="s">
        <v>2943</v>
      </c>
    </row>
    <row r="961" spans="1:102" s="15" customFormat="1" x14ac:dyDescent="0.3">
      <c r="A961" s="11" t="s">
        <v>2349</v>
      </c>
      <c r="B961" s="10"/>
      <c r="C961" s="12" t="s">
        <v>3964</v>
      </c>
      <c r="D961" s="10"/>
      <c r="E961" s="13">
        <v>1000000</v>
      </c>
      <c r="F961" s="14"/>
      <c r="G961" s="14"/>
      <c r="I961" s="8"/>
      <c r="J961" s="10"/>
      <c r="BH961" s="15" t="s">
        <v>184</v>
      </c>
      <c r="BI961" s="15" t="s">
        <v>185</v>
      </c>
      <c r="BJ961" s="15" t="s">
        <v>2351</v>
      </c>
      <c r="BK961" s="15" t="s">
        <v>2352</v>
      </c>
      <c r="BL961" s="15" t="s">
        <v>2353</v>
      </c>
      <c r="BM961" s="15" t="s">
        <v>2354</v>
      </c>
      <c r="BN961" s="15" t="s">
        <v>2355</v>
      </c>
      <c r="BO961" s="15" t="s">
        <v>2356</v>
      </c>
      <c r="CW961" s="10">
        <v>2</v>
      </c>
    </row>
    <row r="962" spans="1:102" s="15" customFormat="1" x14ac:dyDescent="0.3">
      <c r="A962" s="11" t="s">
        <v>2349</v>
      </c>
      <c r="B962" s="10" t="s">
        <v>2944</v>
      </c>
      <c r="C962" s="12" t="s">
        <v>3965</v>
      </c>
      <c r="D962" s="10">
        <v>12</v>
      </c>
      <c r="E962" s="13">
        <v>1000000</v>
      </c>
      <c r="F962" s="14" t="s">
        <v>243</v>
      </c>
      <c r="G962" s="14" t="s">
        <v>244</v>
      </c>
      <c r="H962" s="15" t="s">
        <v>2945</v>
      </c>
      <c r="I962" s="8"/>
      <c r="J962" s="10"/>
      <c r="AV962" s="15" t="s">
        <v>181</v>
      </c>
      <c r="AW962" s="15" t="s">
        <v>182</v>
      </c>
      <c r="AX962" s="15" t="s">
        <v>2946</v>
      </c>
      <c r="AY962" s="15" t="s">
        <v>2947</v>
      </c>
      <c r="AZ962" s="15" t="s">
        <v>2948</v>
      </c>
      <c r="BA962" s="15" t="s">
        <v>2949</v>
      </c>
      <c r="BB962" s="15" t="s">
        <v>2950</v>
      </c>
      <c r="BC962" s="15" t="s">
        <v>2951</v>
      </c>
      <c r="BD962" s="15" t="s">
        <v>2952</v>
      </c>
      <c r="BH962" s="15" t="s">
        <v>184</v>
      </c>
      <c r="BI962" s="15" t="s">
        <v>185</v>
      </c>
      <c r="BJ962" s="15" t="s">
        <v>2351</v>
      </c>
      <c r="BK962" s="15" t="s">
        <v>2352</v>
      </c>
      <c r="BL962" s="15" t="s">
        <v>2353</v>
      </c>
      <c r="BM962" s="15" t="s">
        <v>2354</v>
      </c>
      <c r="BN962" s="15" t="s">
        <v>2355</v>
      </c>
      <c r="BO962" s="15" t="s">
        <v>2356</v>
      </c>
      <c r="BR962" s="15" t="s">
        <v>192</v>
      </c>
      <c r="BS962" s="15" t="s">
        <v>193</v>
      </c>
      <c r="BT962" s="15" t="s">
        <v>194</v>
      </c>
      <c r="BU962" s="15" t="s">
        <v>195</v>
      </c>
      <c r="BV962" s="15" t="s">
        <v>196</v>
      </c>
      <c r="BW962" s="15" t="s">
        <v>2936</v>
      </c>
      <c r="CA962" s="15" t="s">
        <v>2357</v>
      </c>
      <c r="CB962" s="15" t="s">
        <v>78</v>
      </c>
      <c r="CC962" s="15">
        <v>1</v>
      </c>
      <c r="CN962" s="15" t="s">
        <v>198</v>
      </c>
      <c r="CW962" s="10">
        <v>2</v>
      </c>
      <c r="CX962" s="15" t="s">
        <v>2953</v>
      </c>
    </row>
    <row r="963" spans="1:102" s="15" customFormat="1" x14ac:dyDescent="0.3">
      <c r="A963" s="11" t="s">
        <v>2349</v>
      </c>
      <c r="B963" s="10" t="s">
        <v>2954</v>
      </c>
      <c r="C963" s="12" t="s">
        <v>3966</v>
      </c>
      <c r="D963" s="10">
        <v>12</v>
      </c>
      <c r="E963" s="13">
        <v>1000000</v>
      </c>
      <c r="F963" s="14" t="s">
        <v>243</v>
      </c>
      <c r="G963" s="14" t="s">
        <v>244</v>
      </c>
      <c r="H963" s="15" t="s">
        <v>2945</v>
      </c>
      <c r="I963" s="8"/>
      <c r="J963" s="10"/>
      <c r="AV963" s="15" t="s">
        <v>181</v>
      </c>
      <c r="AW963" s="15" t="s">
        <v>182</v>
      </c>
      <c r="AX963" s="15" t="s">
        <v>2955</v>
      </c>
      <c r="AY963" s="15" t="s">
        <v>2956</v>
      </c>
      <c r="AZ963" s="15" t="s">
        <v>2957</v>
      </c>
      <c r="BA963" s="15" t="s">
        <v>2958</v>
      </c>
      <c r="BB963" s="15" t="s">
        <v>2959</v>
      </c>
      <c r="BC963" s="15" t="s">
        <v>2960</v>
      </c>
      <c r="BD963" s="15" t="s">
        <v>2961</v>
      </c>
      <c r="BH963" s="15" t="s">
        <v>184</v>
      </c>
      <c r="BI963" s="15" t="s">
        <v>185</v>
      </c>
      <c r="BJ963" s="15" t="s">
        <v>2351</v>
      </c>
      <c r="BK963" s="15" t="s">
        <v>2352</v>
      </c>
      <c r="BL963" s="15" t="s">
        <v>2353</v>
      </c>
      <c r="BM963" s="15" t="s">
        <v>2354</v>
      </c>
      <c r="BN963" s="15" t="s">
        <v>2355</v>
      </c>
      <c r="BO963" s="15" t="s">
        <v>2356</v>
      </c>
      <c r="BR963" s="15" t="s">
        <v>192</v>
      </c>
      <c r="BS963" s="15" t="s">
        <v>193</v>
      </c>
      <c r="BT963" s="15" t="s">
        <v>194</v>
      </c>
      <c r="BU963" s="15" t="s">
        <v>195</v>
      </c>
      <c r="BV963" s="15" t="s">
        <v>196</v>
      </c>
      <c r="BW963" s="15" t="s">
        <v>2936</v>
      </c>
      <c r="CA963" s="15" t="s">
        <v>2357</v>
      </c>
      <c r="CB963" s="15" t="s">
        <v>78</v>
      </c>
      <c r="CC963" s="15">
        <v>1</v>
      </c>
      <c r="CN963" s="15" t="s">
        <v>198</v>
      </c>
      <c r="CW963" s="10">
        <v>2</v>
      </c>
      <c r="CX963" s="15" t="s">
        <v>2962</v>
      </c>
    </row>
    <row r="964" spans="1:102" s="15" customFormat="1" x14ac:dyDescent="0.3">
      <c r="A964" s="11" t="s">
        <v>2349</v>
      </c>
      <c r="B964" s="10" t="s">
        <v>2963</v>
      </c>
      <c r="C964" s="12" t="s">
        <v>3967</v>
      </c>
      <c r="D964" s="10">
        <v>12</v>
      </c>
      <c r="E964" s="13">
        <v>10000</v>
      </c>
      <c r="F964" s="14" t="s">
        <v>243</v>
      </c>
      <c r="G964" s="14" t="s">
        <v>244</v>
      </c>
      <c r="H964" s="15" t="s">
        <v>254</v>
      </c>
      <c r="I964" s="8"/>
      <c r="J964" s="10"/>
      <c r="AV964" s="15" t="s">
        <v>181</v>
      </c>
      <c r="AW964" s="15" t="s">
        <v>182</v>
      </c>
      <c r="AX964" s="15" t="s">
        <v>2964</v>
      </c>
      <c r="BH964" s="15" t="s">
        <v>184</v>
      </c>
      <c r="BI964" s="15" t="s">
        <v>185</v>
      </c>
      <c r="BJ964" s="15" t="s">
        <v>2351</v>
      </c>
      <c r="BK964" s="15" t="s">
        <v>2352</v>
      </c>
      <c r="BL964" s="15" t="s">
        <v>2353</v>
      </c>
      <c r="BM964" s="15" t="s">
        <v>2354</v>
      </c>
      <c r="BN964" s="15" t="s">
        <v>2355</v>
      </c>
      <c r="BO964" s="15" t="s">
        <v>2356</v>
      </c>
      <c r="BR964" s="15" t="s">
        <v>192</v>
      </c>
      <c r="BS964" s="15" t="s">
        <v>193</v>
      </c>
      <c r="BT964" s="15" t="s">
        <v>194</v>
      </c>
      <c r="BU964" s="15" t="s">
        <v>195</v>
      </c>
      <c r="BV964" s="15" t="s">
        <v>196</v>
      </c>
      <c r="BW964" s="15" t="s">
        <v>205</v>
      </c>
      <c r="CA964" s="15" t="s">
        <v>2357</v>
      </c>
      <c r="CB964" s="15" t="s">
        <v>78</v>
      </c>
      <c r="CC964" s="15">
        <v>1</v>
      </c>
      <c r="CN964" s="15" t="s">
        <v>198</v>
      </c>
      <c r="CW964" s="10">
        <v>2</v>
      </c>
      <c r="CX964" s="15" t="s">
        <v>2965</v>
      </c>
    </row>
    <row r="965" spans="1:102" s="15" customFormat="1" x14ac:dyDescent="0.3">
      <c r="A965" s="11" t="s">
        <v>2349</v>
      </c>
      <c r="B965" s="10" t="s">
        <v>2966</v>
      </c>
      <c r="C965" s="12" t="s">
        <v>3968</v>
      </c>
      <c r="D965" s="10">
        <v>12</v>
      </c>
      <c r="E965" s="13">
        <v>10000</v>
      </c>
      <c r="F965" s="14" t="s">
        <v>243</v>
      </c>
      <c r="G965" s="14" t="s">
        <v>244</v>
      </c>
      <c r="H965" s="15" t="s">
        <v>254</v>
      </c>
      <c r="I965" s="8"/>
      <c r="J965" s="10"/>
      <c r="AV965" s="15" t="s">
        <v>181</v>
      </c>
      <c r="AW965" s="15" t="s">
        <v>182</v>
      </c>
      <c r="AX965" s="15" t="s">
        <v>2967</v>
      </c>
      <c r="BH965" s="15" t="s">
        <v>184</v>
      </c>
      <c r="BI965" s="15" t="s">
        <v>185</v>
      </c>
      <c r="BJ965" s="15" t="s">
        <v>2351</v>
      </c>
      <c r="BK965" s="15" t="s">
        <v>2352</v>
      </c>
      <c r="BL965" s="15" t="s">
        <v>2353</v>
      </c>
      <c r="BM965" s="15" t="s">
        <v>2354</v>
      </c>
      <c r="BN965" s="15" t="s">
        <v>2355</v>
      </c>
      <c r="BO965" s="15" t="s">
        <v>2356</v>
      </c>
      <c r="BR965" s="15" t="s">
        <v>192</v>
      </c>
      <c r="BS965" s="15" t="s">
        <v>193</v>
      </c>
      <c r="BT965" s="15" t="s">
        <v>194</v>
      </c>
      <c r="BU965" s="15" t="s">
        <v>195</v>
      </c>
      <c r="BV965" s="15" t="s">
        <v>196</v>
      </c>
      <c r="BW965" s="15" t="s">
        <v>323</v>
      </c>
      <c r="CA965" s="15" t="s">
        <v>2357</v>
      </c>
      <c r="CB965" s="15" t="s">
        <v>78</v>
      </c>
      <c r="CC965" s="15">
        <v>1</v>
      </c>
      <c r="CN965" s="15" t="s">
        <v>198</v>
      </c>
      <c r="CW965" s="10">
        <v>2</v>
      </c>
      <c r="CX965" s="15" t="s">
        <v>2968</v>
      </c>
    </row>
    <row r="966" spans="1:102" s="15" customFormat="1" x14ac:dyDescent="0.3">
      <c r="A966" s="11" t="s">
        <v>2349</v>
      </c>
      <c r="B966" s="10" t="s">
        <v>2969</v>
      </c>
      <c r="C966" s="12" t="s">
        <v>3969</v>
      </c>
      <c r="D966" s="10">
        <v>12</v>
      </c>
      <c r="E966" s="13">
        <v>10000</v>
      </c>
      <c r="F966" s="14" t="s">
        <v>243</v>
      </c>
      <c r="G966" s="14" t="s">
        <v>244</v>
      </c>
      <c r="H966" s="15" t="s">
        <v>254</v>
      </c>
      <c r="I966" s="8"/>
      <c r="J966" s="10"/>
      <c r="AV966" s="15" t="s">
        <v>181</v>
      </c>
      <c r="AW966" s="15" t="s">
        <v>182</v>
      </c>
      <c r="AX966" s="15" t="s">
        <v>2970</v>
      </c>
      <c r="BH966" s="15" t="s">
        <v>184</v>
      </c>
      <c r="BI966" s="15" t="s">
        <v>185</v>
      </c>
      <c r="BJ966" s="15" t="s">
        <v>2351</v>
      </c>
      <c r="BK966" s="15" t="s">
        <v>2352</v>
      </c>
      <c r="BL966" s="15" t="s">
        <v>2353</v>
      </c>
      <c r="BM966" s="15" t="s">
        <v>2354</v>
      </c>
      <c r="BN966" s="15" t="s">
        <v>2355</v>
      </c>
      <c r="BO966" s="15" t="s">
        <v>2356</v>
      </c>
      <c r="BR966" s="15" t="s">
        <v>192</v>
      </c>
      <c r="BS966" s="15" t="s">
        <v>193</v>
      </c>
      <c r="BT966" s="15" t="s">
        <v>194</v>
      </c>
      <c r="BU966" s="15" t="s">
        <v>195</v>
      </c>
      <c r="BV966" s="15" t="s">
        <v>196</v>
      </c>
      <c r="BW966" s="15" t="s">
        <v>205</v>
      </c>
      <c r="CA966" s="15" t="s">
        <v>2357</v>
      </c>
      <c r="CB966" s="15" t="s">
        <v>78</v>
      </c>
      <c r="CC966" s="15">
        <v>1</v>
      </c>
      <c r="CN966" s="15" t="s">
        <v>198</v>
      </c>
      <c r="CW966" s="10">
        <v>2</v>
      </c>
      <c r="CX966" s="15" t="s">
        <v>2971</v>
      </c>
    </row>
    <row r="967" spans="1:102" s="15" customFormat="1" x14ac:dyDescent="0.3">
      <c r="A967" s="11" t="s">
        <v>2349</v>
      </c>
      <c r="B967" s="10" t="s">
        <v>2972</v>
      </c>
      <c r="C967" s="12" t="s">
        <v>3970</v>
      </c>
      <c r="D967" s="10">
        <v>12</v>
      </c>
      <c r="E967" s="13">
        <v>10000</v>
      </c>
      <c r="F967" s="14" t="s">
        <v>243</v>
      </c>
      <c r="G967" s="14" t="s">
        <v>244</v>
      </c>
      <c r="H967" s="15" t="s">
        <v>254</v>
      </c>
      <c r="I967" s="8"/>
      <c r="J967" s="10"/>
      <c r="AV967" s="15" t="s">
        <v>181</v>
      </c>
      <c r="AW967" s="15" t="s">
        <v>182</v>
      </c>
      <c r="AX967" s="15" t="s">
        <v>2973</v>
      </c>
      <c r="BH967" s="15" t="s">
        <v>184</v>
      </c>
      <c r="BI967" s="15" t="s">
        <v>185</v>
      </c>
      <c r="BJ967" s="15" t="s">
        <v>2351</v>
      </c>
      <c r="BK967" s="15" t="s">
        <v>2352</v>
      </c>
      <c r="BL967" s="15" t="s">
        <v>2353</v>
      </c>
      <c r="BM967" s="15" t="s">
        <v>2354</v>
      </c>
      <c r="BN967" s="15" t="s">
        <v>2355</v>
      </c>
      <c r="BO967" s="15" t="s">
        <v>2356</v>
      </c>
      <c r="BR967" s="15" t="s">
        <v>192</v>
      </c>
      <c r="BS967" s="15" t="s">
        <v>193</v>
      </c>
      <c r="BT967" s="15" t="s">
        <v>194</v>
      </c>
      <c r="BU967" s="15" t="s">
        <v>195</v>
      </c>
      <c r="BV967" s="15" t="s">
        <v>196</v>
      </c>
      <c r="BW967" s="15" t="s">
        <v>323</v>
      </c>
      <c r="CA967" s="15" t="s">
        <v>2357</v>
      </c>
      <c r="CB967" s="15" t="s">
        <v>78</v>
      </c>
      <c r="CC967" s="15">
        <v>1</v>
      </c>
      <c r="CN967" s="15" t="s">
        <v>198</v>
      </c>
      <c r="CW967" s="10">
        <v>2</v>
      </c>
      <c r="CX967" s="15" t="s">
        <v>2974</v>
      </c>
    </row>
    <row r="968" spans="1:102" s="15" customFormat="1" x14ac:dyDescent="0.3">
      <c r="A968" s="11" t="s">
        <v>2349</v>
      </c>
      <c r="B968" s="10" t="s">
        <v>2975</v>
      </c>
      <c r="C968" s="12" t="s">
        <v>3971</v>
      </c>
      <c r="D968" s="10">
        <v>12</v>
      </c>
      <c r="E968" s="13">
        <v>100000</v>
      </c>
      <c r="F968" s="14" t="s">
        <v>243</v>
      </c>
      <c r="G968" s="14" t="s">
        <v>244</v>
      </c>
      <c r="H968" s="15" t="s">
        <v>402</v>
      </c>
      <c r="I968" s="8"/>
      <c r="J968" s="10"/>
      <c r="AV968" s="15" t="s">
        <v>181</v>
      </c>
      <c r="AW968" s="15" t="s">
        <v>182</v>
      </c>
      <c r="AX968" s="15" t="s">
        <v>2976</v>
      </c>
      <c r="BH968" s="15" t="s">
        <v>184</v>
      </c>
      <c r="BI968" s="15" t="s">
        <v>185</v>
      </c>
      <c r="BJ968" s="15" t="s">
        <v>2351</v>
      </c>
      <c r="BK968" s="15" t="s">
        <v>2352</v>
      </c>
      <c r="BL968" s="15" t="s">
        <v>2353</v>
      </c>
      <c r="BM968" s="15" t="s">
        <v>2354</v>
      </c>
      <c r="BN968" s="15" t="s">
        <v>2355</v>
      </c>
      <c r="BO968" s="15" t="s">
        <v>2356</v>
      </c>
      <c r="BR968" s="15" t="s">
        <v>192</v>
      </c>
      <c r="BS968" s="15" t="s">
        <v>193</v>
      </c>
      <c r="BT968" s="15" t="s">
        <v>194</v>
      </c>
      <c r="BU968" s="15" t="s">
        <v>195</v>
      </c>
      <c r="BV968" s="15" t="s">
        <v>196</v>
      </c>
      <c r="BW968" s="15" t="s">
        <v>404</v>
      </c>
      <c r="CA968" s="15" t="s">
        <v>2357</v>
      </c>
      <c r="CB968" s="15" t="s">
        <v>78</v>
      </c>
      <c r="CC968" s="15">
        <v>1</v>
      </c>
      <c r="CN968" s="15" t="s">
        <v>198</v>
      </c>
      <c r="CW968" s="10">
        <v>2</v>
      </c>
      <c r="CX968" s="15" t="s">
        <v>2977</v>
      </c>
    </row>
    <row r="969" spans="1:102" s="15" customFormat="1" x14ac:dyDescent="0.3">
      <c r="A969" s="11" t="s">
        <v>2349</v>
      </c>
      <c r="B969" s="10" t="s">
        <v>2978</v>
      </c>
      <c r="C969" s="12" t="s">
        <v>3972</v>
      </c>
      <c r="D969" s="10">
        <v>12</v>
      </c>
      <c r="E969" s="13">
        <v>100000</v>
      </c>
      <c r="F969" s="14" t="s">
        <v>243</v>
      </c>
      <c r="G969" s="14" t="s">
        <v>244</v>
      </c>
      <c r="H969" s="15" t="s">
        <v>402</v>
      </c>
      <c r="I969" s="8"/>
      <c r="J969" s="10"/>
      <c r="AV969" s="15" t="s">
        <v>181</v>
      </c>
      <c r="AW969" s="15" t="s">
        <v>182</v>
      </c>
      <c r="AX969" s="15" t="s">
        <v>2979</v>
      </c>
      <c r="BH969" s="15" t="s">
        <v>184</v>
      </c>
      <c r="BI969" s="15" t="s">
        <v>185</v>
      </c>
      <c r="BJ969" s="15" t="s">
        <v>2351</v>
      </c>
      <c r="BK969" s="15" t="s">
        <v>2352</v>
      </c>
      <c r="BL969" s="15" t="s">
        <v>2353</v>
      </c>
      <c r="BM969" s="15" t="s">
        <v>2354</v>
      </c>
      <c r="BN969" s="15" t="s">
        <v>2355</v>
      </c>
      <c r="BO969" s="15" t="s">
        <v>2356</v>
      </c>
      <c r="BR969" s="15" t="s">
        <v>192</v>
      </c>
      <c r="BS969" s="15" t="s">
        <v>193</v>
      </c>
      <c r="BT969" s="15" t="s">
        <v>194</v>
      </c>
      <c r="BU969" s="15" t="s">
        <v>195</v>
      </c>
      <c r="BV969" s="15" t="s">
        <v>196</v>
      </c>
      <c r="BW969" s="15" t="s">
        <v>404</v>
      </c>
      <c r="CA969" s="15" t="s">
        <v>2357</v>
      </c>
      <c r="CB969" s="15" t="s">
        <v>78</v>
      </c>
      <c r="CC969" s="15">
        <v>1</v>
      </c>
      <c r="CN969" s="15" t="s">
        <v>198</v>
      </c>
      <c r="CW969" s="10">
        <v>2</v>
      </c>
      <c r="CX969" s="15" t="s">
        <v>2980</v>
      </c>
    </row>
    <row r="970" spans="1:102" s="15" customFormat="1" x14ac:dyDescent="0.3">
      <c r="A970" s="11" t="s">
        <v>2349</v>
      </c>
      <c r="B970" s="10" t="s">
        <v>2981</v>
      </c>
      <c r="C970" s="12" t="s">
        <v>3973</v>
      </c>
      <c r="D970" s="10">
        <v>12</v>
      </c>
      <c r="E970" s="13">
        <v>100000</v>
      </c>
      <c r="F970" s="14" t="s">
        <v>243</v>
      </c>
      <c r="G970" s="14" t="s">
        <v>244</v>
      </c>
      <c r="H970" s="15" t="s">
        <v>254</v>
      </c>
      <c r="I970" s="8"/>
      <c r="J970" s="10"/>
      <c r="AV970" s="15" t="s">
        <v>181</v>
      </c>
      <c r="AW970" s="15" t="s">
        <v>182</v>
      </c>
      <c r="AX970" s="15" t="s">
        <v>2982</v>
      </c>
      <c r="BH970" s="15" t="s">
        <v>184</v>
      </c>
      <c r="BI970" s="15" t="s">
        <v>185</v>
      </c>
      <c r="BJ970" s="15" t="s">
        <v>2351</v>
      </c>
      <c r="BK970" s="15" t="s">
        <v>2352</v>
      </c>
      <c r="BL970" s="15" t="s">
        <v>2353</v>
      </c>
      <c r="BM970" s="15" t="s">
        <v>2354</v>
      </c>
      <c r="BN970" s="15" t="s">
        <v>2355</v>
      </c>
      <c r="BO970" s="15" t="s">
        <v>2356</v>
      </c>
      <c r="BR970" s="15" t="s">
        <v>192</v>
      </c>
      <c r="BS970" s="15" t="s">
        <v>193</v>
      </c>
      <c r="BT970" s="15" t="s">
        <v>194</v>
      </c>
      <c r="BU970" s="15" t="s">
        <v>195</v>
      </c>
      <c r="BV970" s="15" t="s">
        <v>196</v>
      </c>
      <c r="BW970" s="15" t="s">
        <v>251</v>
      </c>
      <c r="CA970" s="15" t="s">
        <v>2357</v>
      </c>
      <c r="CB970" s="15" t="s">
        <v>78</v>
      </c>
      <c r="CC970" s="15">
        <v>1</v>
      </c>
      <c r="CN970" s="15" t="s">
        <v>198</v>
      </c>
      <c r="CW970" s="10">
        <v>2</v>
      </c>
      <c r="CX970" s="15" t="s">
        <v>2983</v>
      </c>
    </row>
    <row r="971" spans="1:102" s="15" customFormat="1" x14ac:dyDescent="0.3">
      <c r="A971" s="11" t="s">
        <v>2349</v>
      </c>
      <c r="B971" s="10" t="s">
        <v>2984</v>
      </c>
      <c r="C971" s="12" t="s">
        <v>3974</v>
      </c>
      <c r="D971" s="10">
        <v>12</v>
      </c>
      <c r="E971" s="13">
        <v>100000</v>
      </c>
      <c r="F971" s="14" t="s">
        <v>243</v>
      </c>
      <c r="G971" s="14" t="s">
        <v>244</v>
      </c>
      <c r="H971" s="15" t="s">
        <v>254</v>
      </c>
      <c r="I971" s="8"/>
      <c r="J971" s="10"/>
      <c r="AV971" s="15" t="s">
        <v>181</v>
      </c>
      <c r="AW971" s="15" t="s">
        <v>182</v>
      </c>
      <c r="AX971" s="15" t="s">
        <v>2985</v>
      </c>
      <c r="BH971" s="15" t="s">
        <v>184</v>
      </c>
      <c r="BI971" s="15" t="s">
        <v>185</v>
      </c>
      <c r="BJ971" s="15" t="s">
        <v>2351</v>
      </c>
      <c r="BK971" s="15" t="s">
        <v>2352</v>
      </c>
      <c r="BL971" s="15" t="s">
        <v>2353</v>
      </c>
      <c r="BM971" s="15" t="s">
        <v>2354</v>
      </c>
      <c r="BN971" s="15" t="s">
        <v>2355</v>
      </c>
      <c r="BO971" s="15" t="s">
        <v>2356</v>
      </c>
      <c r="BR971" s="15" t="s">
        <v>192</v>
      </c>
      <c r="BS971" s="15" t="s">
        <v>193</v>
      </c>
      <c r="BT971" s="15" t="s">
        <v>194</v>
      </c>
      <c r="BU971" s="15" t="s">
        <v>195</v>
      </c>
      <c r="BV971" s="15" t="s">
        <v>196</v>
      </c>
      <c r="BW971" s="15" t="s">
        <v>251</v>
      </c>
      <c r="CA971" s="15" t="s">
        <v>2357</v>
      </c>
      <c r="CB971" s="15" t="s">
        <v>78</v>
      </c>
      <c r="CC971" s="15">
        <v>1</v>
      </c>
      <c r="CN971" s="15" t="s">
        <v>198</v>
      </c>
      <c r="CW971" s="10">
        <v>2</v>
      </c>
      <c r="CX971" s="15" t="s">
        <v>2986</v>
      </c>
    </row>
    <row r="972" spans="1:102" s="15" customFormat="1" x14ac:dyDescent="0.3">
      <c r="A972" s="11" t="s">
        <v>2349</v>
      </c>
      <c r="B972" s="10" t="s">
        <v>2987</v>
      </c>
      <c r="C972" s="12" t="s">
        <v>3975</v>
      </c>
      <c r="D972" s="10">
        <v>12</v>
      </c>
      <c r="E972" s="13">
        <v>100000</v>
      </c>
      <c r="F972" s="14" t="s">
        <v>243</v>
      </c>
      <c r="G972" s="14" t="s">
        <v>244</v>
      </c>
      <c r="H972" s="15" t="s">
        <v>254</v>
      </c>
      <c r="I972" s="8"/>
      <c r="J972" s="10"/>
      <c r="AV972" s="15" t="s">
        <v>181</v>
      </c>
      <c r="AW972" s="15" t="s">
        <v>182</v>
      </c>
      <c r="AX972" s="15" t="s">
        <v>2988</v>
      </c>
      <c r="BH972" s="15" t="s">
        <v>184</v>
      </c>
      <c r="BI972" s="15" t="s">
        <v>185</v>
      </c>
      <c r="BJ972" s="15" t="s">
        <v>2351</v>
      </c>
      <c r="BK972" s="15" t="s">
        <v>2352</v>
      </c>
      <c r="BL972" s="15" t="s">
        <v>2353</v>
      </c>
      <c r="BM972" s="15" t="s">
        <v>2354</v>
      </c>
      <c r="BN972" s="15" t="s">
        <v>2355</v>
      </c>
      <c r="BO972" s="15" t="s">
        <v>2356</v>
      </c>
      <c r="BR972" s="15" t="s">
        <v>192</v>
      </c>
      <c r="BS972" s="15" t="s">
        <v>193</v>
      </c>
      <c r="BT972" s="15" t="s">
        <v>194</v>
      </c>
      <c r="BU972" s="15" t="s">
        <v>195</v>
      </c>
      <c r="BV972" s="15" t="s">
        <v>196</v>
      </c>
      <c r="BW972" s="15" t="s">
        <v>251</v>
      </c>
      <c r="CA972" s="15" t="s">
        <v>2357</v>
      </c>
      <c r="CB972" s="15" t="s">
        <v>78</v>
      </c>
      <c r="CC972" s="15">
        <v>1</v>
      </c>
      <c r="CN972" s="15" t="s">
        <v>198</v>
      </c>
      <c r="CW972" s="10">
        <v>2</v>
      </c>
      <c r="CX972" s="15" t="s">
        <v>2989</v>
      </c>
    </row>
    <row r="973" spans="1:102" s="15" customFormat="1" x14ac:dyDescent="0.3">
      <c r="A973" s="11" t="s">
        <v>2349</v>
      </c>
      <c r="B973" s="10" t="s">
        <v>2990</v>
      </c>
      <c r="C973" s="12" t="s">
        <v>3976</v>
      </c>
      <c r="D973" s="10">
        <v>12</v>
      </c>
      <c r="E973" s="13">
        <v>100000</v>
      </c>
      <c r="F973" s="14" t="s">
        <v>243</v>
      </c>
      <c r="G973" s="14" t="s">
        <v>244</v>
      </c>
      <c r="H973" s="15" t="s">
        <v>254</v>
      </c>
      <c r="I973" s="8"/>
      <c r="J973" s="10"/>
      <c r="AV973" s="15" t="s">
        <v>181</v>
      </c>
      <c r="AW973" s="15" t="s">
        <v>182</v>
      </c>
      <c r="AX973" s="15" t="s">
        <v>2991</v>
      </c>
      <c r="BH973" s="15" t="s">
        <v>184</v>
      </c>
      <c r="BI973" s="15" t="s">
        <v>185</v>
      </c>
      <c r="BJ973" s="15" t="s">
        <v>2351</v>
      </c>
      <c r="BK973" s="15" t="s">
        <v>2352</v>
      </c>
      <c r="BL973" s="15" t="s">
        <v>2353</v>
      </c>
      <c r="BM973" s="15" t="s">
        <v>2354</v>
      </c>
      <c r="BN973" s="15" t="s">
        <v>2355</v>
      </c>
      <c r="BO973" s="15" t="s">
        <v>2356</v>
      </c>
      <c r="BR973" s="15" t="s">
        <v>192</v>
      </c>
      <c r="BS973" s="15" t="s">
        <v>193</v>
      </c>
      <c r="BT973" s="15" t="s">
        <v>194</v>
      </c>
      <c r="BU973" s="15" t="s">
        <v>195</v>
      </c>
      <c r="BV973" s="15" t="s">
        <v>196</v>
      </c>
      <c r="BW973" s="15" t="s">
        <v>251</v>
      </c>
      <c r="CA973" s="15" t="s">
        <v>2357</v>
      </c>
      <c r="CB973" s="15" t="s">
        <v>78</v>
      </c>
      <c r="CC973" s="15">
        <v>1</v>
      </c>
      <c r="CN973" s="15" t="s">
        <v>198</v>
      </c>
      <c r="CW973" s="10">
        <v>2</v>
      </c>
      <c r="CX973" s="15" t="s">
        <v>2992</v>
      </c>
    </row>
    <row r="974" spans="1:102" s="15" customFormat="1" x14ac:dyDescent="0.3">
      <c r="A974" s="11" t="s">
        <v>2349</v>
      </c>
      <c r="B974" s="10" t="s">
        <v>2993</v>
      </c>
      <c r="C974" s="12" t="s">
        <v>3977</v>
      </c>
      <c r="D974" s="10">
        <v>12</v>
      </c>
      <c r="E974" s="13">
        <v>100000</v>
      </c>
      <c r="F974" s="14" t="s">
        <v>243</v>
      </c>
      <c r="G974" s="14" t="s">
        <v>244</v>
      </c>
      <c r="H974" s="15" t="s">
        <v>254</v>
      </c>
      <c r="I974" s="8"/>
      <c r="J974" s="10"/>
      <c r="AV974" s="15" t="s">
        <v>181</v>
      </c>
      <c r="AW974" s="15" t="s">
        <v>182</v>
      </c>
      <c r="AX974" s="15" t="s">
        <v>2994</v>
      </c>
      <c r="BH974" s="15" t="s">
        <v>184</v>
      </c>
      <c r="BI974" s="15" t="s">
        <v>185</v>
      </c>
      <c r="BJ974" s="15" t="s">
        <v>2351</v>
      </c>
      <c r="BK974" s="15" t="s">
        <v>2352</v>
      </c>
      <c r="BL974" s="15" t="s">
        <v>2353</v>
      </c>
      <c r="BM974" s="15" t="s">
        <v>2354</v>
      </c>
      <c r="BN974" s="15" t="s">
        <v>2355</v>
      </c>
      <c r="BO974" s="15" t="s">
        <v>2356</v>
      </c>
      <c r="BR974" s="15" t="s">
        <v>192</v>
      </c>
      <c r="BS974" s="15" t="s">
        <v>193</v>
      </c>
      <c r="BT974" s="15" t="s">
        <v>194</v>
      </c>
      <c r="BU974" s="15" t="s">
        <v>195</v>
      </c>
      <c r="BV974" s="15" t="s">
        <v>196</v>
      </c>
      <c r="BW974" s="15" t="s">
        <v>251</v>
      </c>
      <c r="CA974" s="15" t="s">
        <v>2357</v>
      </c>
      <c r="CB974" s="15" t="s">
        <v>78</v>
      </c>
      <c r="CC974" s="15">
        <v>1</v>
      </c>
      <c r="CN974" s="15" t="s">
        <v>198</v>
      </c>
      <c r="CW974" s="10">
        <v>2</v>
      </c>
      <c r="CX974" s="15" t="s">
        <v>2995</v>
      </c>
    </row>
    <row r="975" spans="1:102" s="15" customFormat="1" x14ac:dyDescent="0.3">
      <c r="A975" s="11" t="s">
        <v>2349</v>
      </c>
      <c r="B975" s="10" t="s">
        <v>2996</v>
      </c>
      <c r="C975" s="12" t="s">
        <v>3722</v>
      </c>
      <c r="D975" s="10">
        <v>12</v>
      </c>
      <c r="E975" s="13">
        <v>1000000</v>
      </c>
      <c r="F975" s="14" t="s">
        <v>243</v>
      </c>
      <c r="G975" s="14" t="s">
        <v>244</v>
      </c>
      <c r="H975" s="15" t="s">
        <v>326</v>
      </c>
      <c r="I975" s="8"/>
      <c r="J975" s="10"/>
      <c r="AV975" s="15" t="s">
        <v>181</v>
      </c>
      <c r="AW975" s="15" t="s">
        <v>182</v>
      </c>
      <c r="AX975" s="15" t="s">
        <v>2997</v>
      </c>
      <c r="AY975" s="15" t="s">
        <v>2998</v>
      </c>
      <c r="BH975" s="15" t="s">
        <v>184</v>
      </c>
      <c r="BI975" s="15" t="s">
        <v>185</v>
      </c>
      <c r="BJ975" s="15" t="s">
        <v>2351</v>
      </c>
      <c r="BK975" s="15" t="s">
        <v>2352</v>
      </c>
      <c r="BL975" s="15" t="s">
        <v>2353</v>
      </c>
      <c r="BM975" s="15" t="s">
        <v>2354</v>
      </c>
      <c r="BN975" s="15" t="s">
        <v>2355</v>
      </c>
      <c r="BO975" s="15" t="s">
        <v>2356</v>
      </c>
      <c r="BR975" s="15" t="s">
        <v>192</v>
      </c>
      <c r="BS975" s="15" t="s">
        <v>193</v>
      </c>
      <c r="BT975" s="15" t="s">
        <v>194</v>
      </c>
      <c r="BU975" s="15" t="s">
        <v>195</v>
      </c>
      <c r="BV975" s="15" t="s">
        <v>196</v>
      </c>
      <c r="BW975" s="15" t="s">
        <v>251</v>
      </c>
      <c r="CA975" s="15" t="s">
        <v>2357</v>
      </c>
      <c r="CB975" s="15" t="s">
        <v>78</v>
      </c>
      <c r="CC975" s="15">
        <v>1</v>
      </c>
      <c r="CN975" s="15" t="s">
        <v>198</v>
      </c>
      <c r="CW975" s="10">
        <v>2</v>
      </c>
      <c r="CX975" s="15" t="s">
        <v>2999</v>
      </c>
    </row>
    <row r="976" spans="1:102" s="15" customFormat="1" x14ac:dyDescent="0.3">
      <c r="A976" s="11" t="s">
        <v>2349</v>
      </c>
      <c r="B976" s="10" t="s">
        <v>3000</v>
      </c>
      <c r="C976" s="12" t="s">
        <v>3724</v>
      </c>
      <c r="D976" s="10">
        <v>12</v>
      </c>
      <c r="E976" s="13">
        <v>1000000</v>
      </c>
      <c r="F976" s="14" t="s">
        <v>243</v>
      </c>
      <c r="G976" s="14" t="s">
        <v>244</v>
      </c>
      <c r="H976" s="15" t="s">
        <v>211</v>
      </c>
      <c r="I976" s="8"/>
      <c r="J976" s="10"/>
      <c r="AV976" s="15" t="s">
        <v>181</v>
      </c>
      <c r="AW976" s="15" t="s">
        <v>182</v>
      </c>
      <c r="AX976" s="15" t="s">
        <v>3001</v>
      </c>
      <c r="BH976" s="15" t="s">
        <v>184</v>
      </c>
      <c r="BI976" s="15" t="s">
        <v>185</v>
      </c>
      <c r="BJ976" s="15" t="s">
        <v>2351</v>
      </c>
      <c r="BK976" s="15" t="s">
        <v>2352</v>
      </c>
      <c r="BL976" s="15" t="s">
        <v>2353</v>
      </c>
      <c r="BM976" s="15" t="s">
        <v>2354</v>
      </c>
      <c r="BN976" s="15" t="s">
        <v>2355</v>
      </c>
      <c r="BO976" s="15" t="s">
        <v>2356</v>
      </c>
      <c r="BR976" s="15" t="s">
        <v>192</v>
      </c>
      <c r="BS976" s="15" t="s">
        <v>193</v>
      </c>
      <c r="BT976" s="15" t="s">
        <v>194</v>
      </c>
      <c r="BU976" s="15" t="s">
        <v>195</v>
      </c>
      <c r="BV976" s="15" t="s">
        <v>196</v>
      </c>
      <c r="BW976" s="15" t="s">
        <v>293</v>
      </c>
      <c r="CA976" s="15" t="s">
        <v>2357</v>
      </c>
      <c r="CB976" s="15" t="s">
        <v>78</v>
      </c>
      <c r="CC976" s="15">
        <v>1</v>
      </c>
      <c r="CN976" s="15" t="s">
        <v>198</v>
      </c>
      <c r="CW976" s="10">
        <v>2</v>
      </c>
      <c r="CX976" s="15" t="s">
        <v>3002</v>
      </c>
    </row>
    <row r="977" spans="1:102" s="15" customFormat="1" x14ac:dyDescent="0.3">
      <c r="A977" s="11" t="s">
        <v>2349</v>
      </c>
      <c r="B977" s="10" t="s">
        <v>3003</v>
      </c>
      <c r="C977" s="12" t="s">
        <v>3726</v>
      </c>
      <c r="D977" s="10">
        <v>12</v>
      </c>
      <c r="E977" s="13">
        <v>1000000</v>
      </c>
      <c r="F977" s="14" t="s">
        <v>269</v>
      </c>
      <c r="G977" s="14" t="s">
        <v>3004</v>
      </c>
      <c r="H977" s="15" t="s">
        <v>211</v>
      </c>
      <c r="I977" s="8"/>
      <c r="J977" s="10"/>
      <c r="AV977" s="15" t="s">
        <v>212</v>
      </c>
      <c r="AW977" s="15" t="s">
        <v>213</v>
      </c>
      <c r="AX977" s="15" t="s">
        <v>3005</v>
      </c>
      <c r="BH977" s="15" t="s">
        <v>184</v>
      </c>
      <c r="BI977" s="15" t="s">
        <v>185</v>
      </c>
      <c r="BJ977" s="15" t="s">
        <v>2351</v>
      </c>
      <c r="BK977" s="15" t="s">
        <v>2352</v>
      </c>
      <c r="BL977" s="15" t="s">
        <v>2353</v>
      </c>
      <c r="BM977" s="15" t="s">
        <v>2354</v>
      </c>
      <c r="BN977" s="15" t="s">
        <v>2355</v>
      </c>
      <c r="BO977" s="15" t="s">
        <v>2356</v>
      </c>
      <c r="BR977" s="15" t="s">
        <v>192</v>
      </c>
      <c r="BS977" s="15" t="s">
        <v>193</v>
      </c>
      <c r="BT977" s="15" t="s">
        <v>194</v>
      </c>
      <c r="BU977" s="15" t="s">
        <v>195</v>
      </c>
      <c r="BV977" s="15" t="s">
        <v>196</v>
      </c>
      <c r="BW977" s="15" t="s">
        <v>293</v>
      </c>
      <c r="CA977" s="15" t="s">
        <v>2357</v>
      </c>
      <c r="CB977" s="15" t="s">
        <v>78</v>
      </c>
      <c r="CC977" s="15">
        <v>1</v>
      </c>
      <c r="CN977" s="15" t="s">
        <v>198</v>
      </c>
      <c r="CW977" s="10">
        <v>2</v>
      </c>
      <c r="CX977" s="15" t="s">
        <v>3006</v>
      </c>
    </row>
    <row r="978" spans="1:102" s="15" customFormat="1" x14ac:dyDescent="0.3">
      <c r="A978" s="11" t="s">
        <v>2349</v>
      </c>
      <c r="B978" s="10" t="s">
        <v>3007</v>
      </c>
      <c r="C978" s="12" t="s">
        <v>3728</v>
      </c>
      <c r="D978" s="10">
        <v>12</v>
      </c>
      <c r="E978" s="13">
        <v>1000000</v>
      </c>
      <c r="F978" s="14" t="s">
        <v>243</v>
      </c>
      <c r="G978" s="14" t="s">
        <v>244</v>
      </c>
      <c r="H978" s="15" t="s">
        <v>211</v>
      </c>
      <c r="I978" s="8"/>
      <c r="J978" s="10"/>
      <c r="AV978" s="15" t="s">
        <v>181</v>
      </c>
      <c r="AW978" s="15" t="s">
        <v>182</v>
      </c>
      <c r="AX978" s="15" t="s">
        <v>3008</v>
      </c>
      <c r="BH978" s="15" t="s">
        <v>184</v>
      </c>
      <c r="BI978" s="15" t="s">
        <v>185</v>
      </c>
      <c r="BJ978" s="15" t="s">
        <v>2351</v>
      </c>
      <c r="BK978" s="15" t="s">
        <v>2352</v>
      </c>
      <c r="BL978" s="15" t="s">
        <v>2353</v>
      </c>
      <c r="BM978" s="15" t="s">
        <v>2354</v>
      </c>
      <c r="BN978" s="15" t="s">
        <v>2355</v>
      </c>
      <c r="BO978" s="15" t="s">
        <v>2356</v>
      </c>
      <c r="BR978" s="15" t="s">
        <v>192</v>
      </c>
      <c r="BS978" s="15" t="s">
        <v>193</v>
      </c>
      <c r="BT978" s="15" t="s">
        <v>194</v>
      </c>
      <c r="BU978" s="15" t="s">
        <v>195</v>
      </c>
      <c r="BV978" s="15" t="s">
        <v>196</v>
      </c>
      <c r="BW978" s="15" t="s">
        <v>289</v>
      </c>
      <c r="CA978" s="15" t="s">
        <v>2357</v>
      </c>
      <c r="CB978" s="15" t="s">
        <v>78</v>
      </c>
      <c r="CC978" s="15">
        <v>1</v>
      </c>
      <c r="CN978" s="15" t="s">
        <v>198</v>
      </c>
      <c r="CW978" s="10">
        <v>2</v>
      </c>
      <c r="CX978" s="15" t="s">
        <v>3009</v>
      </c>
    </row>
    <row r="979" spans="1:102" s="15" customFormat="1" x14ac:dyDescent="0.3">
      <c r="A979" s="11" t="s">
        <v>2349</v>
      </c>
      <c r="B979" s="10" t="s">
        <v>3010</v>
      </c>
      <c r="C979" s="12" t="s">
        <v>3730</v>
      </c>
      <c r="D979" s="10">
        <v>12</v>
      </c>
      <c r="E979" s="13">
        <v>1000000</v>
      </c>
      <c r="F979" s="14" t="s">
        <v>243</v>
      </c>
      <c r="G979" s="14" t="s">
        <v>244</v>
      </c>
      <c r="H979" s="15" t="s">
        <v>3011</v>
      </c>
      <c r="I979" s="8"/>
      <c r="J979" s="10"/>
      <c r="AV979" s="15" t="s">
        <v>181</v>
      </c>
      <c r="AW979" s="15" t="s">
        <v>182</v>
      </c>
      <c r="AX979" s="15" t="s">
        <v>3012</v>
      </c>
      <c r="AY979" s="15" t="s">
        <v>3013</v>
      </c>
      <c r="BH979" s="15" t="s">
        <v>184</v>
      </c>
      <c r="BI979" s="15" t="s">
        <v>185</v>
      </c>
      <c r="BJ979" s="15" t="s">
        <v>2351</v>
      </c>
      <c r="BK979" s="15" t="s">
        <v>2352</v>
      </c>
      <c r="BL979" s="15" t="s">
        <v>2353</v>
      </c>
      <c r="BM979" s="15" t="s">
        <v>2354</v>
      </c>
      <c r="BN979" s="15" t="s">
        <v>2355</v>
      </c>
      <c r="BO979" s="15" t="s">
        <v>2356</v>
      </c>
      <c r="BR979" s="15" t="s">
        <v>192</v>
      </c>
      <c r="BS979" s="15" t="s">
        <v>193</v>
      </c>
      <c r="BT979" s="15" t="s">
        <v>194</v>
      </c>
      <c r="BU979" s="15" t="s">
        <v>195</v>
      </c>
      <c r="BV979" s="15" t="s">
        <v>196</v>
      </c>
      <c r="BW979" s="15" t="s">
        <v>293</v>
      </c>
      <c r="BX979" s="15" t="s">
        <v>289</v>
      </c>
      <c r="CA979" s="15" t="s">
        <v>2357</v>
      </c>
      <c r="CB979" s="15" t="s">
        <v>78</v>
      </c>
      <c r="CC979" s="15">
        <v>1</v>
      </c>
      <c r="CN979" s="15" t="s">
        <v>198</v>
      </c>
      <c r="CW979" s="10">
        <v>2</v>
      </c>
      <c r="CX979" s="15" t="s">
        <v>3014</v>
      </c>
    </row>
    <row r="980" spans="1:102" s="15" customFormat="1" x14ac:dyDescent="0.3">
      <c r="A980" s="11" t="s">
        <v>2349</v>
      </c>
      <c r="B980" s="10" t="s">
        <v>3015</v>
      </c>
      <c r="C980" s="12" t="s">
        <v>3978</v>
      </c>
      <c r="D980" s="10">
        <v>12</v>
      </c>
      <c r="E980" s="13">
        <v>50000</v>
      </c>
      <c r="F980" s="14" t="s">
        <v>243</v>
      </c>
      <c r="G980" s="14" t="s">
        <v>244</v>
      </c>
      <c r="H980" s="15" t="s">
        <v>402</v>
      </c>
      <c r="I980" s="8"/>
      <c r="J980" s="10"/>
      <c r="AV980" s="15" t="s">
        <v>181</v>
      </c>
      <c r="AW980" s="15" t="s">
        <v>182</v>
      </c>
      <c r="AX980" s="15" t="s">
        <v>3016</v>
      </c>
      <c r="BH980" s="15" t="s">
        <v>184</v>
      </c>
      <c r="BI980" s="15" t="s">
        <v>185</v>
      </c>
      <c r="BJ980" s="15" t="s">
        <v>2351</v>
      </c>
      <c r="BK980" s="15" t="s">
        <v>2352</v>
      </c>
      <c r="BL980" s="15" t="s">
        <v>2353</v>
      </c>
      <c r="BM980" s="15" t="s">
        <v>2354</v>
      </c>
      <c r="BN980" s="15" t="s">
        <v>2355</v>
      </c>
      <c r="BO980" s="15" t="s">
        <v>2356</v>
      </c>
      <c r="BR980" s="15" t="s">
        <v>192</v>
      </c>
      <c r="BS980" s="15" t="s">
        <v>193</v>
      </c>
      <c r="BT980" s="15" t="s">
        <v>194</v>
      </c>
      <c r="BU980" s="15" t="s">
        <v>195</v>
      </c>
      <c r="BV980" s="15" t="s">
        <v>196</v>
      </c>
      <c r="BW980" s="15" t="s">
        <v>404</v>
      </c>
      <c r="CA980" s="15" t="s">
        <v>2357</v>
      </c>
      <c r="CB980" s="15" t="s">
        <v>78</v>
      </c>
      <c r="CC980" s="15">
        <v>1</v>
      </c>
      <c r="CN980" s="15" t="s">
        <v>198</v>
      </c>
      <c r="CW980" s="10">
        <v>2</v>
      </c>
      <c r="CX980" s="15" t="s">
        <v>3017</v>
      </c>
    </row>
    <row r="981" spans="1:102" s="15" customFormat="1" x14ac:dyDescent="0.3">
      <c r="A981" s="11" t="s">
        <v>2349</v>
      </c>
      <c r="B981" s="10" t="s">
        <v>3018</v>
      </c>
      <c r="C981" s="12" t="s">
        <v>3979</v>
      </c>
      <c r="D981" s="10">
        <v>12</v>
      </c>
      <c r="E981" s="13">
        <v>50000</v>
      </c>
      <c r="F981" s="14" t="s">
        <v>243</v>
      </c>
      <c r="G981" s="14" t="s">
        <v>244</v>
      </c>
      <c r="H981" s="15" t="s">
        <v>402</v>
      </c>
      <c r="I981" s="8"/>
      <c r="J981" s="10"/>
      <c r="AV981" s="15" t="s">
        <v>181</v>
      </c>
      <c r="AW981" s="15" t="s">
        <v>182</v>
      </c>
      <c r="AX981" s="15" t="s">
        <v>3019</v>
      </c>
      <c r="BH981" s="15" t="s">
        <v>184</v>
      </c>
      <c r="BI981" s="15" t="s">
        <v>185</v>
      </c>
      <c r="BJ981" s="15" t="s">
        <v>2351</v>
      </c>
      <c r="BK981" s="15" t="s">
        <v>2352</v>
      </c>
      <c r="BL981" s="15" t="s">
        <v>2353</v>
      </c>
      <c r="BM981" s="15" t="s">
        <v>2354</v>
      </c>
      <c r="BN981" s="15" t="s">
        <v>2355</v>
      </c>
      <c r="BO981" s="15" t="s">
        <v>2356</v>
      </c>
      <c r="BR981" s="15" t="s">
        <v>192</v>
      </c>
      <c r="BS981" s="15" t="s">
        <v>193</v>
      </c>
      <c r="BT981" s="15" t="s">
        <v>194</v>
      </c>
      <c r="BU981" s="15" t="s">
        <v>195</v>
      </c>
      <c r="BV981" s="15" t="s">
        <v>196</v>
      </c>
      <c r="BW981" s="15" t="s">
        <v>404</v>
      </c>
      <c r="CA981" s="15" t="s">
        <v>2357</v>
      </c>
      <c r="CB981" s="15" t="s">
        <v>78</v>
      </c>
      <c r="CC981" s="15">
        <v>1</v>
      </c>
      <c r="CN981" s="15" t="s">
        <v>198</v>
      </c>
      <c r="CW981" s="10">
        <v>2</v>
      </c>
      <c r="CX981" s="15" t="s">
        <v>3020</v>
      </c>
    </row>
    <row r="982" spans="1:102" s="15" customFormat="1" x14ac:dyDescent="0.3">
      <c r="A982" s="11" t="s">
        <v>2349</v>
      </c>
      <c r="B982" s="10" t="s">
        <v>3021</v>
      </c>
      <c r="C982" s="12" t="s">
        <v>3980</v>
      </c>
      <c r="D982" s="10">
        <v>12</v>
      </c>
      <c r="E982" s="13">
        <v>50000</v>
      </c>
      <c r="F982" s="14" t="s">
        <v>243</v>
      </c>
      <c r="G982" s="14" t="s">
        <v>244</v>
      </c>
      <c r="H982" s="15" t="s">
        <v>254</v>
      </c>
      <c r="I982" s="8"/>
      <c r="J982" s="10"/>
      <c r="AV982" s="15" t="s">
        <v>181</v>
      </c>
      <c r="AW982" s="15" t="s">
        <v>182</v>
      </c>
      <c r="AX982" s="15" t="s">
        <v>3022</v>
      </c>
      <c r="BH982" s="15" t="s">
        <v>184</v>
      </c>
      <c r="BI982" s="15" t="s">
        <v>185</v>
      </c>
      <c r="BJ982" s="15" t="s">
        <v>2351</v>
      </c>
      <c r="BK982" s="15" t="s">
        <v>2352</v>
      </c>
      <c r="BL982" s="15" t="s">
        <v>2353</v>
      </c>
      <c r="BM982" s="15" t="s">
        <v>2354</v>
      </c>
      <c r="BN982" s="15" t="s">
        <v>2355</v>
      </c>
      <c r="BO982" s="15" t="s">
        <v>2356</v>
      </c>
      <c r="BR982" s="15" t="s">
        <v>192</v>
      </c>
      <c r="BS982" s="15" t="s">
        <v>193</v>
      </c>
      <c r="BT982" s="15" t="s">
        <v>194</v>
      </c>
      <c r="BU982" s="15" t="s">
        <v>195</v>
      </c>
      <c r="BV982" s="15" t="s">
        <v>196</v>
      </c>
      <c r="BW982" s="15" t="s">
        <v>251</v>
      </c>
      <c r="CA982" s="15" t="s">
        <v>2357</v>
      </c>
      <c r="CB982" s="15" t="s">
        <v>78</v>
      </c>
      <c r="CC982" s="15">
        <v>1</v>
      </c>
      <c r="CN982" s="15" t="s">
        <v>198</v>
      </c>
      <c r="CW982" s="10">
        <v>2</v>
      </c>
      <c r="CX982" s="15" t="s">
        <v>3023</v>
      </c>
    </row>
    <row r="983" spans="1:102" s="15" customFormat="1" x14ac:dyDescent="0.3">
      <c r="A983" s="11" t="s">
        <v>2349</v>
      </c>
      <c r="B983" s="10" t="s">
        <v>3024</v>
      </c>
      <c r="C983" s="12" t="s">
        <v>3981</v>
      </c>
      <c r="D983" s="10">
        <v>12</v>
      </c>
      <c r="E983" s="13">
        <v>50000</v>
      </c>
      <c r="F983" s="14" t="s">
        <v>243</v>
      </c>
      <c r="G983" s="14" t="s">
        <v>244</v>
      </c>
      <c r="H983" s="15" t="s">
        <v>254</v>
      </c>
      <c r="I983" s="8"/>
      <c r="J983" s="10"/>
      <c r="AV983" s="15" t="s">
        <v>181</v>
      </c>
      <c r="AW983" s="15" t="s">
        <v>182</v>
      </c>
      <c r="AX983" s="15" t="s">
        <v>3025</v>
      </c>
      <c r="BH983" s="15" t="s">
        <v>184</v>
      </c>
      <c r="BI983" s="15" t="s">
        <v>185</v>
      </c>
      <c r="BJ983" s="15" t="s">
        <v>2351</v>
      </c>
      <c r="BK983" s="15" t="s">
        <v>2352</v>
      </c>
      <c r="BL983" s="15" t="s">
        <v>2353</v>
      </c>
      <c r="BM983" s="15" t="s">
        <v>2354</v>
      </c>
      <c r="BN983" s="15" t="s">
        <v>2355</v>
      </c>
      <c r="BO983" s="15" t="s">
        <v>2356</v>
      </c>
      <c r="BR983" s="15" t="s">
        <v>192</v>
      </c>
      <c r="BS983" s="15" t="s">
        <v>193</v>
      </c>
      <c r="BT983" s="15" t="s">
        <v>194</v>
      </c>
      <c r="BU983" s="15" t="s">
        <v>195</v>
      </c>
      <c r="BV983" s="15" t="s">
        <v>196</v>
      </c>
      <c r="BW983" s="15" t="s">
        <v>251</v>
      </c>
      <c r="CA983" s="15" t="s">
        <v>2357</v>
      </c>
      <c r="CB983" s="15" t="s">
        <v>78</v>
      </c>
      <c r="CC983" s="15">
        <v>1</v>
      </c>
      <c r="CN983" s="15" t="s">
        <v>198</v>
      </c>
      <c r="CW983" s="10">
        <v>2</v>
      </c>
      <c r="CX983" s="15" t="s">
        <v>3026</v>
      </c>
    </row>
    <row r="984" spans="1:102" s="15" customFormat="1" x14ac:dyDescent="0.3">
      <c r="A984" s="11" t="s">
        <v>2349</v>
      </c>
      <c r="B984" s="10" t="s">
        <v>3027</v>
      </c>
      <c r="C984" s="12" t="s">
        <v>3733</v>
      </c>
      <c r="D984" s="10">
        <v>12</v>
      </c>
      <c r="E984" s="13">
        <v>1000000</v>
      </c>
      <c r="F984" s="14" t="s">
        <v>1876</v>
      </c>
      <c r="G984" s="14" t="s">
        <v>1854</v>
      </c>
      <c r="H984" s="15" t="s">
        <v>3028</v>
      </c>
      <c r="I984" s="8"/>
      <c r="J984" s="10"/>
      <c r="AV984" s="15" t="s">
        <v>1857</v>
      </c>
      <c r="AW984" s="15" t="s">
        <v>1858</v>
      </c>
      <c r="AX984" s="15" t="s">
        <v>2356</v>
      </c>
      <c r="AY984" s="15" t="s">
        <v>2479</v>
      </c>
      <c r="AZ984" s="15" t="s">
        <v>2480</v>
      </c>
      <c r="BH984" s="15" t="s">
        <v>184</v>
      </c>
      <c r="BI984" s="15" t="s">
        <v>185</v>
      </c>
      <c r="BJ984" s="15" t="s">
        <v>2351</v>
      </c>
      <c r="BK984" s="15" t="s">
        <v>2352</v>
      </c>
      <c r="BL984" s="15" t="s">
        <v>2353</v>
      </c>
      <c r="BM984" s="15" t="s">
        <v>2354</v>
      </c>
      <c r="BN984" s="15" t="s">
        <v>2355</v>
      </c>
      <c r="BO984" s="15" t="s">
        <v>2356</v>
      </c>
      <c r="BR984" s="15" t="s">
        <v>192</v>
      </c>
      <c r="BS984" s="15" t="s">
        <v>193</v>
      </c>
      <c r="BT984" s="15" t="s">
        <v>194</v>
      </c>
      <c r="BU984" s="15" t="s">
        <v>195</v>
      </c>
      <c r="BV984" s="15" t="s">
        <v>196</v>
      </c>
      <c r="BW984" s="15" t="s">
        <v>272</v>
      </c>
      <c r="CA984" s="15" t="s">
        <v>2357</v>
      </c>
      <c r="CB984" s="15" t="s">
        <v>78</v>
      </c>
      <c r="CC984" s="15">
        <v>1</v>
      </c>
      <c r="CM984" s="15" t="s">
        <v>3029</v>
      </c>
      <c r="CN984" s="15" t="s">
        <v>2087</v>
      </c>
      <c r="CW984" s="10">
        <v>2</v>
      </c>
      <c r="CX984" s="15" t="s">
        <v>3030</v>
      </c>
    </row>
    <row r="985" spans="1:102" s="15" customFormat="1" x14ac:dyDescent="0.3">
      <c r="A985" s="11" t="s">
        <v>2349</v>
      </c>
      <c r="B985" s="10" t="s">
        <v>3031</v>
      </c>
      <c r="C985" s="12" t="s">
        <v>3735</v>
      </c>
      <c r="D985" s="10">
        <v>12</v>
      </c>
      <c r="E985" s="13">
        <v>1000000</v>
      </c>
      <c r="F985" s="14" t="s">
        <v>3032</v>
      </c>
      <c r="G985" s="14" t="s">
        <v>2277</v>
      </c>
      <c r="H985" s="15" t="s">
        <v>2278</v>
      </c>
      <c r="I985" s="8"/>
      <c r="J985" s="10"/>
      <c r="AV985" s="15" t="s">
        <v>3033</v>
      </c>
      <c r="AW985" s="15" t="s">
        <v>3034</v>
      </c>
      <c r="AX985" s="15" t="s">
        <v>2356</v>
      </c>
      <c r="AY985" s="15" t="s">
        <v>2479</v>
      </c>
      <c r="AZ985" s="15" t="s">
        <v>2480</v>
      </c>
      <c r="BH985" s="15" t="s">
        <v>184</v>
      </c>
      <c r="BI985" s="15" t="s">
        <v>185</v>
      </c>
      <c r="BJ985" s="15" t="s">
        <v>2351</v>
      </c>
      <c r="BK985" s="15" t="s">
        <v>2352</v>
      </c>
      <c r="BL985" s="15" t="s">
        <v>2353</v>
      </c>
      <c r="BM985" s="15" t="s">
        <v>2354</v>
      </c>
      <c r="BN985" s="15" t="s">
        <v>2355</v>
      </c>
      <c r="BO985" s="15" t="s">
        <v>2356</v>
      </c>
      <c r="BR985" s="15" t="s">
        <v>192</v>
      </c>
      <c r="BS985" s="15" t="s">
        <v>193</v>
      </c>
      <c r="BT985" s="15" t="s">
        <v>194</v>
      </c>
      <c r="BU985" s="15" t="s">
        <v>195</v>
      </c>
      <c r="BV985" s="15" t="s">
        <v>196</v>
      </c>
      <c r="BW985" s="15" t="s">
        <v>272</v>
      </c>
      <c r="CA985" s="15" t="s">
        <v>2357</v>
      </c>
      <c r="CB985" s="15" t="s">
        <v>78</v>
      </c>
      <c r="CC985" s="15">
        <v>1</v>
      </c>
      <c r="CM985" s="15" t="s">
        <v>3035</v>
      </c>
      <c r="CN985" s="15" t="s">
        <v>2282</v>
      </c>
      <c r="CW985" s="10">
        <v>2</v>
      </c>
      <c r="CX985" s="15" t="s">
        <v>3036</v>
      </c>
    </row>
    <row r="986" spans="1:102" s="15" customFormat="1" x14ac:dyDescent="0.3">
      <c r="A986" s="11" t="s">
        <v>2349</v>
      </c>
      <c r="B986" s="10" t="s">
        <v>3037</v>
      </c>
      <c r="C986" s="12" t="s">
        <v>3737</v>
      </c>
      <c r="D986" s="10">
        <v>1</v>
      </c>
      <c r="E986" s="13">
        <v>1000000</v>
      </c>
      <c r="F986" s="14">
        <v>1</v>
      </c>
      <c r="G986" s="14">
        <v>1</v>
      </c>
      <c r="H986" s="15" t="s">
        <v>3038</v>
      </c>
      <c r="I986" s="8"/>
      <c r="J986" s="10"/>
      <c r="AX986" s="15" t="s">
        <v>3039</v>
      </c>
      <c r="BH986" s="15" t="s">
        <v>2356</v>
      </c>
      <c r="BI986" s="15" t="s">
        <v>2479</v>
      </c>
      <c r="BJ986" s="15" t="s">
        <v>2480</v>
      </c>
      <c r="BR986" s="15" t="s">
        <v>3040</v>
      </c>
      <c r="BS986" s="15" t="s">
        <v>3040</v>
      </c>
      <c r="CW986" s="10">
        <v>2</v>
      </c>
      <c r="CX986" s="15" t="s">
        <v>3041</v>
      </c>
    </row>
    <row r="987" spans="1:102" s="15" customFormat="1" x14ac:dyDescent="0.3">
      <c r="A987" s="11" t="s">
        <v>2349</v>
      </c>
      <c r="B987" s="10" t="s">
        <v>3042</v>
      </c>
      <c r="C987" s="12" t="s">
        <v>3739</v>
      </c>
      <c r="D987" s="10">
        <v>1</v>
      </c>
      <c r="E987" s="13">
        <v>1000000</v>
      </c>
      <c r="F987" s="14">
        <v>1</v>
      </c>
      <c r="G987" s="14">
        <v>1</v>
      </c>
      <c r="H987" s="15" t="s">
        <v>3043</v>
      </c>
      <c r="I987" s="8"/>
      <c r="J987" s="10"/>
      <c r="AW987" s="15" t="s">
        <v>128</v>
      </c>
      <c r="AX987" s="15" t="s">
        <v>3044</v>
      </c>
      <c r="AY987" s="15" t="s">
        <v>2479</v>
      </c>
      <c r="AZ987" s="15" t="s">
        <v>2480</v>
      </c>
      <c r="BH987" s="15" t="s">
        <v>184</v>
      </c>
      <c r="BI987" s="15" t="s">
        <v>185</v>
      </c>
      <c r="BJ987" s="15" t="s">
        <v>2351</v>
      </c>
      <c r="BK987" s="15" t="s">
        <v>2352</v>
      </c>
      <c r="BL987" s="15" t="s">
        <v>2353</v>
      </c>
      <c r="BM987" s="15" t="s">
        <v>2354</v>
      </c>
      <c r="BN987" s="15" t="s">
        <v>2355</v>
      </c>
      <c r="BO987" s="15" t="s">
        <v>2356</v>
      </c>
      <c r="BR987" s="15" t="s">
        <v>3040</v>
      </c>
      <c r="BS987" s="15" t="s">
        <v>3040</v>
      </c>
      <c r="CW987" s="10">
        <v>2</v>
      </c>
      <c r="CX987" s="15" t="s">
        <v>3045</v>
      </c>
    </row>
    <row r="988" spans="1:102" s="15" customFormat="1" x14ac:dyDescent="0.3">
      <c r="A988" s="11" t="s">
        <v>2349</v>
      </c>
      <c r="B988" s="10" t="s">
        <v>3046</v>
      </c>
      <c r="C988" s="12" t="s">
        <v>3073</v>
      </c>
      <c r="D988" s="10"/>
      <c r="E988" s="13">
        <v>0</v>
      </c>
      <c r="F988" s="14"/>
      <c r="G988" s="14"/>
      <c r="I988" s="8"/>
      <c r="J988" s="10"/>
      <c r="BH988" s="15" t="s">
        <v>184</v>
      </c>
      <c r="BI988" s="15" t="s">
        <v>185</v>
      </c>
      <c r="BJ988" s="15" t="s">
        <v>2351</v>
      </c>
      <c r="BK988" s="15" t="s">
        <v>2352</v>
      </c>
      <c r="BL988" s="15" t="s">
        <v>2353</v>
      </c>
      <c r="BM988" s="15" t="s">
        <v>2354</v>
      </c>
      <c r="BN988" s="15" t="s">
        <v>2355</v>
      </c>
      <c r="BO988" s="15" t="s">
        <v>2356</v>
      </c>
      <c r="CW988" s="10">
        <v>2</v>
      </c>
    </row>
    <row r="989" spans="1:102" s="15" customFormat="1" x14ac:dyDescent="0.3">
      <c r="A989" s="11" t="s">
        <v>2349</v>
      </c>
      <c r="B989" s="10" t="s">
        <v>3047</v>
      </c>
      <c r="C989" s="12" t="s">
        <v>3076</v>
      </c>
      <c r="D989" s="10">
        <v>12</v>
      </c>
      <c r="E989" s="13">
        <v>1000000</v>
      </c>
      <c r="F989" s="14" t="s">
        <v>243</v>
      </c>
      <c r="G989" s="14" t="s">
        <v>244</v>
      </c>
      <c r="H989" s="15" t="s">
        <v>3048</v>
      </c>
      <c r="I989" s="8"/>
      <c r="J989" s="10"/>
      <c r="AV989" s="15" t="s">
        <v>181</v>
      </c>
      <c r="AW989" s="15" t="s">
        <v>182</v>
      </c>
      <c r="AX989" s="15" t="s">
        <v>3049</v>
      </c>
      <c r="BH989" s="15" t="s">
        <v>184</v>
      </c>
      <c r="BI989" s="15" t="s">
        <v>185</v>
      </c>
      <c r="BJ989" s="15" t="s">
        <v>2351</v>
      </c>
      <c r="BK989" s="15" t="s">
        <v>2352</v>
      </c>
      <c r="BL989" s="15" t="s">
        <v>2353</v>
      </c>
      <c r="BM989" s="15" t="s">
        <v>2354</v>
      </c>
      <c r="BN989" s="15" t="s">
        <v>2355</v>
      </c>
      <c r="BO989" s="15" t="s">
        <v>2356</v>
      </c>
      <c r="BR989" s="15" t="s">
        <v>192</v>
      </c>
      <c r="BS989" s="15" t="s">
        <v>193</v>
      </c>
      <c r="BT989" s="15" t="s">
        <v>194</v>
      </c>
      <c r="BU989" s="15" t="s">
        <v>195</v>
      </c>
      <c r="BV989" s="15" t="s">
        <v>196</v>
      </c>
      <c r="BW989" s="15" t="s">
        <v>272</v>
      </c>
      <c r="CA989" s="15" t="s">
        <v>2357</v>
      </c>
      <c r="CB989" s="15" t="s">
        <v>78</v>
      </c>
      <c r="CC989" s="15">
        <v>1</v>
      </c>
      <c r="CN989" s="15" t="s">
        <v>273</v>
      </c>
      <c r="CW989" s="10">
        <v>2</v>
      </c>
      <c r="CX989" s="15" t="s">
        <v>3050</v>
      </c>
    </row>
    <row r="990" spans="1:102" s="15" customFormat="1" x14ac:dyDescent="0.3">
      <c r="A990" s="11" t="s">
        <v>2349</v>
      </c>
      <c r="B990" s="10" t="s">
        <v>3051</v>
      </c>
      <c r="C990" s="12" t="s">
        <v>3079</v>
      </c>
      <c r="D990" s="10">
        <v>12</v>
      </c>
      <c r="E990" s="13">
        <v>1000000</v>
      </c>
      <c r="F990" s="14" t="s">
        <v>243</v>
      </c>
      <c r="G990" s="14" t="s">
        <v>244</v>
      </c>
      <c r="H990" s="15" t="s">
        <v>3048</v>
      </c>
      <c r="I990" s="8"/>
      <c r="J990" s="10"/>
      <c r="AV990" s="15" t="s">
        <v>181</v>
      </c>
      <c r="AW990" s="15" t="s">
        <v>182</v>
      </c>
      <c r="AX990" s="15" t="s">
        <v>3052</v>
      </c>
      <c r="BH990" s="15" t="s">
        <v>184</v>
      </c>
      <c r="BI990" s="15" t="s">
        <v>185</v>
      </c>
      <c r="BJ990" s="15" t="s">
        <v>2351</v>
      </c>
      <c r="BK990" s="15" t="s">
        <v>2352</v>
      </c>
      <c r="BL990" s="15" t="s">
        <v>2353</v>
      </c>
      <c r="BM990" s="15" t="s">
        <v>2354</v>
      </c>
      <c r="BN990" s="15" t="s">
        <v>2355</v>
      </c>
      <c r="BO990" s="15" t="s">
        <v>2356</v>
      </c>
      <c r="BR990" s="15" t="s">
        <v>192</v>
      </c>
      <c r="BS990" s="15" t="s">
        <v>193</v>
      </c>
      <c r="BT990" s="15" t="s">
        <v>194</v>
      </c>
      <c r="BU990" s="15" t="s">
        <v>195</v>
      </c>
      <c r="BV990" s="15" t="s">
        <v>196</v>
      </c>
      <c r="BW990" s="15" t="s">
        <v>272</v>
      </c>
      <c r="CA990" s="15" t="s">
        <v>2357</v>
      </c>
      <c r="CB990" s="15" t="s">
        <v>78</v>
      </c>
      <c r="CC990" s="15">
        <v>1</v>
      </c>
      <c r="CN990" s="15" t="s">
        <v>273</v>
      </c>
      <c r="CW990" s="10">
        <v>2</v>
      </c>
      <c r="CX990" s="15" t="s">
        <v>3053</v>
      </c>
    </row>
    <row r="991" spans="1:102" s="15" customFormat="1" x14ac:dyDescent="0.3">
      <c r="A991" s="11" t="s">
        <v>2349</v>
      </c>
      <c r="B991" s="10" t="s">
        <v>3054</v>
      </c>
      <c r="C991" s="12" t="s">
        <v>3082</v>
      </c>
      <c r="D991" s="10">
        <v>12</v>
      </c>
      <c r="E991" s="13">
        <v>4000000</v>
      </c>
      <c r="F991" s="14" t="s">
        <v>243</v>
      </c>
      <c r="G991" s="14" t="s">
        <v>244</v>
      </c>
      <c r="H991" s="15" t="s">
        <v>254</v>
      </c>
      <c r="I991" s="8"/>
      <c r="J991" s="10"/>
      <c r="AV991" s="15" t="s">
        <v>181</v>
      </c>
      <c r="AW991" s="15" t="s">
        <v>182</v>
      </c>
      <c r="AX991" s="15" t="s">
        <v>3055</v>
      </c>
      <c r="BH991" s="15" t="s">
        <v>184</v>
      </c>
      <c r="BI991" s="15" t="s">
        <v>185</v>
      </c>
      <c r="BJ991" s="15" t="s">
        <v>2351</v>
      </c>
      <c r="BK991" s="15" t="s">
        <v>2352</v>
      </c>
      <c r="BL991" s="15" t="s">
        <v>2353</v>
      </c>
      <c r="BM991" s="15" t="s">
        <v>2354</v>
      </c>
      <c r="BN991" s="15" t="s">
        <v>2355</v>
      </c>
      <c r="BO991" s="15" t="s">
        <v>2356</v>
      </c>
      <c r="BR991" s="15" t="s">
        <v>192</v>
      </c>
      <c r="BS991" s="15" t="s">
        <v>193</v>
      </c>
      <c r="BT991" s="15" t="s">
        <v>194</v>
      </c>
      <c r="BU991" s="15" t="s">
        <v>195</v>
      </c>
      <c r="BV991" s="15" t="s">
        <v>196</v>
      </c>
      <c r="BW991" s="15" t="s">
        <v>272</v>
      </c>
      <c r="CA991" s="15" t="s">
        <v>2357</v>
      </c>
      <c r="CB991" s="15" t="s">
        <v>78</v>
      </c>
      <c r="CC991" s="15">
        <v>1</v>
      </c>
      <c r="CN991" s="15" t="s">
        <v>198</v>
      </c>
      <c r="CW991" s="10">
        <v>2</v>
      </c>
      <c r="CX991" s="15" t="s">
        <v>3056</v>
      </c>
    </row>
    <row r="992" spans="1:102" s="15" customFormat="1" x14ac:dyDescent="0.3">
      <c r="A992" s="11" t="s">
        <v>2349</v>
      </c>
      <c r="B992" s="10" t="s">
        <v>3057</v>
      </c>
      <c r="C992" s="12" t="s">
        <v>3085</v>
      </c>
      <c r="D992" s="10">
        <v>12</v>
      </c>
      <c r="E992" s="13">
        <v>4000000</v>
      </c>
      <c r="F992" s="14" t="s">
        <v>243</v>
      </c>
      <c r="G992" s="14" t="s">
        <v>244</v>
      </c>
      <c r="H992" s="15" t="s">
        <v>254</v>
      </c>
      <c r="I992" s="8"/>
      <c r="J992" s="10"/>
      <c r="AV992" s="15" t="s">
        <v>181</v>
      </c>
      <c r="AW992" s="15" t="s">
        <v>182</v>
      </c>
      <c r="AX992" s="15" t="s">
        <v>3058</v>
      </c>
      <c r="BH992" s="15" t="s">
        <v>184</v>
      </c>
      <c r="BI992" s="15" t="s">
        <v>185</v>
      </c>
      <c r="BJ992" s="15" t="s">
        <v>2351</v>
      </c>
      <c r="BK992" s="15" t="s">
        <v>2352</v>
      </c>
      <c r="BL992" s="15" t="s">
        <v>2353</v>
      </c>
      <c r="BM992" s="15" t="s">
        <v>2354</v>
      </c>
      <c r="BN992" s="15" t="s">
        <v>2355</v>
      </c>
      <c r="BO992" s="15" t="s">
        <v>2356</v>
      </c>
      <c r="BR992" s="15" t="s">
        <v>192</v>
      </c>
      <c r="BS992" s="15" t="s">
        <v>193</v>
      </c>
      <c r="BT992" s="15" t="s">
        <v>194</v>
      </c>
      <c r="BU992" s="15" t="s">
        <v>195</v>
      </c>
      <c r="BV992" s="15" t="s">
        <v>196</v>
      </c>
      <c r="BW992" s="15" t="s">
        <v>272</v>
      </c>
      <c r="CA992" s="15" t="s">
        <v>2357</v>
      </c>
      <c r="CB992" s="15" t="s">
        <v>78</v>
      </c>
      <c r="CC992" s="15">
        <v>1</v>
      </c>
      <c r="CN992" s="15" t="s">
        <v>198</v>
      </c>
      <c r="CW992" s="10">
        <v>2</v>
      </c>
      <c r="CX992" s="15" t="s">
        <v>3059</v>
      </c>
    </row>
    <row r="993" spans="1:102" s="15" customFormat="1" x14ac:dyDescent="0.3">
      <c r="A993" s="11" t="s">
        <v>2349</v>
      </c>
      <c r="B993" s="10" t="s">
        <v>3060</v>
      </c>
      <c r="C993" s="12" t="s">
        <v>3088</v>
      </c>
      <c r="D993" s="10">
        <v>12</v>
      </c>
      <c r="E993" s="13">
        <v>1000000</v>
      </c>
      <c r="F993" s="14" t="s">
        <v>243</v>
      </c>
      <c r="G993" s="14" t="s">
        <v>244</v>
      </c>
      <c r="H993" s="15" t="s">
        <v>3048</v>
      </c>
      <c r="I993" s="8"/>
      <c r="J993" s="10"/>
      <c r="AV993" s="15" t="s">
        <v>181</v>
      </c>
      <c r="AW993" s="15" t="s">
        <v>182</v>
      </c>
      <c r="AX993" s="15" t="s">
        <v>3061</v>
      </c>
      <c r="BH993" s="15" t="s">
        <v>184</v>
      </c>
      <c r="BI993" s="15" t="s">
        <v>185</v>
      </c>
      <c r="BJ993" s="15" t="s">
        <v>2351</v>
      </c>
      <c r="BK993" s="15" t="s">
        <v>2352</v>
      </c>
      <c r="BL993" s="15" t="s">
        <v>2353</v>
      </c>
      <c r="BM993" s="15" t="s">
        <v>2354</v>
      </c>
      <c r="BN993" s="15" t="s">
        <v>2355</v>
      </c>
      <c r="BO993" s="15" t="s">
        <v>2356</v>
      </c>
      <c r="BR993" s="15" t="s">
        <v>192</v>
      </c>
      <c r="BS993" s="15" t="s">
        <v>193</v>
      </c>
      <c r="BT993" s="15" t="s">
        <v>194</v>
      </c>
      <c r="BU993" s="15" t="s">
        <v>195</v>
      </c>
      <c r="BV993" s="15" t="s">
        <v>196</v>
      </c>
      <c r="BW993" s="15" t="s">
        <v>272</v>
      </c>
      <c r="CA993" s="15" t="s">
        <v>2357</v>
      </c>
      <c r="CB993" s="15" t="s">
        <v>78</v>
      </c>
      <c r="CC993" s="15">
        <v>1</v>
      </c>
      <c r="CN993" s="15" t="s">
        <v>273</v>
      </c>
      <c r="CW993" s="10">
        <v>2</v>
      </c>
      <c r="CX993" s="15" t="s">
        <v>3062</v>
      </c>
    </row>
    <row r="994" spans="1:102" s="15" customFormat="1" x14ac:dyDescent="0.3">
      <c r="A994" s="11" t="s">
        <v>2349</v>
      </c>
      <c r="B994" s="10" t="s">
        <v>3063</v>
      </c>
      <c r="C994" s="12" t="s">
        <v>3091</v>
      </c>
      <c r="D994" s="10">
        <v>12</v>
      </c>
      <c r="E994" s="13">
        <v>1000000</v>
      </c>
      <c r="F994" s="14" t="s">
        <v>243</v>
      </c>
      <c r="G994" s="14" t="s">
        <v>244</v>
      </c>
      <c r="H994" s="15" t="s">
        <v>3048</v>
      </c>
      <c r="I994" s="8"/>
      <c r="J994" s="10"/>
      <c r="AV994" s="15" t="s">
        <v>181</v>
      </c>
      <c r="AW994" s="15" t="s">
        <v>182</v>
      </c>
      <c r="AX994" s="15" t="s">
        <v>3064</v>
      </c>
      <c r="BH994" s="15" t="s">
        <v>184</v>
      </c>
      <c r="BI994" s="15" t="s">
        <v>185</v>
      </c>
      <c r="BJ994" s="15" t="s">
        <v>2351</v>
      </c>
      <c r="BK994" s="15" t="s">
        <v>2352</v>
      </c>
      <c r="BL994" s="15" t="s">
        <v>2353</v>
      </c>
      <c r="BM994" s="15" t="s">
        <v>2354</v>
      </c>
      <c r="BN994" s="15" t="s">
        <v>2355</v>
      </c>
      <c r="BO994" s="15" t="s">
        <v>2356</v>
      </c>
      <c r="BR994" s="15" t="s">
        <v>192</v>
      </c>
      <c r="BS994" s="15" t="s">
        <v>193</v>
      </c>
      <c r="BT994" s="15" t="s">
        <v>194</v>
      </c>
      <c r="BU994" s="15" t="s">
        <v>195</v>
      </c>
      <c r="BV994" s="15" t="s">
        <v>196</v>
      </c>
      <c r="BW994" s="15" t="s">
        <v>272</v>
      </c>
      <c r="CA994" s="15" t="s">
        <v>2357</v>
      </c>
      <c r="CB994" s="15" t="s">
        <v>78</v>
      </c>
      <c r="CC994" s="15">
        <v>1</v>
      </c>
      <c r="CN994" s="15" t="s">
        <v>273</v>
      </c>
      <c r="CW994" s="10">
        <v>2</v>
      </c>
      <c r="CX994" s="15" t="s">
        <v>3065</v>
      </c>
    </row>
    <row r="995" spans="1:102" s="15" customFormat="1" x14ac:dyDescent="0.3">
      <c r="A995" s="11" t="s">
        <v>2349</v>
      </c>
      <c r="B995" s="10" t="s">
        <v>3066</v>
      </c>
      <c r="C995" s="12" t="s">
        <v>3094</v>
      </c>
      <c r="D995" s="10">
        <v>12</v>
      </c>
      <c r="E995" s="13">
        <v>4000000</v>
      </c>
      <c r="F995" s="14" t="s">
        <v>243</v>
      </c>
      <c r="G995" s="14" t="s">
        <v>244</v>
      </c>
      <c r="H995" s="15" t="s">
        <v>254</v>
      </c>
      <c r="I995" s="8"/>
      <c r="J995" s="10"/>
      <c r="AV995" s="15" t="s">
        <v>181</v>
      </c>
      <c r="AW995" s="15" t="s">
        <v>182</v>
      </c>
      <c r="AX995" s="15" t="s">
        <v>3067</v>
      </c>
      <c r="BH995" s="15" t="s">
        <v>184</v>
      </c>
      <c r="BI995" s="15" t="s">
        <v>185</v>
      </c>
      <c r="BJ995" s="15" t="s">
        <v>2351</v>
      </c>
      <c r="BK995" s="15" t="s">
        <v>2352</v>
      </c>
      <c r="BL995" s="15" t="s">
        <v>2353</v>
      </c>
      <c r="BM995" s="15" t="s">
        <v>2354</v>
      </c>
      <c r="BN995" s="15" t="s">
        <v>2355</v>
      </c>
      <c r="BO995" s="15" t="s">
        <v>2356</v>
      </c>
      <c r="BR995" s="15" t="s">
        <v>192</v>
      </c>
      <c r="BS995" s="15" t="s">
        <v>193</v>
      </c>
      <c r="BT995" s="15" t="s">
        <v>194</v>
      </c>
      <c r="BU995" s="15" t="s">
        <v>195</v>
      </c>
      <c r="BV995" s="15" t="s">
        <v>196</v>
      </c>
      <c r="BW995" s="15" t="s">
        <v>272</v>
      </c>
      <c r="CA995" s="15" t="s">
        <v>2357</v>
      </c>
      <c r="CB995" s="15" t="s">
        <v>78</v>
      </c>
      <c r="CC995" s="15">
        <v>1</v>
      </c>
      <c r="CN995" s="15" t="s">
        <v>198</v>
      </c>
      <c r="CW995" s="10">
        <v>2</v>
      </c>
      <c r="CX995" s="15" t="s">
        <v>3068</v>
      </c>
    </row>
    <row r="996" spans="1:102" s="15" customFormat="1" x14ac:dyDescent="0.3">
      <c r="A996" s="11" t="s">
        <v>2349</v>
      </c>
      <c r="B996" s="10" t="s">
        <v>3069</v>
      </c>
      <c r="C996" s="12" t="s">
        <v>3097</v>
      </c>
      <c r="D996" s="10">
        <v>12</v>
      </c>
      <c r="E996" s="13">
        <v>4000000</v>
      </c>
      <c r="F996" s="14" t="s">
        <v>243</v>
      </c>
      <c r="G996" s="14" t="s">
        <v>244</v>
      </c>
      <c r="H996" s="15" t="s">
        <v>254</v>
      </c>
      <c r="I996" s="8"/>
      <c r="J996" s="10"/>
      <c r="AV996" s="15" t="s">
        <v>181</v>
      </c>
      <c r="AW996" s="15" t="s">
        <v>182</v>
      </c>
      <c r="AX996" s="15" t="s">
        <v>3070</v>
      </c>
      <c r="BH996" s="15" t="s">
        <v>184</v>
      </c>
      <c r="BI996" s="15" t="s">
        <v>185</v>
      </c>
      <c r="BJ996" s="15" t="s">
        <v>2351</v>
      </c>
      <c r="BK996" s="15" t="s">
        <v>2352</v>
      </c>
      <c r="BL996" s="15" t="s">
        <v>2353</v>
      </c>
      <c r="BM996" s="15" t="s">
        <v>2354</v>
      </c>
      <c r="BN996" s="15" t="s">
        <v>2355</v>
      </c>
      <c r="BO996" s="15" t="s">
        <v>2356</v>
      </c>
      <c r="BR996" s="15" t="s">
        <v>192</v>
      </c>
      <c r="BS996" s="15" t="s">
        <v>193</v>
      </c>
      <c r="BT996" s="15" t="s">
        <v>194</v>
      </c>
      <c r="BU996" s="15" t="s">
        <v>195</v>
      </c>
      <c r="BV996" s="15" t="s">
        <v>196</v>
      </c>
      <c r="BW996" s="15" t="s">
        <v>272</v>
      </c>
      <c r="CA996" s="15" t="s">
        <v>2357</v>
      </c>
      <c r="CB996" s="15" t="s">
        <v>78</v>
      </c>
      <c r="CC996" s="15">
        <v>1</v>
      </c>
      <c r="CN996" s="15" t="s">
        <v>198</v>
      </c>
      <c r="CW996" s="10">
        <v>2</v>
      </c>
      <c r="CX996" s="15" t="s">
        <v>3071</v>
      </c>
    </row>
    <row r="997" spans="1:102" s="15" customFormat="1" x14ac:dyDescent="0.3">
      <c r="A997" s="11" t="s">
        <v>2349</v>
      </c>
      <c r="B997" s="10" t="s">
        <v>3072</v>
      </c>
      <c r="C997" s="12" t="s">
        <v>3073</v>
      </c>
      <c r="D997" s="10"/>
      <c r="E997" s="13">
        <v>0</v>
      </c>
      <c r="F997" s="14"/>
      <c r="G997" s="14"/>
      <c r="I997" s="8"/>
      <c r="J997" s="10"/>
      <c r="BH997" s="15" t="s">
        <v>184</v>
      </c>
      <c r="BI997" s="15" t="s">
        <v>185</v>
      </c>
      <c r="BJ997" s="15" t="s">
        <v>2351</v>
      </c>
      <c r="BK997" s="15" t="s">
        <v>2352</v>
      </c>
      <c r="BL997" s="15" t="s">
        <v>2353</v>
      </c>
      <c r="BM997" s="15" t="s">
        <v>2354</v>
      </c>
      <c r="BN997" s="15" t="s">
        <v>2355</v>
      </c>
      <c r="BO997" s="15" t="s">
        <v>2356</v>
      </c>
      <c r="CW997" s="10">
        <v>2</v>
      </c>
      <c r="CX997" s="15" t="s">
        <v>3074</v>
      </c>
    </row>
    <row r="998" spans="1:102" s="15" customFormat="1" x14ac:dyDescent="0.3">
      <c r="A998" s="11" t="s">
        <v>2349</v>
      </c>
      <c r="B998" s="10" t="s">
        <v>3075</v>
      </c>
      <c r="C998" s="12" t="s">
        <v>3076</v>
      </c>
      <c r="D998" s="10">
        <v>12</v>
      </c>
      <c r="E998" s="13">
        <v>1000000</v>
      </c>
      <c r="F998" s="14">
        <v>1</v>
      </c>
      <c r="G998" s="14">
        <v>1</v>
      </c>
      <c r="H998" s="15" t="s">
        <v>3048</v>
      </c>
      <c r="I998" s="8"/>
      <c r="J998" s="10"/>
      <c r="AX998" s="15" t="s">
        <v>3049</v>
      </c>
      <c r="BH998" s="15" t="s">
        <v>184</v>
      </c>
      <c r="BI998" s="15" t="s">
        <v>185</v>
      </c>
      <c r="BJ998" s="15" t="s">
        <v>2351</v>
      </c>
      <c r="BK998" s="15" t="s">
        <v>2352</v>
      </c>
      <c r="BL998" s="15" t="s">
        <v>2353</v>
      </c>
      <c r="BM998" s="15" t="s">
        <v>2354</v>
      </c>
      <c r="BN998" s="15" t="s">
        <v>2355</v>
      </c>
      <c r="BO998" s="15" t="s">
        <v>2356</v>
      </c>
      <c r="BR998" s="15" t="s">
        <v>192</v>
      </c>
      <c r="BS998" s="15" t="s">
        <v>193</v>
      </c>
      <c r="BT998" s="15" t="s">
        <v>194</v>
      </c>
      <c r="BU998" s="15" t="s">
        <v>195</v>
      </c>
      <c r="BV998" s="15" t="s">
        <v>196</v>
      </c>
      <c r="BW998" s="15" t="s">
        <v>272</v>
      </c>
      <c r="CC998" s="15">
        <v>1</v>
      </c>
      <c r="CW998" s="10">
        <v>2</v>
      </c>
      <c r="CX998" s="15" t="s">
        <v>3077</v>
      </c>
    </row>
    <row r="999" spans="1:102" s="15" customFormat="1" x14ac:dyDescent="0.3">
      <c r="A999" s="11" t="s">
        <v>2349</v>
      </c>
      <c r="B999" s="10" t="s">
        <v>3078</v>
      </c>
      <c r="C999" s="12" t="s">
        <v>3079</v>
      </c>
      <c r="D999" s="10">
        <v>12</v>
      </c>
      <c r="E999" s="13">
        <v>1000000</v>
      </c>
      <c r="F999" s="14">
        <v>1</v>
      </c>
      <c r="G999" s="14">
        <v>1</v>
      </c>
      <c r="H999" s="15" t="s">
        <v>3048</v>
      </c>
      <c r="I999" s="8"/>
      <c r="J999" s="10"/>
      <c r="AX999" s="15" t="s">
        <v>3052</v>
      </c>
      <c r="BH999" s="15" t="s">
        <v>184</v>
      </c>
      <c r="BI999" s="15" t="s">
        <v>185</v>
      </c>
      <c r="BJ999" s="15" t="s">
        <v>2351</v>
      </c>
      <c r="BK999" s="15" t="s">
        <v>2352</v>
      </c>
      <c r="BL999" s="15" t="s">
        <v>2353</v>
      </c>
      <c r="BM999" s="15" t="s">
        <v>2354</v>
      </c>
      <c r="BN999" s="15" t="s">
        <v>2355</v>
      </c>
      <c r="BO999" s="15" t="s">
        <v>2356</v>
      </c>
      <c r="BR999" s="15" t="s">
        <v>192</v>
      </c>
      <c r="BS999" s="15" t="s">
        <v>193</v>
      </c>
      <c r="BT999" s="15" t="s">
        <v>194</v>
      </c>
      <c r="BU999" s="15" t="s">
        <v>195</v>
      </c>
      <c r="BV999" s="15" t="s">
        <v>196</v>
      </c>
      <c r="BW999" s="15" t="s">
        <v>272</v>
      </c>
      <c r="CC999" s="15">
        <v>1</v>
      </c>
      <c r="CW999" s="10">
        <v>2</v>
      </c>
      <c r="CX999" s="15" t="s">
        <v>3080</v>
      </c>
    </row>
    <row r="1000" spans="1:102" s="15" customFormat="1" x14ac:dyDescent="0.3">
      <c r="A1000" s="11" t="s">
        <v>2349</v>
      </c>
      <c r="B1000" s="10" t="s">
        <v>3081</v>
      </c>
      <c r="C1000" s="12" t="s">
        <v>3082</v>
      </c>
      <c r="D1000" s="10">
        <v>12</v>
      </c>
      <c r="E1000" s="13">
        <v>4000000</v>
      </c>
      <c r="F1000" s="14">
        <v>1</v>
      </c>
      <c r="G1000" s="14">
        <v>1</v>
      </c>
      <c r="H1000" s="15" t="s">
        <v>254</v>
      </c>
      <c r="I1000" s="8"/>
      <c r="J1000" s="10"/>
      <c r="AX1000" s="15" t="s">
        <v>3055</v>
      </c>
      <c r="BH1000" s="15" t="s">
        <v>184</v>
      </c>
      <c r="BI1000" s="15" t="s">
        <v>185</v>
      </c>
      <c r="BJ1000" s="15" t="s">
        <v>2351</v>
      </c>
      <c r="BK1000" s="15" t="s">
        <v>2352</v>
      </c>
      <c r="BL1000" s="15" t="s">
        <v>2353</v>
      </c>
      <c r="BM1000" s="15" t="s">
        <v>2354</v>
      </c>
      <c r="BN1000" s="15" t="s">
        <v>2355</v>
      </c>
      <c r="BO1000" s="15" t="s">
        <v>2356</v>
      </c>
      <c r="BR1000" s="15" t="s">
        <v>192</v>
      </c>
      <c r="BS1000" s="15" t="s">
        <v>193</v>
      </c>
      <c r="BT1000" s="15" t="s">
        <v>194</v>
      </c>
      <c r="BU1000" s="15" t="s">
        <v>195</v>
      </c>
      <c r="BV1000" s="15" t="s">
        <v>196</v>
      </c>
      <c r="BW1000" s="15" t="s">
        <v>272</v>
      </c>
      <c r="CC1000" s="15">
        <v>1</v>
      </c>
      <c r="CW1000" s="10">
        <v>2</v>
      </c>
      <c r="CX1000" s="15" t="s">
        <v>3083</v>
      </c>
    </row>
    <row r="1001" spans="1:102" s="15" customFormat="1" x14ac:dyDescent="0.3">
      <c r="A1001" s="11" t="s">
        <v>2349</v>
      </c>
      <c r="B1001" s="10" t="s">
        <v>3084</v>
      </c>
      <c r="C1001" s="12" t="s">
        <v>3085</v>
      </c>
      <c r="D1001" s="10">
        <v>12</v>
      </c>
      <c r="E1001" s="13">
        <v>4000000</v>
      </c>
      <c r="F1001" s="14">
        <v>1</v>
      </c>
      <c r="G1001" s="14">
        <v>1</v>
      </c>
      <c r="H1001" s="15" t="s">
        <v>254</v>
      </c>
      <c r="I1001" s="8"/>
      <c r="J1001" s="10"/>
      <c r="AX1001" s="15" t="s">
        <v>3058</v>
      </c>
      <c r="BH1001" s="15" t="s">
        <v>184</v>
      </c>
      <c r="BI1001" s="15" t="s">
        <v>185</v>
      </c>
      <c r="BJ1001" s="15" t="s">
        <v>2351</v>
      </c>
      <c r="BK1001" s="15" t="s">
        <v>2352</v>
      </c>
      <c r="BL1001" s="15" t="s">
        <v>2353</v>
      </c>
      <c r="BM1001" s="15" t="s">
        <v>2354</v>
      </c>
      <c r="BN1001" s="15" t="s">
        <v>2355</v>
      </c>
      <c r="BO1001" s="15" t="s">
        <v>2356</v>
      </c>
      <c r="BR1001" s="15" t="s">
        <v>192</v>
      </c>
      <c r="BS1001" s="15" t="s">
        <v>193</v>
      </c>
      <c r="BT1001" s="15" t="s">
        <v>194</v>
      </c>
      <c r="BU1001" s="15" t="s">
        <v>195</v>
      </c>
      <c r="BV1001" s="15" t="s">
        <v>196</v>
      </c>
      <c r="BW1001" s="15" t="s">
        <v>272</v>
      </c>
      <c r="CC1001" s="15">
        <v>1</v>
      </c>
      <c r="CW1001" s="10">
        <v>2</v>
      </c>
      <c r="CX1001" s="15" t="s">
        <v>3086</v>
      </c>
    </row>
    <row r="1002" spans="1:102" s="15" customFormat="1" x14ac:dyDescent="0.3">
      <c r="A1002" s="11" t="s">
        <v>2349</v>
      </c>
      <c r="B1002" s="10" t="s">
        <v>3087</v>
      </c>
      <c r="C1002" s="12" t="s">
        <v>3088</v>
      </c>
      <c r="D1002" s="10">
        <v>12</v>
      </c>
      <c r="E1002" s="13">
        <v>1000000</v>
      </c>
      <c r="F1002" s="14">
        <v>1</v>
      </c>
      <c r="G1002" s="14">
        <v>1</v>
      </c>
      <c r="H1002" s="15" t="s">
        <v>3048</v>
      </c>
      <c r="I1002" s="8"/>
      <c r="J1002" s="10"/>
      <c r="AX1002" s="15" t="s">
        <v>3061</v>
      </c>
      <c r="BH1002" s="15" t="s">
        <v>184</v>
      </c>
      <c r="BI1002" s="15" t="s">
        <v>185</v>
      </c>
      <c r="BJ1002" s="15" t="s">
        <v>2351</v>
      </c>
      <c r="BK1002" s="15" t="s">
        <v>2352</v>
      </c>
      <c r="BL1002" s="15" t="s">
        <v>2353</v>
      </c>
      <c r="BM1002" s="15" t="s">
        <v>2354</v>
      </c>
      <c r="BN1002" s="15" t="s">
        <v>2355</v>
      </c>
      <c r="BO1002" s="15" t="s">
        <v>2356</v>
      </c>
      <c r="BR1002" s="15" t="s">
        <v>192</v>
      </c>
      <c r="BS1002" s="15" t="s">
        <v>193</v>
      </c>
      <c r="BT1002" s="15" t="s">
        <v>194</v>
      </c>
      <c r="BU1002" s="15" t="s">
        <v>195</v>
      </c>
      <c r="BV1002" s="15" t="s">
        <v>196</v>
      </c>
      <c r="BW1002" s="15" t="s">
        <v>272</v>
      </c>
      <c r="CC1002" s="15">
        <v>1</v>
      </c>
      <c r="CW1002" s="10">
        <v>2</v>
      </c>
      <c r="CX1002" s="15" t="s">
        <v>3089</v>
      </c>
    </row>
    <row r="1003" spans="1:102" s="15" customFormat="1" x14ac:dyDescent="0.3">
      <c r="A1003" s="11" t="s">
        <v>2349</v>
      </c>
      <c r="B1003" s="10" t="s">
        <v>3090</v>
      </c>
      <c r="C1003" s="12" t="s">
        <v>3091</v>
      </c>
      <c r="D1003" s="10">
        <v>12</v>
      </c>
      <c r="E1003" s="13">
        <v>1000000</v>
      </c>
      <c r="F1003" s="14">
        <v>1</v>
      </c>
      <c r="G1003" s="14">
        <v>1</v>
      </c>
      <c r="H1003" s="15" t="s">
        <v>3048</v>
      </c>
      <c r="I1003" s="8"/>
      <c r="J1003" s="10"/>
      <c r="AX1003" s="15" t="s">
        <v>3064</v>
      </c>
      <c r="BH1003" s="15" t="s">
        <v>184</v>
      </c>
      <c r="BI1003" s="15" t="s">
        <v>185</v>
      </c>
      <c r="BJ1003" s="15" t="s">
        <v>2351</v>
      </c>
      <c r="BK1003" s="15" t="s">
        <v>2352</v>
      </c>
      <c r="BL1003" s="15" t="s">
        <v>2353</v>
      </c>
      <c r="BM1003" s="15" t="s">
        <v>2354</v>
      </c>
      <c r="BN1003" s="15" t="s">
        <v>2355</v>
      </c>
      <c r="BO1003" s="15" t="s">
        <v>2356</v>
      </c>
      <c r="BR1003" s="15" t="s">
        <v>192</v>
      </c>
      <c r="BS1003" s="15" t="s">
        <v>193</v>
      </c>
      <c r="BT1003" s="15" t="s">
        <v>194</v>
      </c>
      <c r="BU1003" s="15" t="s">
        <v>195</v>
      </c>
      <c r="BV1003" s="15" t="s">
        <v>196</v>
      </c>
      <c r="BW1003" s="15" t="s">
        <v>272</v>
      </c>
      <c r="CC1003" s="15">
        <v>1</v>
      </c>
      <c r="CW1003" s="10">
        <v>2</v>
      </c>
      <c r="CX1003" s="15" t="s">
        <v>3092</v>
      </c>
    </row>
    <row r="1004" spans="1:102" s="15" customFormat="1" x14ac:dyDescent="0.3">
      <c r="A1004" s="11" t="s">
        <v>2349</v>
      </c>
      <c r="B1004" s="10" t="s">
        <v>3093</v>
      </c>
      <c r="C1004" s="12" t="s">
        <v>3094</v>
      </c>
      <c r="D1004" s="10">
        <v>12</v>
      </c>
      <c r="E1004" s="13">
        <v>4000000</v>
      </c>
      <c r="F1004" s="14">
        <v>1</v>
      </c>
      <c r="G1004" s="14">
        <v>1</v>
      </c>
      <c r="H1004" s="15" t="s">
        <v>254</v>
      </c>
      <c r="I1004" s="8"/>
      <c r="J1004" s="10"/>
      <c r="AX1004" s="15" t="s">
        <v>3067</v>
      </c>
      <c r="BH1004" s="15" t="s">
        <v>184</v>
      </c>
      <c r="BI1004" s="15" t="s">
        <v>185</v>
      </c>
      <c r="BJ1004" s="15" t="s">
        <v>2351</v>
      </c>
      <c r="BK1004" s="15" t="s">
        <v>2352</v>
      </c>
      <c r="BL1004" s="15" t="s">
        <v>2353</v>
      </c>
      <c r="BM1004" s="15" t="s">
        <v>2354</v>
      </c>
      <c r="BN1004" s="15" t="s">
        <v>2355</v>
      </c>
      <c r="BO1004" s="15" t="s">
        <v>2356</v>
      </c>
      <c r="BR1004" s="15" t="s">
        <v>192</v>
      </c>
      <c r="BS1004" s="15" t="s">
        <v>193</v>
      </c>
      <c r="BT1004" s="15" t="s">
        <v>194</v>
      </c>
      <c r="BU1004" s="15" t="s">
        <v>195</v>
      </c>
      <c r="BV1004" s="15" t="s">
        <v>196</v>
      </c>
      <c r="BW1004" s="15" t="s">
        <v>272</v>
      </c>
      <c r="CC1004" s="15">
        <v>1</v>
      </c>
      <c r="CW1004" s="10">
        <v>2</v>
      </c>
      <c r="CX1004" s="15" t="s">
        <v>3095</v>
      </c>
    </row>
    <row r="1005" spans="1:102" s="15" customFormat="1" x14ac:dyDescent="0.3">
      <c r="A1005" s="11" t="s">
        <v>2349</v>
      </c>
      <c r="B1005" s="10" t="s">
        <v>3096</v>
      </c>
      <c r="C1005" s="12" t="s">
        <v>3097</v>
      </c>
      <c r="D1005" s="10">
        <v>12</v>
      </c>
      <c r="E1005" s="13">
        <v>4000000</v>
      </c>
      <c r="F1005" s="14">
        <v>1</v>
      </c>
      <c r="G1005" s="14">
        <v>1</v>
      </c>
      <c r="H1005" s="15" t="s">
        <v>254</v>
      </c>
      <c r="I1005" s="8"/>
      <c r="J1005" s="10"/>
      <c r="AX1005" s="15" t="s">
        <v>3070</v>
      </c>
      <c r="BH1005" s="15" t="s">
        <v>184</v>
      </c>
      <c r="BI1005" s="15" t="s">
        <v>185</v>
      </c>
      <c r="BJ1005" s="15" t="s">
        <v>2351</v>
      </c>
      <c r="BK1005" s="15" t="s">
        <v>2352</v>
      </c>
      <c r="BL1005" s="15" t="s">
        <v>2353</v>
      </c>
      <c r="BM1005" s="15" t="s">
        <v>2354</v>
      </c>
      <c r="BN1005" s="15" t="s">
        <v>2355</v>
      </c>
      <c r="BO1005" s="15" t="s">
        <v>2356</v>
      </c>
      <c r="BR1005" s="15" t="s">
        <v>192</v>
      </c>
      <c r="BS1005" s="15" t="s">
        <v>193</v>
      </c>
      <c r="BT1005" s="15" t="s">
        <v>194</v>
      </c>
      <c r="BU1005" s="15" t="s">
        <v>195</v>
      </c>
      <c r="BV1005" s="15" t="s">
        <v>196</v>
      </c>
      <c r="BW1005" s="15" t="s">
        <v>272</v>
      </c>
      <c r="CC1005" s="15">
        <v>1</v>
      </c>
      <c r="CW1005" s="10">
        <v>2</v>
      </c>
      <c r="CX1005" s="15" t="s">
        <v>3098</v>
      </c>
    </row>
    <row r="1006" spans="1:102" s="15" customFormat="1" x14ac:dyDescent="0.3">
      <c r="A1006" s="11" t="s">
        <v>2349</v>
      </c>
      <c r="B1006" s="10" t="s">
        <v>3099</v>
      </c>
      <c r="C1006" s="12" t="s">
        <v>3982</v>
      </c>
      <c r="D1006" s="10"/>
      <c r="E1006" s="13">
        <v>0</v>
      </c>
      <c r="F1006" s="14"/>
      <c r="G1006" s="14"/>
      <c r="I1006" s="8"/>
      <c r="J1006" s="10"/>
      <c r="BH1006" s="15" t="s">
        <v>184</v>
      </c>
      <c r="BI1006" s="15" t="s">
        <v>185</v>
      </c>
      <c r="BJ1006" s="15" t="s">
        <v>2351</v>
      </c>
      <c r="BK1006" s="15" t="s">
        <v>2352</v>
      </c>
      <c r="BL1006" s="15" t="s">
        <v>2353</v>
      </c>
      <c r="BM1006" s="15" t="s">
        <v>2354</v>
      </c>
      <c r="BN1006" s="15" t="s">
        <v>2355</v>
      </c>
      <c r="BO1006" s="15" t="s">
        <v>2356</v>
      </c>
      <c r="CW1006" s="10">
        <v>2</v>
      </c>
      <c r="CX1006" s="15" t="s">
        <v>3100</v>
      </c>
    </row>
    <row r="1007" spans="1:102" s="15" customFormat="1" x14ac:dyDescent="0.3">
      <c r="A1007" s="11" t="s">
        <v>2349</v>
      </c>
      <c r="B1007" s="10" t="s">
        <v>3101</v>
      </c>
      <c r="C1007" s="12" t="s">
        <v>3983</v>
      </c>
      <c r="D1007" s="10">
        <v>12</v>
      </c>
      <c r="E1007" s="13">
        <v>1000000</v>
      </c>
      <c r="F1007" s="14" t="s">
        <v>3102</v>
      </c>
      <c r="G1007" s="14" t="s">
        <v>3004</v>
      </c>
      <c r="H1007" s="15" t="s">
        <v>3048</v>
      </c>
      <c r="I1007" s="8"/>
      <c r="J1007" s="10"/>
      <c r="AV1007" s="15" t="s">
        <v>212</v>
      </c>
      <c r="AW1007" s="15" t="s">
        <v>213</v>
      </c>
      <c r="AX1007" s="15" t="s">
        <v>3103</v>
      </c>
      <c r="BH1007" s="15" t="s">
        <v>184</v>
      </c>
      <c r="BI1007" s="15" t="s">
        <v>185</v>
      </c>
      <c r="BJ1007" s="15" t="s">
        <v>2351</v>
      </c>
      <c r="BK1007" s="15" t="s">
        <v>2352</v>
      </c>
      <c r="BL1007" s="15" t="s">
        <v>2353</v>
      </c>
      <c r="BM1007" s="15" t="s">
        <v>2354</v>
      </c>
      <c r="BN1007" s="15" t="s">
        <v>2355</v>
      </c>
      <c r="BO1007" s="15" t="s">
        <v>2356</v>
      </c>
      <c r="BR1007" s="15" t="s">
        <v>192</v>
      </c>
      <c r="BS1007" s="15" t="s">
        <v>193</v>
      </c>
      <c r="BT1007" s="15" t="s">
        <v>194</v>
      </c>
      <c r="BU1007" s="15" t="s">
        <v>195</v>
      </c>
      <c r="BV1007" s="15" t="s">
        <v>196</v>
      </c>
      <c r="BW1007" s="15" t="s">
        <v>272</v>
      </c>
      <c r="CA1007" s="15" t="s">
        <v>2357</v>
      </c>
      <c r="CB1007" s="15" t="s">
        <v>78</v>
      </c>
      <c r="CC1007" s="15">
        <v>1</v>
      </c>
      <c r="CN1007" s="15" t="s">
        <v>273</v>
      </c>
      <c r="CW1007" s="10">
        <v>2</v>
      </c>
      <c r="CX1007" s="15" t="s">
        <v>3104</v>
      </c>
    </row>
    <row r="1008" spans="1:102" s="15" customFormat="1" x14ac:dyDescent="0.3">
      <c r="A1008" s="11" t="s">
        <v>2349</v>
      </c>
      <c r="B1008" s="10" t="s">
        <v>3105</v>
      </c>
      <c r="C1008" s="12" t="s">
        <v>3984</v>
      </c>
      <c r="D1008" s="10">
        <v>12</v>
      </c>
      <c r="E1008" s="13">
        <v>1000000</v>
      </c>
      <c r="F1008" s="14" t="s">
        <v>3102</v>
      </c>
      <c r="G1008" s="14" t="s">
        <v>3004</v>
      </c>
      <c r="H1008" s="15" t="s">
        <v>3048</v>
      </c>
      <c r="I1008" s="8"/>
      <c r="J1008" s="10"/>
      <c r="AV1008" s="15" t="s">
        <v>212</v>
      </c>
      <c r="AW1008" s="15" t="s">
        <v>213</v>
      </c>
      <c r="AX1008" s="15" t="s">
        <v>3106</v>
      </c>
      <c r="BH1008" s="15" t="s">
        <v>184</v>
      </c>
      <c r="BI1008" s="15" t="s">
        <v>185</v>
      </c>
      <c r="BJ1008" s="15" t="s">
        <v>2351</v>
      </c>
      <c r="BK1008" s="15" t="s">
        <v>2352</v>
      </c>
      <c r="BL1008" s="15" t="s">
        <v>2353</v>
      </c>
      <c r="BM1008" s="15" t="s">
        <v>2354</v>
      </c>
      <c r="BN1008" s="15" t="s">
        <v>2355</v>
      </c>
      <c r="BO1008" s="15" t="s">
        <v>2356</v>
      </c>
      <c r="BR1008" s="15" t="s">
        <v>192</v>
      </c>
      <c r="BS1008" s="15" t="s">
        <v>193</v>
      </c>
      <c r="BT1008" s="15" t="s">
        <v>194</v>
      </c>
      <c r="BU1008" s="15" t="s">
        <v>195</v>
      </c>
      <c r="BV1008" s="15" t="s">
        <v>196</v>
      </c>
      <c r="BW1008" s="15" t="s">
        <v>272</v>
      </c>
      <c r="CA1008" s="15" t="s">
        <v>2357</v>
      </c>
      <c r="CB1008" s="15" t="s">
        <v>78</v>
      </c>
      <c r="CC1008" s="15">
        <v>1</v>
      </c>
      <c r="CN1008" s="15" t="s">
        <v>273</v>
      </c>
      <c r="CW1008" s="10">
        <v>2</v>
      </c>
      <c r="CX1008" s="15" t="s">
        <v>3107</v>
      </c>
    </row>
    <row r="1009" spans="1:102" s="15" customFormat="1" x14ac:dyDescent="0.3">
      <c r="A1009" s="11" t="s">
        <v>2349</v>
      </c>
      <c r="B1009" s="10" t="s">
        <v>3108</v>
      </c>
      <c r="C1009" s="12" t="s">
        <v>3985</v>
      </c>
      <c r="D1009" s="10">
        <v>12</v>
      </c>
      <c r="E1009" s="13">
        <v>4000000</v>
      </c>
      <c r="F1009" s="14" t="s">
        <v>3102</v>
      </c>
      <c r="G1009" s="14" t="s">
        <v>3004</v>
      </c>
      <c r="H1009" s="15" t="s">
        <v>254</v>
      </c>
      <c r="I1009" s="8"/>
      <c r="J1009" s="10"/>
      <c r="AV1009" s="15" t="s">
        <v>212</v>
      </c>
      <c r="AW1009" s="15" t="s">
        <v>213</v>
      </c>
      <c r="AX1009" s="15" t="s">
        <v>3109</v>
      </c>
      <c r="BH1009" s="15" t="s">
        <v>184</v>
      </c>
      <c r="BI1009" s="15" t="s">
        <v>185</v>
      </c>
      <c r="BJ1009" s="15" t="s">
        <v>2351</v>
      </c>
      <c r="BK1009" s="15" t="s">
        <v>2352</v>
      </c>
      <c r="BL1009" s="15" t="s">
        <v>2353</v>
      </c>
      <c r="BM1009" s="15" t="s">
        <v>2354</v>
      </c>
      <c r="BN1009" s="15" t="s">
        <v>2355</v>
      </c>
      <c r="BO1009" s="15" t="s">
        <v>2356</v>
      </c>
      <c r="BR1009" s="15" t="s">
        <v>192</v>
      </c>
      <c r="BS1009" s="15" t="s">
        <v>193</v>
      </c>
      <c r="BT1009" s="15" t="s">
        <v>194</v>
      </c>
      <c r="BU1009" s="15" t="s">
        <v>195</v>
      </c>
      <c r="BV1009" s="15" t="s">
        <v>196</v>
      </c>
      <c r="BW1009" s="15" t="s">
        <v>272</v>
      </c>
      <c r="CA1009" s="15" t="s">
        <v>2357</v>
      </c>
      <c r="CB1009" s="15" t="s">
        <v>78</v>
      </c>
      <c r="CC1009" s="15">
        <v>1</v>
      </c>
      <c r="CN1009" s="15" t="s">
        <v>3110</v>
      </c>
      <c r="CW1009" s="10">
        <v>2</v>
      </c>
      <c r="CX1009" s="15" t="s">
        <v>3111</v>
      </c>
    </row>
    <row r="1010" spans="1:102" s="15" customFormat="1" x14ac:dyDescent="0.3">
      <c r="A1010" s="11" t="s">
        <v>2349</v>
      </c>
      <c r="B1010" s="10" t="s">
        <v>3112</v>
      </c>
      <c r="C1010" s="12" t="s">
        <v>3986</v>
      </c>
      <c r="D1010" s="10">
        <v>12</v>
      </c>
      <c r="E1010" s="13">
        <v>4000000</v>
      </c>
      <c r="F1010" s="14" t="s">
        <v>3102</v>
      </c>
      <c r="G1010" s="14" t="s">
        <v>3004</v>
      </c>
      <c r="H1010" s="15" t="s">
        <v>254</v>
      </c>
      <c r="I1010" s="8"/>
      <c r="J1010" s="10"/>
      <c r="AV1010" s="15" t="s">
        <v>212</v>
      </c>
      <c r="AW1010" s="15" t="s">
        <v>213</v>
      </c>
      <c r="AX1010" s="15" t="s">
        <v>3113</v>
      </c>
      <c r="BH1010" s="15" t="s">
        <v>184</v>
      </c>
      <c r="BI1010" s="15" t="s">
        <v>185</v>
      </c>
      <c r="BJ1010" s="15" t="s">
        <v>2351</v>
      </c>
      <c r="BK1010" s="15" t="s">
        <v>2352</v>
      </c>
      <c r="BL1010" s="15" t="s">
        <v>2353</v>
      </c>
      <c r="BM1010" s="15" t="s">
        <v>2354</v>
      </c>
      <c r="BN1010" s="15" t="s">
        <v>2355</v>
      </c>
      <c r="BO1010" s="15" t="s">
        <v>2356</v>
      </c>
      <c r="BR1010" s="15" t="s">
        <v>192</v>
      </c>
      <c r="BS1010" s="15" t="s">
        <v>193</v>
      </c>
      <c r="BT1010" s="15" t="s">
        <v>194</v>
      </c>
      <c r="BU1010" s="15" t="s">
        <v>195</v>
      </c>
      <c r="BV1010" s="15" t="s">
        <v>196</v>
      </c>
      <c r="BW1010" s="15" t="s">
        <v>272</v>
      </c>
      <c r="CA1010" s="15" t="s">
        <v>2357</v>
      </c>
      <c r="CB1010" s="15" t="s">
        <v>78</v>
      </c>
      <c r="CC1010" s="15">
        <v>1</v>
      </c>
      <c r="CN1010" s="15" t="s">
        <v>3110</v>
      </c>
      <c r="CW1010" s="10">
        <v>2</v>
      </c>
      <c r="CX1010" s="15" t="s">
        <v>3114</v>
      </c>
    </row>
    <row r="1011" spans="1:102" s="15" customFormat="1" x14ac:dyDescent="0.3">
      <c r="A1011" s="11" t="s">
        <v>2349</v>
      </c>
      <c r="B1011" s="10" t="s">
        <v>3115</v>
      </c>
      <c r="C1011" s="12" t="s">
        <v>3987</v>
      </c>
      <c r="D1011" s="10">
        <v>12</v>
      </c>
      <c r="E1011" s="13">
        <v>1000000</v>
      </c>
      <c r="F1011" s="14" t="s">
        <v>3102</v>
      </c>
      <c r="G1011" s="14" t="s">
        <v>3004</v>
      </c>
      <c r="H1011" s="15" t="s">
        <v>3048</v>
      </c>
      <c r="I1011" s="8"/>
      <c r="J1011" s="10"/>
      <c r="AV1011" s="15" t="s">
        <v>212</v>
      </c>
      <c r="AW1011" s="15" t="s">
        <v>213</v>
      </c>
      <c r="AX1011" s="15" t="s">
        <v>3116</v>
      </c>
      <c r="BH1011" s="15" t="s">
        <v>184</v>
      </c>
      <c r="BI1011" s="15" t="s">
        <v>185</v>
      </c>
      <c r="BJ1011" s="15" t="s">
        <v>2351</v>
      </c>
      <c r="BK1011" s="15" t="s">
        <v>2352</v>
      </c>
      <c r="BL1011" s="15" t="s">
        <v>2353</v>
      </c>
      <c r="BM1011" s="15" t="s">
        <v>2354</v>
      </c>
      <c r="BN1011" s="15" t="s">
        <v>2355</v>
      </c>
      <c r="BO1011" s="15" t="s">
        <v>2356</v>
      </c>
      <c r="BR1011" s="15" t="s">
        <v>192</v>
      </c>
      <c r="BS1011" s="15" t="s">
        <v>193</v>
      </c>
      <c r="BT1011" s="15" t="s">
        <v>194</v>
      </c>
      <c r="BU1011" s="15" t="s">
        <v>195</v>
      </c>
      <c r="BV1011" s="15" t="s">
        <v>196</v>
      </c>
      <c r="BW1011" s="15" t="s">
        <v>272</v>
      </c>
      <c r="CA1011" s="15" t="s">
        <v>2357</v>
      </c>
      <c r="CB1011" s="15" t="s">
        <v>78</v>
      </c>
      <c r="CC1011" s="15">
        <v>1</v>
      </c>
      <c r="CN1011" s="15" t="s">
        <v>273</v>
      </c>
      <c r="CW1011" s="10">
        <v>2</v>
      </c>
      <c r="CX1011" s="15" t="s">
        <v>3117</v>
      </c>
    </row>
    <row r="1012" spans="1:102" s="15" customFormat="1" x14ac:dyDescent="0.3">
      <c r="A1012" s="11" t="s">
        <v>2349</v>
      </c>
      <c r="B1012" s="10" t="s">
        <v>3118</v>
      </c>
      <c r="C1012" s="12" t="s">
        <v>3988</v>
      </c>
      <c r="D1012" s="10">
        <v>12</v>
      </c>
      <c r="E1012" s="13">
        <v>1000000</v>
      </c>
      <c r="F1012" s="14" t="s">
        <v>3102</v>
      </c>
      <c r="G1012" s="14" t="s">
        <v>3004</v>
      </c>
      <c r="H1012" s="15" t="s">
        <v>3048</v>
      </c>
      <c r="I1012" s="8"/>
      <c r="J1012" s="10"/>
      <c r="AV1012" s="15" t="s">
        <v>212</v>
      </c>
      <c r="AW1012" s="15" t="s">
        <v>213</v>
      </c>
      <c r="AX1012" s="15" t="s">
        <v>3119</v>
      </c>
      <c r="BH1012" s="15" t="s">
        <v>184</v>
      </c>
      <c r="BI1012" s="15" t="s">
        <v>185</v>
      </c>
      <c r="BJ1012" s="15" t="s">
        <v>2351</v>
      </c>
      <c r="BK1012" s="15" t="s">
        <v>2352</v>
      </c>
      <c r="BL1012" s="15" t="s">
        <v>2353</v>
      </c>
      <c r="BM1012" s="15" t="s">
        <v>2354</v>
      </c>
      <c r="BN1012" s="15" t="s">
        <v>2355</v>
      </c>
      <c r="BO1012" s="15" t="s">
        <v>2356</v>
      </c>
      <c r="BR1012" s="15" t="s">
        <v>192</v>
      </c>
      <c r="BS1012" s="15" t="s">
        <v>193</v>
      </c>
      <c r="BT1012" s="15" t="s">
        <v>194</v>
      </c>
      <c r="BU1012" s="15" t="s">
        <v>195</v>
      </c>
      <c r="BV1012" s="15" t="s">
        <v>196</v>
      </c>
      <c r="BW1012" s="15" t="s">
        <v>272</v>
      </c>
      <c r="CA1012" s="15" t="s">
        <v>2357</v>
      </c>
      <c r="CB1012" s="15" t="s">
        <v>78</v>
      </c>
      <c r="CC1012" s="15">
        <v>1</v>
      </c>
      <c r="CN1012" s="15" t="s">
        <v>273</v>
      </c>
      <c r="CW1012" s="10">
        <v>2</v>
      </c>
      <c r="CX1012" s="15" t="s">
        <v>3120</v>
      </c>
    </row>
    <row r="1013" spans="1:102" s="15" customFormat="1" x14ac:dyDescent="0.3">
      <c r="A1013" s="11" t="s">
        <v>2349</v>
      </c>
      <c r="B1013" s="10" t="s">
        <v>3121</v>
      </c>
      <c r="C1013" s="12" t="s">
        <v>3989</v>
      </c>
      <c r="D1013" s="10">
        <v>12</v>
      </c>
      <c r="E1013" s="13">
        <v>4000000</v>
      </c>
      <c r="F1013" s="14" t="s">
        <v>3102</v>
      </c>
      <c r="G1013" s="14" t="s">
        <v>3004</v>
      </c>
      <c r="H1013" s="15" t="s">
        <v>254</v>
      </c>
      <c r="I1013" s="8"/>
      <c r="J1013" s="10"/>
      <c r="AV1013" s="15" t="s">
        <v>212</v>
      </c>
      <c r="AW1013" s="15" t="s">
        <v>213</v>
      </c>
      <c r="AX1013" s="15" t="s">
        <v>3122</v>
      </c>
      <c r="BH1013" s="15" t="s">
        <v>184</v>
      </c>
      <c r="BI1013" s="15" t="s">
        <v>185</v>
      </c>
      <c r="BJ1013" s="15" t="s">
        <v>2351</v>
      </c>
      <c r="BK1013" s="15" t="s">
        <v>2352</v>
      </c>
      <c r="BL1013" s="15" t="s">
        <v>2353</v>
      </c>
      <c r="BM1013" s="15" t="s">
        <v>2354</v>
      </c>
      <c r="BN1013" s="15" t="s">
        <v>2355</v>
      </c>
      <c r="BO1013" s="15" t="s">
        <v>2356</v>
      </c>
      <c r="BR1013" s="15" t="s">
        <v>192</v>
      </c>
      <c r="BS1013" s="15" t="s">
        <v>193</v>
      </c>
      <c r="BT1013" s="15" t="s">
        <v>194</v>
      </c>
      <c r="BU1013" s="15" t="s">
        <v>195</v>
      </c>
      <c r="BV1013" s="15" t="s">
        <v>196</v>
      </c>
      <c r="BW1013" s="15" t="s">
        <v>272</v>
      </c>
      <c r="CA1013" s="15" t="s">
        <v>2357</v>
      </c>
      <c r="CB1013" s="15" t="s">
        <v>78</v>
      </c>
      <c r="CC1013" s="15">
        <v>1</v>
      </c>
      <c r="CN1013" s="15" t="s">
        <v>3110</v>
      </c>
      <c r="CW1013" s="10">
        <v>2</v>
      </c>
      <c r="CX1013" s="15" t="s">
        <v>3123</v>
      </c>
    </row>
    <row r="1014" spans="1:102" s="15" customFormat="1" x14ac:dyDescent="0.3">
      <c r="A1014" s="11" t="s">
        <v>2349</v>
      </c>
      <c r="B1014" s="10" t="s">
        <v>3124</v>
      </c>
      <c r="C1014" s="12" t="s">
        <v>3990</v>
      </c>
      <c r="D1014" s="10">
        <v>12</v>
      </c>
      <c r="E1014" s="13">
        <v>4000000</v>
      </c>
      <c r="F1014" s="14" t="s">
        <v>3102</v>
      </c>
      <c r="G1014" s="14" t="s">
        <v>3004</v>
      </c>
      <c r="H1014" s="15" t="s">
        <v>254</v>
      </c>
      <c r="I1014" s="8"/>
      <c r="J1014" s="10"/>
      <c r="AV1014" s="15" t="s">
        <v>212</v>
      </c>
      <c r="AW1014" s="15" t="s">
        <v>213</v>
      </c>
      <c r="AX1014" s="15" t="s">
        <v>3125</v>
      </c>
      <c r="BH1014" s="15" t="s">
        <v>184</v>
      </c>
      <c r="BI1014" s="15" t="s">
        <v>185</v>
      </c>
      <c r="BJ1014" s="15" t="s">
        <v>2351</v>
      </c>
      <c r="BK1014" s="15" t="s">
        <v>2352</v>
      </c>
      <c r="BL1014" s="15" t="s">
        <v>2353</v>
      </c>
      <c r="BM1014" s="15" t="s">
        <v>2354</v>
      </c>
      <c r="BN1014" s="15" t="s">
        <v>2355</v>
      </c>
      <c r="BO1014" s="15" t="s">
        <v>2356</v>
      </c>
      <c r="BR1014" s="15" t="s">
        <v>192</v>
      </c>
      <c r="BS1014" s="15" t="s">
        <v>193</v>
      </c>
      <c r="BT1014" s="15" t="s">
        <v>194</v>
      </c>
      <c r="BU1014" s="15" t="s">
        <v>195</v>
      </c>
      <c r="BV1014" s="15" t="s">
        <v>196</v>
      </c>
      <c r="BW1014" s="15" t="s">
        <v>272</v>
      </c>
      <c r="CA1014" s="15" t="s">
        <v>2357</v>
      </c>
      <c r="CB1014" s="15" t="s">
        <v>78</v>
      </c>
      <c r="CC1014" s="15">
        <v>1</v>
      </c>
      <c r="CN1014" s="15" t="s">
        <v>3110</v>
      </c>
      <c r="CW1014" s="10">
        <v>2</v>
      </c>
      <c r="CX1014" s="15" t="s">
        <v>3126</v>
      </c>
    </row>
    <row r="1015" spans="1:102" s="15" customFormat="1" x14ac:dyDescent="0.3">
      <c r="A1015" s="11" t="s">
        <v>2349</v>
      </c>
      <c r="B1015" s="10" t="s">
        <v>3127</v>
      </c>
      <c r="C1015" s="12" t="s">
        <v>3131</v>
      </c>
      <c r="D1015" s="10">
        <v>12</v>
      </c>
      <c r="E1015" s="13">
        <v>500000</v>
      </c>
      <c r="F1015" s="14" t="s">
        <v>243</v>
      </c>
      <c r="G1015" s="14" t="s">
        <v>244</v>
      </c>
      <c r="H1015" s="15" t="s">
        <v>312</v>
      </c>
      <c r="I1015" s="8"/>
      <c r="J1015" s="10"/>
      <c r="AV1015" s="15" t="s">
        <v>181</v>
      </c>
      <c r="AW1015" s="15" t="s">
        <v>182</v>
      </c>
      <c r="AX1015" s="15" t="s">
        <v>3128</v>
      </c>
      <c r="BH1015" s="15" t="s">
        <v>184</v>
      </c>
      <c r="BI1015" s="15" t="s">
        <v>185</v>
      </c>
      <c r="BJ1015" s="15" t="s">
        <v>2351</v>
      </c>
      <c r="BK1015" s="15" t="s">
        <v>2352</v>
      </c>
      <c r="BL1015" s="15" t="s">
        <v>2353</v>
      </c>
      <c r="BM1015" s="15" t="s">
        <v>2354</v>
      </c>
      <c r="BN1015" s="15" t="s">
        <v>2355</v>
      </c>
      <c r="BO1015" s="15" t="s">
        <v>2356</v>
      </c>
      <c r="BR1015" s="15" t="s">
        <v>192</v>
      </c>
      <c r="BS1015" s="15" t="s">
        <v>193</v>
      </c>
      <c r="BT1015" s="15" t="s">
        <v>194</v>
      </c>
      <c r="BU1015" s="15" t="s">
        <v>195</v>
      </c>
      <c r="BV1015" s="15" t="s">
        <v>196</v>
      </c>
      <c r="BW1015" s="15" t="s">
        <v>272</v>
      </c>
      <c r="CA1015" s="15" t="s">
        <v>2357</v>
      </c>
      <c r="CB1015" s="15" t="s">
        <v>78</v>
      </c>
      <c r="CC1015" s="15">
        <v>1</v>
      </c>
      <c r="CN1015" s="15" t="s">
        <v>273</v>
      </c>
      <c r="CW1015" s="10">
        <v>2</v>
      </c>
      <c r="CX1015" s="15" t="s">
        <v>3129</v>
      </c>
    </row>
    <row r="1016" spans="1:102" s="15" customFormat="1" x14ac:dyDescent="0.3">
      <c r="A1016" s="11" t="s">
        <v>2349</v>
      </c>
      <c r="B1016" s="10" t="s">
        <v>3130</v>
      </c>
      <c r="C1016" s="12" t="s">
        <v>3131</v>
      </c>
      <c r="D1016" s="10">
        <v>12</v>
      </c>
      <c r="E1016" s="13">
        <v>500000</v>
      </c>
      <c r="F1016" s="14" t="s">
        <v>244</v>
      </c>
      <c r="G1016" s="14" t="s">
        <v>244</v>
      </c>
      <c r="H1016" s="15" t="s">
        <v>312</v>
      </c>
      <c r="I1016" s="8"/>
      <c r="J1016" s="10"/>
      <c r="AX1016" s="15" t="s">
        <v>3128</v>
      </c>
      <c r="BH1016" s="15" t="s">
        <v>184</v>
      </c>
      <c r="BI1016" s="15" t="s">
        <v>185</v>
      </c>
      <c r="BJ1016" s="15" t="s">
        <v>2351</v>
      </c>
      <c r="BK1016" s="15" t="s">
        <v>2352</v>
      </c>
      <c r="BL1016" s="15" t="s">
        <v>2353</v>
      </c>
      <c r="BM1016" s="15" t="s">
        <v>2354</v>
      </c>
      <c r="BN1016" s="15" t="s">
        <v>2355</v>
      </c>
      <c r="BO1016" s="15" t="s">
        <v>2356</v>
      </c>
      <c r="BR1016" s="15" t="s">
        <v>192</v>
      </c>
      <c r="BS1016" s="15" t="s">
        <v>193</v>
      </c>
      <c r="BT1016" s="15" t="s">
        <v>194</v>
      </c>
      <c r="BU1016" s="15" t="s">
        <v>195</v>
      </c>
      <c r="BV1016" s="15" t="s">
        <v>196</v>
      </c>
      <c r="BW1016" s="15" t="s">
        <v>272</v>
      </c>
      <c r="CB1016" s="15" t="s">
        <v>128</v>
      </c>
      <c r="CC1016" s="15">
        <v>1</v>
      </c>
      <c r="CN1016" s="15" t="s">
        <v>273</v>
      </c>
      <c r="CW1016" s="10">
        <v>2</v>
      </c>
      <c r="CX1016" s="15" t="s">
        <v>3132</v>
      </c>
    </row>
    <row r="1017" spans="1:102" s="15" customFormat="1" x14ac:dyDescent="0.3">
      <c r="A1017" s="11" t="s">
        <v>2349</v>
      </c>
      <c r="B1017" s="10" t="s">
        <v>3133</v>
      </c>
      <c r="C1017" s="12" t="s">
        <v>3706</v>
      </c>
      <c r="D1017" s="10">
        <v>12</v>
      </c>
      <c r="E1017" s="13">
        <v>10000</v>
      </c>
      <c r="F1017" s="14" t="s">
        <v>243</v>
      </c>
      <c r="G1017" s="14" t="s">
        <v>244</v>
      </c>
      <c r="H1017" s="15" t="s">
        <v>402</v>
      </c>
      <c r="I1017" s="8"/>
      <c r="J1017" s="10"/>
      <c r="AV1017" s="15" t="s">
        <v>181</v>
      </c>
      <c r="AW1017" s="15" t="s">
        <v>182</v>
      </c>
      <c r="AX1017" s="15" t="s">
        <v>3134</v>
      </c>
      <c r="BH1017" s="15" t="s">
        <v>184</v>
      </c>
      <c r="BI1017" s="15" t="s">
        <v>185</v>
      </c>
      <c r="BJ1017" s="15" t="s">
        <v>2351</v>
      </c>
      <c r="BK1017" s="15" t="s">
        <v>2352</v>
      </c>
      <c r="BL1017" s="15" t="s">
        <v>2353</v>
      </c>
      <c r="BM1017" s="15" t="s">
        <v>2354</v>
      </c>
      <c r="BN1017" s="15" t="s">
        <v>2355</v>
      </c>
      <c r="BO1017" s="15" t="s">
        <v>2356</v>
      </c>
      <c r="BR1017" s="15" t="s">
        <v>192</v>
      </c>
      <c r="BS1017" s="15" t="s">
        <v>193</v>
      </c>
      <c r="BT1017" s="15" t="s">
        <v>194</v>
      </c>
      <c r="BU1017" s="15" t="s">
        <v>195</v>
      </c>
      <c r="BV1017" s="15" t="s">
        <v>196</v>
      </c>
      <c r="BW1017" s="15" t="s">
        <v>2936</v>
      </c>
      <c r="CA1017" s="15" t="s">
        <v>2357</v>
      </c>
      <c r="CB1017" s="15" t="s">
        <v>78</v>
      </c>
      <c r="CC1017" s="15">
        <v>1</v>
      </c>
      <c r="CN1017" s="15" t="s">
        <v>198</v>
      </c>
      <c r="CW1017" s="10">
        <v>2</v>
      </c>
      <c r="CX1017" s="15" t="s">
        <v>3135</v>
      </c>
    </row>
    <row r="1018" spans="1:102" s="15" customFormat="1" x14ac:dyDescent="0.3">
      <c r="A1018" s="11" t="s">
        <v>2349</v>
      </c>
      <c r="B1018" s="10" t="s">
        <v>3136</v>
      </c>
      <c r="C1018" s="12" t="s">
        <v>3708</v>
      </c>
      <c r="D1018" s="10">
        <v>12</v>
      </c>
      <c r="E1018" s="13">
        <v>10000</v>
      </c>
      <c r="F1018" s="14" t="s">
        <v>243</v>
      </c>
      <c r="G1018" s="14" t="s">
        <v>244</v>
      </c>
      <c r="H1018" s="15" t="s">
        <v>402</v>
      </c>
      <c r="I1018" s="8"/>
      <c r="J1018" s="10"/>
      <c r="AV1018" s="15" t="s">
        <v>181</v>
      </c>
      <c r="AW1018" s="15" t="s">
        <v>182</v>
      </c>
      <c r="AX1018" s="15" t="s">
        <v>3137</v>
      </c>
      <c r="BH1018" s="15" t="s">
        <v>184</v>
      </c>
      <c r="BI1018" s="15" t="s">
        <v>185</v>
      </c>
      <c r="BJ1018" s="15" t="s">
        <v>2351</v>
      </c>
      <c r="BK1018" s="15" t="s">
        <v>2352</v>
      </c>
      <c r="BL1018" s="15" t="s">
        <v>2353</v>
      </c>
      <c r="BM1018" s="15" t="s">
        <v>2354</v>
      </c>
      <c r="BN1018" s="15" t="s">
        <v>2355</v>
      </c>
      <c r="BO1018" s="15" t="s">
        <v>2356</v>
      </c>
      <c r="BR1018" s="15" t="s">
        <v>192</v>
      </c>
      <c r="BS1018" s="15" t="s">
        <v>193</v>
      </c>
      <c r="BT1018" s="15" t="s">
        <v>194</v>
      </c>
      <c r="BU1018" s="15" t="s">
        <v>195</v>
      </c>
      <c r="BV1018" s="15" t="s">
        <v>196</v>
      </c>
      <c r="BW1018" s="15" t="s">
        <v>2936</v>
      </c>
      <c r="CA1018" s="15" t="s">
        <v>2357</v>
      </c>
      <c r="CB1018" s="15" t="s">
        <v>78</v>
      </c>
      <c r="CC1018" s="15">
        <v>1</v>
      </c>
      <c r="CN1018" s="15" t="s">
        <v>198</v>
      </c>
      <c r="CW1018" s="10">
        <v>2</v>
      </c>
      <c r="CX1018" s="15" t="s">
        <v>3138</v>
      </c>
    </row>
    <row r="1019" spans="1:102" s="15" customFormat="1" x14ac:dyDescent="0.3">
      <c r="A1019" s="11" t="s">
        <v>2349</v>
      </c>
      <c r="B1019" s="10" t="s">
        <v>3139</v>
      </c>
      <c r="C1019" s="12" t="s">
        <v>3710</v>
      </c>
      <c r="D1019" s="10">
        <v>12</v>
      </c>
      <c r="E1019" s="13">
        <v>10000</v>
      </c>
      <c r="F1019" s="14" t="s">
        <v>243</v>
      </c>
      <c r="G1019" s="14" t="s">
        <v>244</v>
      </c>
      <c r="H1019" s="15" t="s">
        <v>402</v>
      </c>
      <c r="I1019" s="8"/>
      <c r="J1019" s="10"/>
      <c r="AV1019" s="15" t="s">
        <v>181</v>
      </c>
      <c r="AW1019" s="15" t="s">
        <v>182</v>
      </c>
      <c r="AX1019" s="15" t="s">
        <v>3140</v>
      </c>
      <c r="BH1019" s="15" t="s">
        <v>184</v>
      </c>
      <c r="BI1019" s="15" t="s">
        <v>185</v>
      </c>
      <c r="BJ1019" s="15" t="s">
        <v>2351</v>
      </c>
      <c r="BK1019" s="15" t="s">
        <v>2352</v>
      </c>
      <c r="BL1019" s="15" t="s">
        <v>2353</v>
      </c>
      <c r="BM1019" s="15" t="s">
        <v>2354</v>
      </c>
      <c r="BN1019" s="15" t="s">
        <v>2355</v>
      </c>
      <c r="BO1019" s="15" t="s">
        <v>2356</v>
      </c>
      <c r="BR1019" s="15" t="s">
        <v>192</v>
      </c>
      <c r="BS1019" s="15" t="s">
        <v>193</v>
      </c>
      <c r="BT1019" s="15" t="s">
        <v>194</v>
      </c>
      <c r="BU1019" s="15" t="s">
        <v>195</v>
      </c>
      <c r="BV1019" s="15" t="s">
        <v>196</v>
      </c>
      <c r="BW1019" s="15" t="s">
        <v>2936</v>
      </c>
      <c r="CA1019" s="15" t="s">
        <v>2357</v>
      </c>
      <c r="CB1019" s="15" t="s">
        <v>78</v>
      </c>
      <c r="CC1019" s="15">
        <v>1</v>
      </c>
      <c r="CN1019" s="15" t="s">
        <v>198</v>
      </c>
      <c r="CW1019" s="10">
        <v>2</v>
      </c>
      <c r="CX1019" s="15" t="s">
        <v>3141</v>
      </c>
    </row>
    <row r="1020" spans="1:102" s="15" customFormat="1" x14ac:dyDescent="0.3">
      <c r="A1020" s="11" t="s">
        <v>2349</v>
      </c>
      <c r="B1020" s="10" t="s">
        <v>3142</v>
      </c>
      <c r="C1020" s="12" t="s">
        <v>3712</v>
      </c>
      <c r="D1020" s="10">
        <v>12</v>
      </c>
      <c r="E1020" s="13">
        <v>10000</v>
      </c>
      <c r="F1020" s="14" t="s">
        <v>243</v>
      </c>
      <c r="G1020" s="14" t="s">
        <v>244</v>
      </c>
      <c r="H1020" s="15" t="s">
        <v>3143</v>
      </c>
      <c r="I1020" s="8"/>
      <c r="J1020" s="10"/>
      <c r="AV1020" s="15" t="s">
        <v>181</v>
      </c>
      <c r="AW1020" s="15" t="s">
        <v>182</v>
      </c>
      <c r="AX1020" s="15" t="s">
        <v>3144</v>
      </c>
      <c r="AY1020" s="15" t="s">
        <v>3145</v>
      </c>
      <c r="BH1020" s="15" t="s">
        <v>184</v>
      </c>
      <c r="BI1020" s="15" t="s">
        <v>185</v>
      </c>
      <c r="BJ1020" s="15" t="s">
        <v>2351</v>
      </c>
      <c r="BK1020" s="15" t="s">
        <v>2352</v>
      </c>
      <c r="BL1020" s="15" t="s">
        <v>2353</v>
      </c>
      <c r="BM1020" s="15" t="s">
        <v>2354</v>
      </c>
      <c r="BN1020" s="15" t="s">
        <v>2355</v>
      </c>
      <c r="BO1020" s="15" t="s">
        <v>2356</v>
      </c>
      <c r="BR1020" s="15" t="s">
        <v>192</v>
      </c>
      <c r="BS1020" s="15" t="s">
        <v>193</v>
      </c>
      <c r="BT1020" s="15" t="s">
        <v>194</v>
      </c>
      <c r="BU1020" s="15" t="s">
        <v>195</v>
      </c>
      <c r="BV1020" s="15" t="s">
        <v>196</v>
      </c>
      <c r="BW1020" s="15" t="s">
        <v>2936</v>
      </c>
      <c r="CA1020" s="15" t="s">
        <v>2357</v>
      </c>
      <c r="CB1020" s="15" t="s">
        <v>78</v>
      </c>
      <c r="CC1020" s="15">
        <v>1</v>
      </c>
      <c r="CN1020" s="15" t="s">
        <v>198</v>
      </c>
      <c r="CW1020" s="10">
        <v>2</v>
      </c>
      <c r="CX1020" s="15" t="s">
        <v>3146</v>
      </c>
    </row>
    <row r="1021" spans="1:102" s="15" customFormat="1" x14ac:dyDescent="0.3">
      <c r="A1021" s="11" t="s">
        <v>2349</v>
      </c>
      <c r="B1021" s="10" t="s">
        <v>3147</v>
      </c>
      <c r="C1021" s="12" t="s">
        <v>3714</v>
      </c>
      <c r="D1021" s="10">
        <v>12</v>
      </c>
      <c r="E1021" s="13">
        <v>10000</v>
      </c>
      <c r="F1021" s="14" t="s">
        <v>243</v>
      </c>
      <c r="G1021" s="14" t="s">
        <v>244</v>
      </c>
      <c r="H1021" s="15" t="s">
        <v>3143</v>
      </c>
      <c r="I1021" s="8"/>
      <c r="J1021" s="10"/>
      <c r="AV1021" s="15" t="s">
        <v>181</v>
      </c>
      <c r="AW1021" s="15" t="s">
        <v>182</v>
      </c>
      <c r="AX1021" s="15" t="s">
        <v>3148</v>
      </c>
      <c r="AY1021" s="15" t="s">
        <v>3149</v>
      </c>
      <c r="BH1021" s="15" t="s">
        <v>184</v>
      </c>
      <c r="BI1021" s="15" t="s">
        <v>185</v>
      </c>
      <c r="BJ1021" s="15" t="s">
        <v>2351</v>
      </c>
      <c r="BK1021" s="15" t="s">
        <v>2352</v>
      </c>
      <c r="BL1021" s="15" t="s">
        <v>2353</v>
      </c>
      <c r="BM1021" s="15" t="s">
        <v>2354</v>
      </c>
      <c r="BN1021" s="15" t="s">
        <v>2355</v>
      </c>
      <c r="BO1021" s="15" t="s">
        <v>2356</v>
      </c>
      <c r="BR1021" s="15" t="s">
        <v>192</v>
      </c>
      <c r="BS1021" s="15" t="s">
        <v>193</v>
      </c>
      <c r="BT1021" s="15" t="s">
        <v>194</v>
      </c>
      <c r="BU1021" s="15" t="s">
        <v>195</v>
      </c>
      <c r="BV1021" s="15" t="s">
        <v>196</v>
      </c>
      <c r="BW1021" s="15" t="s">
        <v>2936</v>
      </c>
      <c r="CA1021" s="15" t="s">
        <v>2357</v>
      </c>
      <c r="CB1021" s="15" t="s">
        <v>78</v>
      </c>
      <c r="CC1021" s="15">
        <v>1</v>
      </c>
      <c r="CN1021" s="15" t="s">
        <v>198</v>
      </c>
      <c r="CW1021" s="10">
        <v>2</v>
      </c>
      <c r="CX1021" s="15" t="s">
        <v>3150</v>
      </c>
    </row>
    <row r="1022" spans="1:102" s="15" customFormat="1" x14ac:dyDescent="0.3">
      <c r="A1022" s="11" t="s">
        <v>2349</v>
      </c>
      <c r="B1022" s="10" t="s">
        <v>3151</v>
      </c>
      <c r="C1022" s="12" t="s">
        <v>3991</v>
      </c>
      <c r="D1022" s="10">
        <v>12</v>
      </c>
      <c r="E1022" s="13">
        <v>1000000</v>
      </c>
      <c r="F1022" s="14" t="s">
        <v>243</v>
      </c>
      <c r="G1022" s="14" t="s">
        <v>244</v>
      </c>
      <c r="H1022" s="15" t="s">
        <v>211</v>
      </c>
      <c r="I1022" s="8"/>
      <c r="J1022" s="10"/>
      <c r="AV1022" s="15" t="s">
        <v>181</v>
      </c>
      <c r="AW1022" s="15" t="s">
        <v>182</v>
      </c>
      <c r="AX1022" s="15" t="s">
        <v>3152</v>
      </c>
      <c r="BH1022" s="15" t="s">
        <v>184</v>
      </c>
      <c r="BI1022" s="15" t="s">
        <v>185</v>
      </c>
      <c r="BJ1022" s="15" t="s">
        <v>2351</v>
      </c>
      <c r="BK1022" s="15" t="s">
        <v>2352</v>
      </c>
      <c r="BL1022" s="15" t="s">
        <v>2353</v>
      </c>
      <c r="BM1022" s="15" t="s">
        <v>2354</v>
      </c>
      <c r="BN1022" s="15" t="s">
        <v>2355</v>
      </c>
      <c r="BO1022" s="15" t="s">
        <v>2356</v>
      </c>
      <c r="BR1022" s="15" t="s">
        <v>192</v>
      </c>
      <c r="BS1022" s="15" t="s">
        <v>193</v>
      </c>
      <c r="BT1022" s="15" t="s">
        <v>194</v>
      </c>
      <c r="BU1022" s="15" t="s">
        <v>195</v>
      </c>
      <c r="BV1022" s="15" t="s">
        <v>196</v>
      </c>
      <c r="BW1022" s="15" t="s">
        <v>194</v>
      </c>
      <c r="CA1022" s="15" t="s">
        <v>2357</v>
      </c>
      <c r="CB1022" s="15" t="s">
        <v>78</v>
      </c>
      <c r="CC1022" s="15">
        <v>1</v>
      </c>
      <c r="CN1022" s="15" t="s">
        <v>198</v>
      </c>
      <c r="CW1022" s="10">
        <v>2</v>
      </c>
      <c r="CX1022" s="15" t="s">
        <v>3153</v>
      </c>
    </row>
    <row r="1023" spans="1:102" s="15" customFormat="1" x14ac:dyDescent="0.3">
      <c r="A1023" s="11" t="s">
        <v>2349</v>
      </c>
      <c r="B1023" s="10" t="s">
        <v>3154</v>
      </c>
      <c r="C1023" s="12" t="s">
        <v>3992</v>
      </c>
      <c r="D1023" s="10">
        <v>12</v>
      </c>
      <c r="E1023" s="13">
        <v>100000</v>
      </c>
      <c r="F1023" s="14" t="s">
        <v>243</v>
      </c>
      <c r="G1023" s="14" t="s">
        <v>244</v>
      </c>
      <c r="H1023" s="15" t="s">
        <v>254</v>
      </c>
      <c r="I1023" s="8"/>
      <c r="J1023" s="10"/>
      <c r="AV1023" s="15" t="s">
        <v>181</v>
      </c>
      <c r="AW1023" s="15" t="s">
        <v>182</v>
      </c>
      <c r="AX1023" s="15" t="s">
        <v>3155</v>
      </c>
      <c r="BH1023" s="15" t="s">
        <v>184</v>
      </c>
      <c r="BI1023" s="15" t="s">
        <v>185</v>
      </c>
      <c r="BJ1023" s="15" t="s">
        <v>2351</v>
      </c>
      <c r="BK1023" s="15" t="s">
        <v>2352</v>
      </c>
      <c r="BL1023" s="15" t="s">
        <v>2353</v>
      </c>
      <c r="BM1023" s="15" t="s">
        <v>2354</v>
      </c>
      <c r="BN1023" s="15" t="s">
        <v>2355</v>
      </c>
      <c r="BO1023" s="15" t="s">
        <v>2356</v>
      </c>
      <c r="BR1023" s="15" t="s">
        <v>192</v>
      </c>
      <c r="BS1023" s="15" t="s">
        <v>193</v>
      </c>
      <c r="BT1023" s="15" t="s">
        <v>194</v>
      </c>
      <c r="BU1023" s="15" t="s">
        <v>195</v>
      </c>
      <c r="BV1023" s="15" t="s">
        <v>196</v>
      </c>
      <c r="BW1023" s="15" t="s">
        <v>251</v>
      </c>
      <c r="CA1023" s="15" t="s">
        <v>2357</v>
      </c>
      <c r="CB1023" s="15" t="s">
        <v>78</v>
      </c>
      <c r="CC1023" s="15">
        <v>1</v>
      </c>
      <c r="CN1023" s="15" t="s">
        <v>198</v>
      </c>
      <c r="CW1023" s="10">
        <v>2</v>
      </c>
      <c r="CX1023" s="15" t="s">
        <v>3156</v>
      </c>
    </row>
    <row r="1024" spans="1:102" s="15" customFormat="1" x14ac:dyDescent="0.3">
      <c r="A1024" s="11" t="s">
        <v>2349</v>
      </c>
      <c r="B1024" s="10" t="s">
        <v>3157</v>
      </c>
      <c r="C1024" s="12" t="s">
        <v>3741</v>
      </c>
      <c r="D1024" s="10">
        <v>12</v>
      </c>
      <c r="E1024" s="13">
        <v>10000</v>
      </c>
      <c r="F1024" s="14" t="s">
        <v>243</v>
      </c>
      <c r="G1024" s="14" t="s">
        <v>244</v>
      </c>
      <c r="H1024" s="15" t="s">
        <v>254</v>
      </c>
      <c r="I1024" s="8"/>
      <c r="J1024" s="10"/>
      <c r="AV1024" s="15" t="s">
        <v>181</v>
      </c>
      <c r="AW1024" s="15" t="s">
        <v>182</v>
      </c>
      <c r="AX1024" s="15" t="s">
        <v>3158</v>
      </c>
      <c r="BH1024" s="15" t="s">
        <v>184</v>
      </c>
      <c r="BI1024" s="15" t="s">
        <v>185</v>
      </c>
      <c r="BJ1024" s="15" t="s">
        <v>2351</v>
      </c>
      <c r="BK1024" s="15" t="s">
        <v>2352</v>
      </c>
      <c r="BL1024" s="15" t="s">
        <v>2353</v>
      </c>
      <c r="BM1024" s="15" t="s">
        <v>2354</v>
      </c>
      <c r="BN1024" s="15" t="s">
        <v>2355</v>
      </c>
      <c r="BO1024" s="15" t="s">
        <v>2356</v>
      </c>
      <c r="BR1024" s="15" t="s">
        <v>192</v>
      </c>
      <c r="BS1024" s="15" t="s">
        <v>193</v>
      </c>
      <c r="BT1024" s="15" t="s">
        <v>194</v>
      </c>
      <c r="BU1024" s="15" t="s">
        <v>195</v>
      </c>
      <c r="BV1024" s="15" t="s">
        <v>196</v>
      </c>
      <c r="BW1024" s="15" t="s">
        <v>2936</v>
      </c>
      <c r="CA1024" s="15" t="s">
        <v>2357</v>
      </c>
      <c r="CB1024" s="15" t="s">
        <v>78</v>
      </c>
      <c r="CC1024" s="15">
        <v>1</v>
      </c>
      <c r="CN1024" s="15" t="s">
        <v>198</v>
      </c>
      <c r="CW1024" s="10">
        <v>2</v>
      </c>
      <c r="CX1024" s="15" t="s">
        <v>3159</v>
      </c>
    </row>
    <row r="1025" spans="1:102" s="15" customFormat="1" x14ac:dyDescent="0.3">
      <c r="A1025" s="11" t="s">
        <v>2349</v>
      </c>
      <c r="B1025" s="10" t="s">
        <v>3160</v>
      </c>
      <c r="C1025" s="12" t="s">
        <v>3743</v>
      </c>
      <c r="D1025" s="10">
        <v>12</v>
      </c>
      <c r="E1025" s="13">
        <v>10000</v>
      </c>
      <c r="F1025" s="14" t="s">
        <v>243</v>
      </c>
      <c r="G1025" s="14" t="s">
        <v>244</v>
      </c>
      <c r="H1025" s="15" t="s">
        <v>402</v>
      </c>
      <c r="I1025" s="8"/>
      <c r="J1025" s="10"/>
      <c r="AV1025" s="15" t="s">
        <v>181</v>
      </c>
      <c r="AW1025" s="15" t="s">
        <v>182</v>
      </c>
      <c r="AX1025" s="15" t="s">
        <v>3161</v>
      </c>
      <c r="BH1025" s="15" t="s">
        <v>184</v>
      </c>
      <c r="BI1025" s="15" t="s">
        <v>185</v>
      </c>
      <c r="BJ1025" s="15" t="s">
        <v>2351</v>
      </c>
      <c r="BK1025" s="15" t="s">
        <v>2352</v>
      </c>
      <c r="BL1025" s="15" t="s">
        <v>2353</v>
      </c>
      <c r="BM1025" s="15" t="s">
        <v>2354</v>
      </c>
      <c r="BN1025" s="15" t="s">
        <v>2355</v>
      </c>
      <c r="BO1025" s="15" t="s">
        <v>2356</v>
      </c>
      <c r="BR1025" s="15" t="s">
        <v>192</v>
      </c>
      <c r="BS1025" s="15" t="s">
        <v>193</v>
      </c>
      <c r="BT1025" s="15" t="s">
        <v>194</v>
      </c>
      <c r="BU1025" s="15" t="s">
        <v>195</v>
      </c>
      <c r="BV1025" s="15" t="s">
        <v>196</v>
      </c>
      <c r="BW1025" s="15" t="s">
        <v>2936</v>
      </c>
      <c r="CA1025" s="15" t="s">
        <v>2357</v>
      </c>
      <c r="CB1025" s="15" t="s">
        <v>78</v>
      </c>
      <c r="CC1025" s="15">
        <v>1</v>
      </c>
      <c r="CN1025" s="15" t="s">
        <v>198</v>
      </c>
      <c r="CW1025" s="10">
        <v>2</v>
      </c>
      <c r="CX1025" s="15" t="s">
        <v>3162</v>
      </c>
    </row>
    <row r="1026" spans="1:102" s="15" customFormat="1" x14ac:dyDescent="0.3">
      <c r="A1026" s="11" t="s">
        <v>2349</v>
      </c>
      <c r="B1026" s="10" t="s">
        <v>3163</v>
      </c>
      <c r="C1026" s="12" t="s">
        <v>3745</v>
      </c>
      <c r="D1026" s="10">
        <v>12</v>
      </c>
      <c r="E1026" s="13">
        <v>10000</v>
      </c>
      <c r="F1026" s="14" t="s">
        <v>243</v>
      </c>
      <c r="G1026" s="14" t="s">
        <v>244</v>
      </c>
      <c r="H1026" s="15" t="s">
        <v>254</v>
      </c>
      <c r="I1026" s="8"/>
      <c r="J1026" s="10"/>
      <c r="AV1026" s="15" t="s">
        <v>181</v>
      </c>
      <c r="AW1026" s="15" t="s">
        <v>182</v>
      </c>
      <c r="AX1026" s="15" t="s">
        <v>3164</v>
      </c>
      <c r="BH1026" s="15" t="s">
        <v>184</v>
      </c>
      <c r="BI1026" s="15" t="s">
        <v>185</v>
      </c>
      <c r="BJ1026" s="15" t="s">
        <v>2351</v>
      </c>
      <c r="BK1026" s="15" t="s">
        <v>2352</v>
      </c>
      <c r="BL1026" s="15" t="s">
        <v>2353</v>
      </c>
      <c r="BM1026" s="15" t="s">
        <v>2354</v>
      </c>
      <c r="BN1026" s="15" t="s">
        <v>2355</v>
      </c>
      <c r="BO1026" s="15" t="s">
        <v>2356</v>
      </c>
      <c r="BR1026" s="15" t="s">
        <v>192</v>
      </c>
      <c r="BS1026" s="15" t="s">
        <v>193</v>
      </c>
      <c r="BT1026" s="15" t="s">
        <v>194</v>
      </c>
      <c r="BU1026" s="15" t="s">
        <v>195</v>
      </c>
      <c r="BV1026" s="15" t="s">
        <v>196</v>
      </c>
      <c r="BW1026" s="15" t="s">
        <v>2936</v>
      </c>
      <c r="CA1026" s="15" t="s">
        <v>2357</v>
      </c>
      <c r="CB1026" s="15" t="s">
        <v>78</v>
      </c>
      <c r="CC1026" s="15">
        <v>1</v>
      </c>
      <c r="CN1026" s="15" t="s">
        <v>198</v>
      </c>
      <c r="CW1026" s="10">
        <v>2</v>
      </c>
      <c r="CX1026" s="15" t="s">
        <v>3165</v>
      </c>
    </row>
    <row r="1027" spans="1:102" s="15" customFormat="1" x14ac:dyDescent="0.3">
      <c r="A1027" s="11" t="s">
        <v>2349</v>
      </c>
      <c r="B1027" s="10" t="s">
        <v>3166</v>
      </c>
      <c r="C1027" s="12" t="s">
        <v>3747</v>
      </c>
      <c r="D1027" s="10">
        <v>12</v>
      </c>
      <c r="E1027" s="13">
        <v>10000</v>
      </c>
      <c r="F1027" s="14" t="s">
        <v>243</v>
      </c>
      <c r="G1027" s="14" t="s">
        <v>244</v>
      </c>
      <c r="H1027" s="15" t="s">
        <v>3167</v>
      </c>
      <c r="I1027" s="8"/>
      <c r="J1027" s="10"/>
      <c r="AV1027" s="15" t="s">
        <v>181</v>
      </c>
      <c r="AW1027" s="15" t="s">
        <v>182</v>
      </c>
      <c r="AX1027" s="15" t="s">
        <v>3168</v>
      </c>
      <c r="AY1027" s="15" t="s">
        <v>3169</v>
      </c>
      <c r="BH1027" s="15" t="s">
        <v>184</v>
      </c>
      <c r="BI1027" s="15" t="s">
        <v>185</v>
      </c>
      <c r="BJ1027" s="15" t="s">
        <v>2351</v>
      </c>
      <c r="BK1027" s="15" t="s">
        <v>2352</v>
      </c>
      <c r="BL1027" s="15" t="s">
        <v>2353</v>
      </c>
      <c r="BM1027" s="15" t="s">
        <v>2354</v>
      </c>
      <c r="BN1027" s="15" t="s">
        <v>2355</v>
      </c>
      <c r="BO1027" s="15" t="s">
        <v>2356</v>
      </c>
      <c r="BR1027" s="15" t="s">
        <v>192</v>
      </c>
      <c r="BS1027" s="15" t="s">
        <v>193</v>
      </c>
      <c r="BT1027" s="15" t="s">
        <v>194</v>
      </c>
      <c r="BU1027" s="15" t="s">
        <v>195</v>
      </c>
      <c r="BV1027" s="15" t="s">
        <v>196</v>
      </c>
      <c r="BW1027" s="15" t="s">
        <v>2936</v>
      </c>
      <c r="CA1027" s="15" t="s">
        <v>2357</v>
      </c>
      <c r="CB1027" s="15" t="s">
        <v>78</v>
      </c>
      <c r="CC1027" s="15">
        <v>1</v>
      </c>
      <c r="CN1027" s="15" t="s">
        <v>198</v>
      </c>
      <c r="CW1027" s="10">
        <v>2</v>
      </c>
      <c r="CX1027" s="15" t="s">
        <v>3170</v>
      </c>
    </row>
    <row r="1028" spans="1:102" s="15" customFormat="1" x14ac:dyDescent="0.3">
      <c r="A1028" s="11" t="s">
        <v>2349</v>
      </c>
      <c r="B1028" s="10" t="s">
        <v>3171</v>
      </c>
      <c r="C1028" s="12" t="s">
        <v>3749</v>
      </c>
      <c r="D1028" s="10">
        <v>12</v>
      </c>
      <c r="E1028" s="13">
        <v>10000</v>
      </c>
      <c r="F1028" s="14" t="s">
        <v>243</v>
      </c>
      <c r="G1028" s="14" t="s">
        <v>244</v>
      </c>
      <c r="H1028" s="15" t="s">
        <v>254</v>
      </c>
      <c r="I1028" s="8"/>
      <c r="J1028" s="10"/>
      <c r="AV1028" s="15" t="s">
        <v>181</v>
      </c>
      <c r="AW1028" s="15" t="s">
        <v>182</v>
      </c>
      <c r="AX1028" s="15" t="s">
        <v>3172</v>
      </c>
      <c r="BH1028" s="15" t="s">
        <v>184</v>
      </c>
      <c r="BI1028" s="15" t="s">
        <v>185</v>
      </c>
      <c r="BJ1028" s="15" t="s">
        <v>2351</v>
      </c>
      <c r="BK1028" s="15" t="s">
        <v>2352</v>
      </c>
      <c r="BL1028" s="15" t="s">
        <v>2353</v>
      </c>
      <c r="BM1028" s="15" t="s">
        <v>2354</v>
      </c>
      <c r="BN1028" s="15" t="s">
        <v>2355</v>
      </c>
      <c r="BO1028" s="15" t="s">
        <v>2356</v>
      </c>
      <c r="BR1028" s="15" t="s">
        <v>192</v>
      </c>
      <c r="BS1028" s="15" t="s">
        <v>193</v>
      </c>
      <c r="BT1028" s="15" t="s">
        <v>194</v>
      </c>
      <c r="BU1028" s="15" t="s">
        <v>195</v>
      </c>
      <c r="BV1028" s="15" t="s">
        <v>196</v>
      </c>
      <c r="BW1028" s="15" t="s">
        <v>2936</v>
      </c>
      <c r="CA1028" s="15" t="s">
        <v>2357</v>
      </c>
      <c r="CB1028" s="15" t="s">
        <v>78</v>
      </c>
      <c r="CC1028" s="15">
        <v>1</v>
      </c>
      <c r="CN1028" s="15" t="s">
        <v>198</v>
      </c>
      <c r="CW1028" s="10">
        <v>2</v>
      </c>
      <c r="CX1028" s="15" t="s">
        <v>3173</v>
      </c>
    </row>
    <row r="1029" spans="1:102" s="15" customFormat="1" x14ac:dyDescent="0.3">
      <c r="A1029" s="11" t="s">
        <v>2349</v>
      </c>
      <c r="B1029" s="10" t="s">
        <v>3174</v>
      </c>
      <c r="C1029" s="12" t="s">
        <v>3993</v>
      </c>
      <c r="D1029" s="10">
        <v>12</v>
      </c>
      <c r="E1029" s="13">
        <v>10000</v>
      </c>
      <c r="F1029" s="14" t="s">
        <v>243</v>
      </c>
      <c r="G1029" s="14" t="s">
        <v>244</v>
      </c>
      <c r="H1029" s="15" t="s">
        <v>254</v>
      </c>
      <c r="I1029" s="8"/>
      <c r="J1029" s="10"/>
      <c r="AV1029" s="15" t="s">
        <v>181</v>
      </c>
      <c r="AW1029" s="15" t="s">
        <v>182</v>
      </c>
      <c r="AX1029" s="15" t="s">
        <v>3175</v>
      </c>
      <c r="BH1029" s="15" t="s">
        <v>184</v>
      </c>
      <c r="BI1029" s="15" t="s">
        <v>185</v>
      </c>
      <c r="BJ1029" s="15" t="s">
        <v>2351</v>
      </c>
      <c r="BK1029" s="15" t="s">
        <v>2352</v>
      </c>
      <c r="BL1029" s="15" t="s">
        <v>2353</v>
      </c>
      <c r="BM1029" s="15" t="s">
        <v>2354</v>
      </c>
      <c r="BN1029" s="15" t="s">
        <v>2355</v>
      </c>
      <c r="BO1029" s="15" t="s">
        <v>2356</v>
      </c>
      <c r="BR1029" s="15" t="s">
        <v>192</v>
      </c>
      <c r="BS1029" s="15" t="s">
        <v>193</v>
      </c>
      <c r="BT1029" s="15" t="s">
        <v>194</v>
      </c>
      <c r="BU1029" s="15" t="s">
        <v>195</v>
      </c>
      <c r="BV1029" s="15" t="s">
        <v>196</v>
      </c>
      <c r="BW1029" s="15" t="s">
        <v>2936</v>
      </c>
      <c r="CA1029" s="15" t="s">
        <v>2357</v>
      </c>
      <c r="CB1029" s="15" t="s">
        <v>78</v>
      </c>
      <c r="CC1029" s="15">
        <v>1</v>
      </c>
      <c r="CN1029" s="15" t="s">
        <v>198</v>
      </c>
      <c r="CW1029" s="10">
        <v>2</v>
      </c>
      <c r="CX1029" s="15" t="s">
        <v>3176</v>
      </c>
    </row>
    <row r="1030" spans="1:102" s="15" customFormat="1" x14ac:dyDescent="0.3">
      <c r="A1030" s="11" t="s">
        <v>2349</v>
      </c>
      <c r="B1030" s="10" t="s">
        <v>3177</v>
      </c>
      <c r="C1030" s="12" t="s">
        <v>3994</v>
      </c>
      <c r="D1030" s="10">
        <v>12</v>
      </c>
      <c r="E1030" s="13">
        <v>10000</v>
      </c>
      <c r="F1030" s="14" t="s">
        <v>243</v>
      </c>
      <c r="G1030" s="14" t="s">
        <v>244</v>
      </c>
      <c r="H1030" s="15" t="s">
        <v>254</v>
      </c>
      <c r="I1030" s="8"/>
      <c r="J1030" s="10"/>
      <c r="AV1030" s="15" t="s">
        <v>181</v>
      </c>
      <c r="AW1030" s="15" t="s">
        <v>182</v>
      </c>
      <c r="AX1030" s="15" t="s">
        <v>3178</v>
      </c>
      <c r="BH1030" s="15" t="s">
        <v>184</v>
      </c>
      <c r="BI1030" s="15" t="s">
        <v>185</v>
      </c>
      <c r="BJ1030" s="15" t="s">
        <v>2351</v>
      </c>
      <c r="BK1030" s="15" t="s">
        <v>2352</v>
      </c>
      <c r="BL1030" s="15" t="s">
        <v>2353</v>
      </c>
      <c r="BM1030" s="15" t="s">
        <v>2354</v>
      </c>
      <c r="BN1030" s="15" t="s">
        <v>2355</v>
      </c>
      <c r="BO1030" s="15" t="s">
        <v>2356</v>
      </c>
      <c r="BR1030" s="15" t="s">
        <v>192</v>
      </c>
      <c r="BS1030" s="15" t="s">
        <v>193</v>
      </c>
      <c r="BT1030" s="15" t="s">
        <v>194</v>
      </c>
      <c r="BU1030" s="15" t="s">
        <v>195</v>
      </c>
      <c r="BV1030" s="15" t="s">
        <v>196</v>
      </c>
      <c r="BW1030" s="15" t="s">
        <v>2936</v>
      </c>
      <c r="CA1030" s="15" t="s">
        <v>2357</v>
      </c>
      <c r="CB1030" s="15" t="s">
        <v>78</v>
      </c>
      <c r="CC1030" s="15">
        <v>1</v>
      </c>
      <c r="CN1030" s="15" t="s">
        <v>198</v>
      </c>
      <c r="CW1030" s="10">
        <v>2</v>
      </c>
      <c r="CX1030" s="15" t="s">
        <v>3179</v>
      </c>
    </row>
    <row r="1031" spans="1:102" s="15" customFormat="1" x14ac:dyDescent="0.3">
      <c r="A1031" s="11" t="s">
        <v>2349</v>
      </c>
      <c r="B1031" s="10" t="s">
        <v>3180</v>
      </c>
      <c r="C1031" s="12" t="s">
        <v>3995</v>
      </c>
      <c r="D1031" s="10">
        <v>12</v>
      </c>
      <c r="E1031" s="13">
        <v>10000</v>
      </c>
      <c r="F1031" s="14" t="s">
        <v>243</v>
      </c>
      <c r="G1031" s="14" t="s">
        <v>244</v>
      </c>
      <c r="H1031" s="15" t="s">
        <v>254</v>
      </c>
      <c r="I1031" s="8"/>
      <c r="J1031" s="10"/>
      <c r="AV1031" s="15" t="s">
        <v>181</v>
      </c>
      <c r="AW1031" s="15" t="s">
        <v>182</v>
      </c>
      <c r="AX1031" s="15" t="s">
        <v>3181</v>
      </c>
      <c r="BH1031" s="15" t="s">
        <v>184</v>
      </c>
      <c r="BI1031" s="15" t="s">
        <v>185</v>
      </c>
      <c r="BJ1031" s="15" t="s">
        <v>2351</v>
      </c>
      <c r="BK1031" s="15" t="s">
        <v>2352</v>
      </c>
      <c r="BL1031" s="15" t="s">
        <v>2353</v>
      </c>
      <c r="BM1031" s="15" t="s">
        <v>2354</v>
      </c>
      <c r="BN1031" s="15" t="s">
        <v>2355</v>
      </c>
      <c r="BO1031" s="15" t="s">
        <v>2356</v>
      </c>
      <c r="BR1031" s="15" t="s">
        <v>192</v>
      </c>
      <c r="BS1031" s="15" t="s">
        <v>193</v>
      </c>
      <c r="BT1031" s="15" t="s">
        <v>194</v>
      </c>
      <c r="BU1031" s="15" t="s">
        <v>195</v>
      </c>
      <c r="BV1031" s="15" t="s">
        <v>196</v>
      </c>
      <c r="BW1031" s="15" t="s">
        <v>2936</v>
      </c>
      <c r="CA1031" s="15" t="s">
        <v>2357</v>
      </c>
      <c r="CB1031" s="15" t="s">
        <v>78</v>
      </c>
      <c r="CC1031" s="15">
        <v>1</v>
      </c>
      <c r="CN1031" s="15" t="s">
        <v>198</v>
      </c>
      <c r="CW1031" s="10">
        <v>2</v>
      </c>
      <c r="CX1031" s="15" t="s">
        <v>3182</v>
      </c>
    </row>
    <row r="1032" spans="1:102" s="15" customFormat="1" x14ac:dyDescent="0.3">
      <c r="A1032" s="11" t="s">
        <v>2349</v>
      </c>
      <c r="B1032" s="10" t="s">
        <v>3183</v>
      </c>
      <c r="C1032" s="12" t="s">
        <v>3996</v>
      </c>
      <c r="D1032" s="10">
        <v>12</v>
      </c>
      <c r="E1032" s="13">
        <v>10000</v>
      </c>
      <c r="F1032" s="14" t="s">
        <v>243</v>
      </c>
      <c r="G1032" s="14" t="s">
        <v>244</v>
      </c>
      <c r="H1032" s="15" t="s">
        <v>254</v>
      </c>
      <c r="I1032" s="8"/>
      <c r="J1032" s="10"/>
      <c r="AV1032" s="15" t="s">
        <v>181</v>
      </c>
      <c r="AW1032" s="15" t="s">
        <v>182</v>
      </c>
      <c r="AX1032" s="15" t="s">
        <v>3184</v>
      </c>
      <c r="BH1032" s="15" t="s">
        <v>184</v>
      </c>
      <c r="BI1032" s="15" t="s">
        <v>185</v>
      </c>
      <c r="BJ1032" s="15" t="s">
        <v>2351</v>
      </c>
      <c r="BK1032" s="15" t="s">
        <v>2352</v>
      </c>
      <c r="BL1032" s="15" t="s">
        <v>2353</v>
      </c>
      <c r="BM1032" s="15" t="s">
        <v>2354</v>
      </c>
      <c r="BN1032" s="15" t="s">
        <v>2355</v>
      </c>
      <c r="BO1032" s="15" t="s">
        <v>2356</v>
      </c>
      <c r="BR1032" s="15" t="s">
        <v>192</v>
      </c>
      <c r="BS1032" s="15" t="s">
        <v>193</v>
      </c>
      <c r="BT1032" s="15" t="s">
        <v>194</v>
      </c>
      <c r="BU1032" s="15" t="s">
        <v>195</v>
      </c>
      <c r="BV1032" s="15" t="s">
        <v>196</v>
      </c>
      <c r="BW1032" s="15" t="s">
        <v>2936</v>
      </c>
      <c r="CA1032" s="15" t="s">
        <v>2357</v>
      </c>
      <c r="CB1032" s="15" t="s">
        <v>78</v>
      </c>
      <c r="CC1032" s="15">
        <v>1</v>
      </c>
      <c r="CN1032" s="15" t="s">
        <v>198</v>
      </c>
      <c r="CW1032" s="10">
        <v>2</v>
      </c>
      <c r="CX1032" s="15" t="s">
        <v>3185</v>
      </c>
    </row>
    <row r="1033" spans="1:102" s="15" customFormat="1" x14ac:dyDescent="0.3">
      <c r="A1033" s="11" t="s">
        <v>2349</v>
      </c>
      <c r="B1033" s="10" t="s">
        <v>3186</v>
      </c>
      <c r="C1033" s="12" t="s">
        <v>3997</v>
      </c>
      <c r="D1033" s="10">
        <v>12</v>
      </c>
      <c r="E1033" s="13">
        <v>100000</v>
      </c>
      <c r="F1033" s="14" t="s">
        <v>243</v>
      </c>
      <c r="G1033" s="14" t="s">
        <v>244</v>
      </c>
      <c r="H1033" s="15" t="s">
        <v>254</v>
      </c>
      <c r="I1033" s="8"/>
      <c r="J1033" s="10"/>
      <c r="AV1033" s="15" t="s">
        <v>181</v>
      </c>
      <c r="AW1033" s="15" t="s">
        <v>182</v>
      </c>
      <c r="AX1033" s="15" t="s">
        <v>3187</v>
      </c>
      <c r="BH1033" s="15" t="s">
        <v>184</v>
      </c>
      <c r="BI1033" s="15" t="s">
        <v>185</v>
      </c>
      <c r="BJ1033" s="15" t="s">
        <v>2351</v>
      </c>
      <c r="BK1033" s="15" t="s">
        <v>2352</v>
      </c>
      <c r="BL1033" s="15" t="s">
        <v>2353</v>
      </c>
      <c r="BM1033" s="15" t="s">
        <v>2354</v>
      </c>
      <c r="BN1033" s="15" t="s">
        <v>2355</v>
      </c>
      <c r="BO1033" s="15" t="s">
        <v>2356</v>
      </c>
      <c r="BR1033" s="15" t="s">
        <v>192</v>
      </c>
      <c r="BS1033" s="15" t="s">
        <v>193</v>
      </c>
      <c r="BT1033" s="15" t="s">
        <v>194</v>
      </c>
      <c r="BU1033" s="15" t="s">
        <v>195</v>
      </c>
      <c r="BV1033" s="15" t="s">
        <v>196</v>
      </c>
      <c r="BW1033" s="15" t="s">
        <v>251</v>
      </c>
      <c r="CA1033" s="15" t="s">
        <v>2357</v>
      </c>
      <c r="CB1033" s="15" t="s">
        <v>78</v>
      </c>
      <c r="CC1033" s="15">
        <v>1</v>
      </c>
      <c r="CN1033" s="15" t="s">
        <v>198</v>
      </c>
      <c r="CW1033" s="10">
        <v>2</v>
      </c>
      <c r="CX1033" s="15" t="s">
        <v>3188</v>
      </c>
    </row>
    <row r="1034" spans="1:102" s="15" customFormat="1" x14ac:dyDescent="0.3">
      <c r="A1034" s="11" t="s">
        <v>2349</v>
      </c>
      <c r="B1034" s="10" t="s">
        <v>3189</v>
      </c>
      <c r="C1034" s="12" t="s">
        <v>3998</v>
      </c>
      <c r="D1034" s="10">
        <v>12</v>
      </c>
      <c r="E1034" s="13">
        <v>100000</v>
      </c>
      <c r="F1034" s="14" t="s">
        <v>243</v>
      </c>
      <c r="G1034" s="14" t="s">
        <v>244</v>
      </c>
      <c r="H1034" s="15" t="s">
        <v>254</v>
      </c>
      <c r="I1034" s="8"/>
      <c r="J1034" s="10"/>
      <c r="AV1034" s="15" t="s">
        <v>181</v>
      </c>
      <c r="AW1034" s="15" t="s">
        <v>182</v>
      </c>
      <c r="AX1034" s="15" t="s">
        <v>3190</v>
      </c>
      <c r="BH1034" s="15" t="s">
        <v>184</v>
      </c>
      <c r="BI1034" s="15" t="s">
        <v>185</v>
      </c>
      <c r="BJ1034" s="15" t="s">
        <v>2351</v>
      </c>
      <c r="BK1034" s="15" t="s">
        <v>2352</v>
      </c>
      <c r="BL1034" s="15" t="s">
        <v>2353</v>
      </c>
      <c r="BM1034" s="15" t="s">
        <v>2354</v>
      </c>
      <c r="BN1034" s="15" t="s">
        <v>2355</v>
      </c>
      <c r="BO1034" s="15" t="s">
        <v>2356</v>
      </c>
      <c r="BR1034" s="15" t="s">
        <v>192</v>
      </c>
      <c r="BS1034" s="15" t="s">
        <v>193</v>
      </c>
      <c r="BT1034" s="15" t="s">
        <v>194</v>
      </c>
      <c r="BU1034" s="15" t="s">
        <v>195</v>
      </c>
      <c r="BV1034" s="15" t="s">
        <v>196</v>
      </c>
      <c r="BW1034" s="15" t="s">
        <v>251</v>
      </c>
      <c r="CA1034" s="15" t="s">
        <v>2357</v>
      </c>
      <c r="CB1034" s="15" t="s">
        <v>78</v>
      </c>
      <c r="CC1034" s="15">
        <v>1</v>
      </c>
      <c r="CN1034" s="15" t="s">
        <v>198</v>
      </c>
      <c r="CW1034" s="10">
        <v>2</v>
      </c>
      <c r="CX1034" s="15" t="s">
        <v>3191</v>
      </c>
    </row>
    <row r="1035" spans="1:102" s="15" customFormat="1" x14ac:dyDescent="0.3">
      <c r="A1035" s="11" t="s">
        <v>2349</v>
      </c>
      <c r="B1035" s="10" t="s">
        <v>3192</v>
      </c>
      <c r="C1035" s="12" t="s">
        <v>3999</v>
      </c>
      <c r="D1035" s="10">
        <v>12</v>
      </c>
      <c r="E1035" s="13">
        <v>100000</v>
      </c>
      <c r="F1035" s="14" t="s">
        <v>243</v>
      </c>
      <c r="G1035" s="14" t="s">
        <v>244</v>
      </c>
      <c r="H1035" s="15" t="s">
        <v>402</v>
      </c>
      <c r="I1035" s="8"/>
      <c r="J1035" s="10"/>
      <c r="AV1035" s="15" t="s">
        <v>181</v>
      </c>
      <c r="AW1035" s="15" t="s">
        <v>182</v>
      </c>
      <c r="AX1035" s="15" t="s">
        <v>3193</v>
      </c>
      <c r="BH1035" s="15" t="s">
        <v>184</v>
      </c>
      <c r="BI1035" s="15" t="s">
        <v>185</v>
      </c>
      <c r="BJ1035" s="15" t="s">
        <v>2351</v>
      </c>
      <c r="BK1035" s="15" t="s">
        <v>2352</v>
      </c>
      <c r="BL1035" s="15" t="s">
        <v>2353</v>
      </c>
      <c r="BM1035" s="15" t="s">
        <v>2354</v>
      </c>
      <c r="BN1035" s="15" t="s">
        <v>2355</v>
      </c>
      <c r="BO1035" s="15" t="s">
        <v>2356</v>
      </c>
      <c r="BR1035" s="15" t="s">
        <v>192</v>
      </c>
      <c r="BS1035" s="15" t="s">
        <v>193</v>
      </c>
      <c r="BT1035" s="15" t="s">
        <v>194</v>
      </c>
      <c r="BU1035" s="15" t="s">
        <v>195</v>
      </c>
      <c r="BV1035" s="15" t="s">
        <v>196</v>
      </c>
      <c r="BW1035" s="15" t="s">
        <v>404</v>
      </c>
      <c r="CA1035" s="15" t="s">
        <v>2357</v>
      </c>
      <c r="CB1035" s="15" t="s">
        <v>78</v>
      </c>
      <c r="CC1035" s="15">
        <v>1</v>
      </c>
      <c r="CN1035" s="15" t="s">
        <v>198</v>
      </c>
      <c r="CW1035" s="10">
        <v>2</v>
      </c>
      <c r="CX1035" s="15" t="s">
        <v>3194</v>
      </c>
    </row>
    <row r="1036" spans="1:102" s="15" customFormat="1" x14ac:dyDescent="0.3">
      <c r="A1036" s="11" t="s">
        <v>2349</v>
      </c>
      <c r="B1036" s="10" t="s">
        <v>3195</v>
      </c>
      <c r="C1036" s="12" t="s">
        <v>3750</v>
      </c>
      <c r="D1036" s="10">
        <v>12</v>
      </c>
      <c r="E1036" s="13">
        <v>100000</v>
      </c>
      <c r="F1036" s="14" t="s">
        <v>243</v>
      </c>
      <c r="G1036" s="14" t="s">
        <v>244</v>
      </c>
      <c r="H1036" s="15" t="s">
        <v>254</v>
      </c>
      <c r="I1036" s="8"/>
      <c r="J1036" s="10"/>
      <c r="AV1036" s="15" t="s">
        <v>181</v>
      </c>
      <c r="AW1036" s="15" t="s">
        <v>182</v>
      </c>
      <c r="AX1036" s="15" t="s">
        <v>3196</v>
      </c>
      <c r="BH1036" s="15" t="s">
        <v>184</v>
      </c>
      <c r="BI1036" s="15" t="s">
        <v>185</v>
      </c>
      <c r="BJ1036" s="15" t="s">
        <v>2351</v>
      </c>
      <c r="BK1036" s="15" t="s">
        <v>2352</v>
      </c>
      <c r="BL1036" s="15" t="s">
        <v>2353</v>
      </c>
      <c r="BM1036" s="15" t="s">
        <v>2354</v>
      </c>
      <c r="BN1036" s="15" t="s">
        <v>2355</v>
      </c>
      <c r="BO1036" s="15" t="s">
        <v>2356</v>
      </c>
      <c r="BR1036" s="15" t="s">
        <v>192</v>
      </c>
      <c r="BS1036" s="15" t="s">
        <v>193</v>
      </c>
      <c r="BT1036" s="15" t="s">
        <v>194</v>
      </c>
      <c r="BU1036" s="15" t="s">
        <v>195</v>
      </c>
      <c r="BV1036" s="15" t="s">
        <v>196</v>
      </c>
      <c r="BW1036" s="15" t="s">
        <v>251</v>
      </c>
      <c r="CA1036" s="15" t="s">
        <v>2357</v>
      </c>
      <c r="CB1036" s="15" t="s">
        <v>78</v>
      </c>
      <c r="CC1036" s="15">
        <v>1</v>
      </c>
      <c r="CN1036" s="15" t="s">
        <v>198</v>
      </c>
      <c r="CW1036" s="10">
        <v>2</v>
      </c>
      <c r="CX1036" s="15" t="s">
        <v>3197</v>
      </c>
    </row>
    <row r="1037" spans="1:102" s="15" customFormat="1" x14ac:dyDescent="0.3">
      <c r="A1037" s="11" t="s">
        <v>2349</v>
      </c>
      <c r="B1037" s="10" t="s">
        <v>3198</v>
      </c>
      <c r="C1037" s="12" t="s">
        <v>4000</v>
      </c>
      <c r="D1037" s="10">
        <v>12</v>
      </c>
      <c r="E1037" s="13">
        <v>100000</v>
      </c>
      <c r="F1037" s="14" t="s">
        <v>243</v>
      </c>
      <c r="G1037" s="14" t="s">
        <v>244</v>
      </c>
      <c r="H1037" s="15" t="s">
        <v>254</v>
      </c>
      <c r="I1037" s="8"/>
      <c r="J1037" s="10"/>
      <c r="AV1037" s="15" t="s">
        <v>181</v>
      </c>
      <c r="AW1037" s="15" t="s">
        <v>182</v>
      </c>
      <c r="AX1037" s="15" t="s">
        <v>3199</v>
      </c>
      <c r="BH1037" s="15" t="s">
        <v>184</v>
      </c>
      <c r="BI1037" s="15" t="s">
        <v>185</v>
      </c>
      <c r="BJ1037" s="15" t="s">
        <v>2351</v>
      </c>
      <c r="BK1037" s="15" t="s">
        <v>2352</v>
      </c>
      <c r="BL1037" s="15" t="s">
        <v>2353</v>
      </c>
      <c r="BM1037" s="15" t="s">
        <v>2354</v>
      </c>
      <c r="BN1037" s="15" t="s">
        <v>2355</v>
      </c>
      <c r="BO1037" s="15" t="s">
        <v>2356</v>
      </c>
      <c r="BR1037" s="15" t="s">
        <v>192</v>
      </c>
      <c r="BS1037" s="15" t="s">
        <v>193</v>
      </c>
      <c r="BT1037" s="15" t="s">
        <v>194</v>
      </c>
      <c r="BU1037" s="15" t="s">
        <v>195</v>
      </c>
      <c r="BV1037" s="15" t="s">
        <v>196</v>
      </c>
      <c r="BW1037" s="15" t="s">
        <v>251</v>
      </c>
      <c r="CA1037" s="15" t="s">
        <v>2357</v>
      </c>
      <c r="CB1037" s="15" t="s">
        <v>78</v>
      </c>
      <c r="CC1037" s="15">
        <v>1</v>
      </c>
      <c r="CN1037" s="15" t="s">
        <v>198</v>
      </c>
      <c r="CW1037" s="10">
        <v>2</v>
      </c>
      <c r="CX1037" s="15" t="s">
        <v>3200</v>
      </c>
    </row>
    <row r="1038" spans="1:102" s="15" customFormat="1" x14ac:dyDescent="0.3">
      <c r="A1038" s="11" t="s">
        <v>2349</v>
      </c>
      <c r="B1038" s="10" t="s">
        <v>3201</v>
      </c>
      <c r="C1038" s="12" t="s">
        <v>4001</v>
      </c>
      <c r="D1038" s="10">
        <v>12</v>
      </c>
      <c r="E1038" s="13">
        <v>100000</v>
      </c>
      <c r="F1038" s="14" t="s">
        <v>243</v>
      </c>
      <c r="G1038" s="14" t="s">
        <v>244</v>
      </c>
      <c r="H1038" s="15" t="s">
        <v>254</v>
      </c>
      <c r="I1038" s="8"/>
      <c r="J1038" s="10"/>
      <c r="AV1038" s="15" t="s">
        <v>181</v>
      </c>
      <c r="AW1038" s="15" t="s">
        <v>182</v>
      </c>
      <c r="AX1038" s="15" t="s">
        <v>3202</v>
      </c>
      <c r="BH1038" s="15" t="s">
        <v>184</v>
      </c>
      <c r="BI1038" s="15" t="s">
        <v>185</v>
      </c>
      <c r="BJ1038" s="15" t="s">
        <v>2351</v>
      </c>
      <c r="BK1038" s="15" t="s">
        <v>2352</v>
      </c>
      <c r="BL1038" s="15" t="s">
        <v>2353</v>
      </c>
      <c r="BM1038" s="15" t="s">
        <v>2354</v>
      </c>
      <c r="BN1038" s="15" t="s">
        <v>2355</v>
      </c>
      <c r="BO1038" s="15" t="s">
        <v>2356</v>
      </c>
      <c r="BR1038" s="15" t="s">
        <v>192</v>
      </c>
      <c r="BS1038" s="15" t="s">
        <v>193</v>
      </c>
      <c r="BT1038" s="15" t="s">
        <v>194</v>
      </c>
      <c r="BU1038" s="15" t="s">
        <v>195</v>
      </c>
      <c r="BV1038" s="15" t="s">
        <v>196</v>
      </c>
      <c r="BW1038" s="15" t="s">
        <v>251</v>
      </c>
      <c r="CA1038" s="15" t="s">
        <v>2357</v>
      </c>
      <c r="CB1038" s="15" t="s">
        <v>78</v>
      </c>
      <c r="CC1038" s="15">
        <v>1</v>
      </c>
      <c r="CN1038" s="15" t="s">
        <v>198</v>
      </c>
      <c r="CW1038" s="10">
        <v>2</v>
      </c>
      <c r="CX1038" s="15" t="s">
        <v>3203</v>
      </c>
    </row>
    <row r="1039" spans="1:102" s="15" customFormat="1" x14ac:dyDescent="0.3">
      <c r="A1039" s="11" t="s">
        <v>2349</v>
      </c>
      <c r="B1039" s="10" t="s">
        <v>3204</v>
      </c>
      <c r="C1039" s="12" t="s">
        <v>3772</v>
      </c>
      <c r="D1039" s="10">
        <v>12</v>
      </c>
      <c r="E1039" s="13">
        <v>100000</v>
      </c>
      <c r="F1039" s="14" t="s">
        <v>209</v>
      </c>
      <c r="G1039" s="14" t="s">
        <v>210</v>
      </c>
      <c r="H1039" s="15" t="s">
        <v>211</v>
      </c>
      <c r="I1039" s="8"/>
      <c r="J1039" s="10"/>
      <c r="AV1039" s="15" t="s">
        <v>212</v>
      </c>
      <c r="AW1039" s="15" t="s">
        <v>213</v>
      </c>
      <c r="AX1039" s="15" t="s">
        <v>3205</v>
      </c>
      <c r="BH1039" s="15" t="s">
        <v>184</v>
      </c>
      <c r="BI1039" s="15" t="s">
        <v>185</v>
      </c>
      <c r="BJ1039" s="15" t="s">
        <v>2351</v>
      </c>
      <c r="BK1039" s="15" t="s">
        <v>2352</v>
      </c>
      <c r="BL1039" s="15" t="s">
        <v>2353</v>
      </c>
      <c r="BM1039" s="15" t="s">
        <v>2354</v>
      </c>
      <c r="BN1039" s="15" t="s">
        <v>2355</v>
      </c>
      <c r="BO1039" s="15" t="s">
        <v>2356</v>
      </c>
      <c r="BR1039" s="15" t="s">
        <v>192</v>
      </c>
      <c r="BS1039" s="15" t="s">
        <v>193</v>
      </c>
      <c r="BT1039" s="15" t="s">
        <v>194</v>
      </c>
      <c r="BU1039" s="15" t="s">
        <v>195</v>
      </c>
      <c r="BV1039" s="15" t="s">
        <v>196</v>
      </c>
      <c r="BW1039" s="15" t="s">
        <v>196</v>
      </c>
      <c r="CA1039" s="15" t="s">
        <v>2357</v>
      </c>
      <c r="CB1039" s="15" t="s">
        <v>78</v>
      </c>
      <c r="CC1039" s="15">
        <v>1</v>
      </c>
      <c r="CN1039" s="15" t="s">
        <v>198</v>
      </c>
      <c r="CW1039" s="10">
        <v>2</v>
      </c>
      <c r="CX1039" s="15" t="s">
        <v>3206</v>
      </c>
    </row>
    <row r="1040" spans="1:102" s="15" customFormat="1" x14ac:dyDescent="0.3">
      <c r="A1040" s="11" t="s">
        <v>2349</v>
      </c>
      <c r="B1040" s="10" t="s">
        <v>3207</v>
      </c>
      <c r="C1040" s="12" t="s">
        <v>3776</v>
      </c>
      <c r="D1040" s="10">
        <v>12</v>
      </c>
      <c r="E1040" s="13">
        <v>100000</v>
      </c>
      <c r="F1040" s="14" t="s">
        <v>209</v>
      </c>
      <c r="G1040" s="14" t="s">
        <v>210</v>
      </c>
      <c r="H1040" s="15" t="s">
        <v>211</v>
      </c>
      <c r="I1040" s="8"/>
      <c r="J1040" s="10"/>
      <c r="AV1040" s="15" t="s">
        <v>212</v>
      </c>
      <c r="AW1040" s="15" t="s">
        <v>213</v>
      </c>
      <c r="AX1040" s="15" t="s">
        <v>3208</v>
      </c>
      <c r="BH1040" s="15" t="s">
        <v>184</v>
      </c>
      <c r="BI1040" s="15" t="s">
        <v>185</v>
      </c>
      <c r="BJ1040" s="15" t="s">
        <v>2351</v>
      </c>
      <c r="BK1040" s="15" t="s">
        <v>2352</v>
      </c>
      <c r="BL1040" s="15" t="s">
        <v>2353</v>
      </c>
      <c r="BM1040" s="15" t="s">
        <v>2354</v>
      </c>
      <c r="BN1040" s="15" t="s">
        <v>2355</v>
      </c>
      <c r="BO1040" s="15" t="s">
        <v>2356</v>
      </c>
      <c r="BR1040" s="15" t="s">
        <v>192</v>
      </c>
      <c r="BS1040" s="15" t="s">
        <v>193</v>
      </c>
      <c r="BT1040" s="15" t="s">
        <v>194</v>
      </c>
      <c r="BU1040" s="15" t="s">
        <v>195</v>
      </c>
      <c r="BV1040" s="15" t="s">
        <v>196</v>
      </c>
      <c r="BW1040" s="15" t="s">
        <v>196</v>
      </c>
      <c r="CA1040" s="15" t="s">
        <v>2357</v>
      </c>
      <c r="CB1040" s="15" t="s">
        <v>78</v>
      </c>
      <c r="CC1040" s="15">
        <v>1</v>
      </c>
      <c r="CN1040" s="15" t="s">
        <v>198</v>
      </c>
      <c r="CW1040" s="10">
        <v>2</v>
      </c>
      <c r="CX1040" s="15" t="s">
        <v>3209</v>
      </c>
    </row>
    <row r="1041" spans="1:102" s="15" customFormat="1" x14ac:dyDescent="0.3">
      <c r="A1041" s="11" t="s">
        <v>2349</v>
      </c>
      <c r="B1041" s="10" t="s">
        <v>3210</v>
      </c>
      <c r="C1041" s="12" t="s">
        <v>3778</v>
      </c>
      <c r="D1041" s="10">
        <v>12</v>
      </c>
      <c r="E1041" s="13">
        <v>100000</v>
      </c>
      <c r="F1041" s="14" t="s">
        <v>209</v>
      </c>
      <c r="G1041" s="14" t="s">
        <v>210</v>
      </c>
      <c r="H1041" s="15" t="s">
        <v>211</v>
      </c>
      <c r="I1041" s="8"/>
      <c r="J1041" s="10"/>
      <c r="AV1041" s="15" t="s">
        <v>212</v>
      </c>
      <c r="AW1041" s="15" t="s">
        <v>213</v>
      </c>
      <c r="AX1041" s="15" t="s">
        <v>3211</v>
      </c>
      <c r="BH1041" s="15" t="s">
        <v>184</v>
      </c>
      <c r="BI1041" s="15" t="s">
        <v>185</v>
      </c>
      <c r="BJ1041" s="15" t="s">
        <v>2351</v>
      </c>
      <c r="BK1041" s="15" t="s">
        <v>2352</v>
      </c>
      <c r="BL1041" s="15" t="s">
        <v>2353</v>
      </c>
      <c r="BM1041" s="15" t="s">
        <v>2354</v>
      </c>
      <c r="BN1041" s="15" t="s">
        <v>2355</v>
      </c>
      <c r="BO1041" s="15" t="s">
        <v>2356</v>
      </c>
      <c r="BR1041" s="15" t="s">
        <v>192</v>
      </c>
      <c r="BS1041" s="15" t="s">
        <v>193</v>
      </c>
      <c r="BT1041" s="15" t="s">
        <v>194</v>
      </c>
      <c r="BU1041" s="15" t="s">
        <v>195</v>
      </c>
      <c r="BV1041" s="15" t="s">
        <v>196</v>
      </c>
      <c r="BW1041" s="15" t="s">
        <v>196</v>
      </c>
      <c r="CA1041" s="15" t="s">
        <v>2357</v>
      </c>
      <c r="CB1041" s="15" t="s">
        <v>78</v>
      </c>
      <c r="CC1041" s="15">
        <v>1</v>
      </c>
      <c r="CN1041" s="15" t="s">
        <v>198</v>
      </c>
      <c r="CW1041" s="10">
        <v>2</v>
      </c>
      <c r="CX1041" s="15" t="s">
        <v>3212</v>
      </c>
    </row>
    <row r="1042" spans="1:102" s="15" customFormat="1" x14ac:dyDescent="0.3">
      <c r="A1042" s="11" t="s">
        <v>2349</v>
      </c>
      <c r="B1042" s="10" t="s">
        <v>3213</v>
      </c>
      <c r="C1042" s="12" t="s">
        <v>4002</v>
      </c>
      <c r="D1042" s="10">
        <v>12</v>
      </c>
      <c r="E1042" s="13">
        <v>100000</v>
      </c>
      <c r="F1042" s="14" t="s">
        <v>209</v>
      </c>
      <c r="G1042" s="14" t="s">
        <v>210</v>
      </c>
      <c r="H1042" s="15" t="s">
        <v>211</v>
      </c>
      <c r="I1042" s="8"/>
      <c r="J1042" s="10"/>
      <c r="AV1042" s="15" t="s">
        <v>212</v>
      </c>
      <c r="AW1042" s="15" t="s">
        <v>213</v>
      </c>
      <c r="AX1042" s="15" t="s">
        <v>3214</v>
      </c>
      <c r="BH1042" s="15" t="s">
        <v>184</v>
      </c>
      <c r="BI1042" s="15" t="s">
        <v>185</v>
      </c>
      <c r="BJ1042" s="15" t="s">
        <v>2351</v>
      </c>
      <c r="BK1042" s="15" t="s">
        <v>2352</v>
      </c>
      <c r="BL1042" s="15" t="s">
        <v>2353</v>
      </c>
      <c r="BM1042" s="15" t="s">
        <v>2354</v>
      </c>
      <c r="BN1042" s="15" t="s">
        <v>2355</v>
      </c>
      <c r="BO1042" s="15" t="s">
        <v>2356</v>
      </c>
      <c r="BR1042" s="15" t="s">
        <v>192</v>
      </c>
      <c r="BS1042" s="15" t="s">
        <v>193</v>
      </c>
      <c r="BT1042" s="15" t="s">
        <v>194</v>
      </c>
      <c r="BU1042" s="15" t="s">
        <v>195</v>
      </c>
      <c r="BV1042" s="15" t="s">
        <v>196</v>
      </c>
      <c r="BW1042" s="15" t="s">
        <v>196</v>
      </c>
      <c r="CA1042" s="15" t="s">
        <v>2357</v>
      </c>
      <c r="CB1042" s="15" t="s">
        <v>78</v>
      </c>
      <c r="CC1042" s="15">
        <v>1</v>
      </c>
      <c r="CN1042" s="15" t="s">
        <v>198</v>
      </c>
      <c r="CW1042" s="10">
        <v>2</v>
      </c>
      <c r="CX1042" s="15" t="s">
        <v>3215</v>
      </c>
    </row>
    <row r="1043" spans="1:102" s="15" customFormat="1" x14ac:dyDescent="0.3">
      <c r="A1043" s="11" t="s">
        <v>2349</v>
      </c>
      <c r="B1043" s="10" t="s">
        <v>3216</v>
      </c>
      <c r="C1043" s="12" t="s">
        <v>4003</v>
      </c>
      <c r="D1043" s="10">
        <v>12</v>
      </c>
      <c r="E1043" s="13">
        <v>100000</v>
      </c>
      <c r="F1043" s="14" t="s">
        <v>209</v>
      </c>
      <c r="G1043" s="14" t="s">
        <v>210</v>
      </c>
      <c r="H1043" s="15" t="s">
        <v>211</v>
      </c>
      <c r="I1043" s="8"/>
      <c r="J1043" s="10"/>
      <c r="AV1043" s="15" t="s">
        <v>212</v>
      </c>
      <c r="AW1043" s="15" t="s">
        <v>213</v>
      </c>
      <c r="AX1043" s="15" t="s">
        <v>3217</v>
      </c>
      <c r="BH1043" s="15" t="s">
        <v>184</v>
      </c>
      <c r="BI1043" s="15" t="s">
        <v>185</v>
      </c>
      <c r="BJ1043" s="15" t="s">
        <v>2351</v>
      </c>
      <c r="BK1043" s="15" t="s">
        <v>2352</v>
      </c>
      <c r="BL1043" s="15" t="s">
        <v>2353</v>
      </c>
      <c r="BM1043" s="15" t="s">
        <v>2354</v>
      </c>
      <c r="BN1043" s="15" t="s">
        <v>2355</v>
      </c>
      <c r="BO1043" s="15" t="s">
        <v>2356</v>
      </c>
      <c r="BR1043" s="15" t="s">
        <v>192</v>
      </c>
      <c r="BS1043" s="15" t="s">
        <v>193</v>
      </c>
      <c r="BT1043" s="15" t="s">
        <v>194</v>
      </c>
      <c r="BU1043" s="15" t="s">
        <v>195</v>
      </c>
      <c r="BV1043" s="15" t="s">
        <v>196</v>
      </c>
      <c r="BW1043" s="15" t="s">
        <v>196</v>
      </c>
      <c r="CA1043" s="15" t="s">
        <v>2357</v>
      </c>
      <c r="CB1043" s="15" t="s">
        <v>78</v>
      </c>
      <c r="CC1043" s="15">
        <v>1</v>
      </c>
      <c r="CN1043" s="15" t="s">
        <v>198</v>
      </c>
      <c r="CW1043" s="10">
        <v>2</v>
      </c>
      <c r="CX1043" s="15" t="s">
        <v>3218</v>
      </c>
    </row>
    <row r="1044" spans="1:102" s="15" customFormat="1" x14ac:dyDescent="0.3">
      <c r="A1044" s="11" t="s">
        <v>2349</v>
      </c>
      <c r="B1044" s="10" t="s">
        <v>3219</v>
      </c>
      <c r="C1044" s="12" t="s">
        <v>3773</v>
      </c>
      <c r="D1044" s="10">
        <v>12</v>
      </c>
      <c r="E1044" s="13">
        <v>100000</v>
      </c>
      <c r="F1044" s="14" t="s">
        <v>243</v>
      </c>
      <c r="G1044" s="14" t="s">
        <v>244</v>
      </c>
      <c r="H1044" s="15" t="s">
        <v>211</v>
      </c>
      <c r="I1044" s="8"/>
      <c r="J1044" s="10"/>
      <c r="AV1044" s="15" t="s">
        <v>181</v>
      </c>
      <c r="AW1044" s="15" t="s">
        <v>182</v>
      </c>
      <c r="AX1044" s="15" t="s">
        <v>3220</v>
      </c>
      <c r="BH1044" s="15" t="s">
        <v>184</v>
      </c>
      <c r="BI1044" s="15" t="s">
        <v>185</v>
      </c>
      <c r="BJ1044" s="15" t="s">
        <v>2351</v>
      </c>
      <c r="BK1044" s="15" t="s">
        <v>2352</v>
      </c>
      <c r="BL1044" s="15" t="s">
        <v>2353</v>
      </c>
      <c r="BM1044" s="15" t="s">
        <v>2354</v>
      </c>
      <c r="BN1044" s="15" t="s">
        <v>2355</v>
      </c>
      <c r="BO1044" s="15" t="s">
        <v>2356</v>
      </c>
      <c r="BR1044" s="15" t="s">
        <v>192</v>
      </c>
      <c r="BS1044" s="15" t="s">
        <v>193</v>
      </c>
      <c r="BT1044" s="15" t="s">
        <v>194</v>
      </c>
      <c r="BU1044" s="15" t="s">
        <v>195</v>
      </c>
      <c r="BV1044" s="15" t="s">
        <v>196</v>
      </c>
      <c r="BW1044" s="15" t="s">
        <v>196</v>
      </c>
      <c r="CA1044" s="15" t="s">
        <v>2357</v>
      </c>
      <c r="CB1044" s="15" t="s">
        <v>78</v>
      </c>
      <c r="CC1044" s="15">
        <v>1</v>
      </c>
      <c r="CN1044" s="15" t="s">
        <v>198</v>
      </c>
      <c r="CW1044" s="10">
        <v>2</v>
      </c>
      <c r="CX1044" s="15" t="s">
        <v>3221</v>
      </c>
    </row>
    <row r="1045" spans="1:102" s="15" customFormat="1" x14ac:dyDescent="0.3">
      <c r="A1045" s="11" t="s">
        <v>2349</v>
      </c>
      <c r="B1045" s="10" t="s">
        <v>3222</v>
      </c>
      <c r="C1045" s="12" t="s">
        <v>3779</v>
      </c>
      <c r="D1045" s="10">
        <v>12</v>
      </c>
      <c r="E1045" s="13">
        <v>100000</v>
      </c>
      <c r="F1045" s="14" t="s">
        <v>243</v>
      </c>
      <c r="G1045" s="14" t="s">
        <v>244</v>
      </c>
      <c r="H1045" s="15" t="s">
        <v>211</v>
      </c>
      <c r="I1045" s="8"/>
      <c r="J1045" s="10"/>
      <c r="AV1045" s="15" t="s">
        <v>181</v>
      </c>
      <c r="AW1045" s="15" t="s">
        <v>182</v>
      </c>
      <c r="AX1045" s="15" t="s">
        <v>3223</v>
      </c>
      <c r="BH1045" s="15" t="s">
        <v>184</v>
      </c>
      <c r="BI1045" s="15" t="s">
        <v>185</v>
      </c>
      <c r="BJ1045" s="15" t="s">
        <v>2351</v>
      </c>
      <c r="BK1045" s="15" t="s">
        <v>2352</v>
      </c>
      <c r="BL1045" s="15" t="s">
        <v>2353</v>
      </c>
      <c r="BM1045" s="15" t="s">
        <v>2354</v>
      </c>
      <c r="BN1045" s="15" t="s">
        <v>2355</v>
      </c>
      <c r="BO1045" s="15" t="s">
        <v>2356</v>
      </c>
      <c r="BR1045" s="15" t="s">
        <v>192</v>
      </c>
      <c r="BS1045" s="15" t="s">
        <v>193</v>
      </c>
      <c r="BT1045" s="15" t="s">
        <v>194</v>
      </c>
      <c r="BU1045" s="15" t="s">
        <v>195</v>
      </c>
      <c r="BV1045" s="15" t="s">
        <v>196</v>
      </c>
      <c r="BW1045" s="15" t="s">
        <v>196</v>
      </c>
      <c r="CA1045" s="15" t="s">
        <v>2357</v>
      </c>
      <c r="CB1045" s="15" t="s">
        <v>78</v>
      </c>
      <c r="CC1045" s="15">
        <v>1</v>
      </c>
      <c r="CN1045" s="15" t="s">
        <v>198</v>
      </c>
      <c r="CW1045" s="10">
        <v>2</v>
      </c>
      <c r="CX1045" s="15" t="s">
        <v>3224</v>
      </c>
    </row>
    <row r="1046" spans="1:102" s="15" customFormat="1" x14ac:dyDescent="0.3">
      <c r="A1046" s="11" t="s">
        <v>2349</v>
      </c>
      <c r="B1046" s="10" t="s">
        <v>3225</v>
      </c>
      <c r="C1046" s="12" t="s">
        <v>4004</v>
      </c>
      <c r="D1046" s="10">
        <v>12</v>
      </c>
      <c r="E1046" s="13">
        <v>100000</v>
      </c>
      <c r="F1046" s="14" t="s">
        <v>243</v>
      </c>
      <c r="G1046" s="14" t="s">
        <v>244</v>
      </c>
      <c r="H1046" s="15" t="s">
        <v>211</v>
      </c>
      <c r="I1046" s="8"/>
      <c r="J1046" s="10"/>
      <c r="AV1046" s="15" t="s">
        <v>181</v>
      </c>
      <c r="AW1046" s="15" t="s">
        <v>182</v>
      </c>
      <c r="AX1046" s="15" t="s">
        <v>3226</v>
      </c>
      <c r="BH1046" s="15" t="s">
        <v>184</v>
      </c>
      <c r="BI1046" s="15" t="s">
        <v>185</v>
      </c>
      <c r="BJ1046" s="15" t="s">
        <v>2351</v>
      </c>
      <c r="BK1046" s="15" t="s">
        <v>2352</v>
      </c>
      <c r="BL1046" s="15" t="s">
        <v>2353</v>
      </c>
      <c r="BM1046" s="15" t="s">
        <v>2354</v>
      </c>
      <c r="BN1046" s="15" t="s">
        <v>2355</v>
      </c>
      <c r="BO1046" s="15" t="s">
        <v>2356</v>
      </c>
      <c r="BR1046" s="15" t="s">
        <v>192</v>
      </c>
      <c r="BS1046" s="15" t="s">
        <v>193</v>
      </c>
      <c r="BT1046" s="15" t="s">
        <v>194</v>
      </c>
      <c r="BU1046" s="15" t="s">
        <v>195</v>
      </c>
      <c r="BV1046" s="15" t="s">
        <v>196</v>
      </c>
      <c r="BW1046" s="15" t="s">
        <v>196</v>
      </c>
      <c r="CA1046" s="15" t="s">
        <v>2357</v>
      </c>
      <c r="CB1046" s="15" t="s">
        <v>78</v>
      </c>
      <c r="CC1046" s="15">
        <v>1</v>
      </c>
      <c r="CN1046" s="15" t="s">
        <v>198</v>
      </c>
      <c r="CW1046" s="10">
        <v>2</v>
      </c>
      <c r="CX1046" s="15" t="s">
        <v>3227</v>
      </c>
    </row>
    <row r="1047" spans="1:102" s="15" customFormat="1" x14ac:dyDescent="0.3">
      <c r="A1047" s="11" t="s">
        <v>2349</v>
      </c>
      <c r="B1047" s="10" t="s">
        <v>3228</v>
      </c>
      <c r="C1047" s="12" t="s">
        <v>4005</v>
      </c>
      <c r="D1047" s="10">
        <v>12</v>
      </c>
      <c r="E1047" s="13">
        <v>100000</v>
      </c>
      <c r="F1047" s="14" t="s">
        <v>243</v>
      </c>
      <c r="G1047" s="14" t="s">
        <v>244</v>
      </c>
      <c r="H1047" s="15" t="s">
        <v>211</v>
      </c>
      <c r="I1047" s="8"/>
      <c r="J1047" s="10"/>
      <c r="AV1047" s="15" t="s">
        <v>181</v>
      </c>
      <c r="AW1047" s="15" t="s">
        <v>182</v>
      </c>
      <c r="AX1047" s="15" t="s">
        <v>3229</v>
      </c>
      <c r="BH1047" s="15" t="s">
        <v>184</v>
      </c>
      <c r="BI1047" s="15" t="s">
        <v>185</v>
      </c>
      <c r="BJ1047" s="15" t="s">
        <v>2351</v>
      </c>
      <c r="BK1047" s="15" t="s">
        <v>2352</v>
      </c>
      <c r="BL1047" s="15" t="s">
        <v>2353</v>
      </c>
      <c r="BM1047" s="15" t="s">
        <v>2354</v>
      </c>
      <c r="BN1047" s="15" t="s">
        <v>2355</v>
      </c>
      <c r="BO1047" s="15" t="s">
        <v>2356</v>
      </c>
      <c r="BR1047" s="15" t="s">
        <v>192</v>
      </c>
      <c r="BS1047" s="15" t="s">
        <v>193</v>
      </c>
      <c r="BT1047" s="15" t="s">
        <v>194</v>
      </c>
      <c r="BU1047" s="15" t="s">
        <v>195</v>
      </c>
      <c r="BV1047" s="15" t="s">
        <v>196</v>
      </c>
      <c r="BW1047" s="15" t="s">
        <v>196</v>
      </c>
      <c r="CA1047" s="15" t="s">
        <v>2357</v>
      </c>
      <c r="CB1047" s="15" t="s">
        <v>78</v>
      </c>
      <c r="CC1047" s="15">
        <v>1</v>
      </c>
      <c r="CN1047" s="15" t="s">
        <v>198</v>
      </c>
      <c r="CW1047" s="10">
        <v>2</v>
      </c>
      <c r="CX1047" s="15" t="s">
        <v>3230</v>
      </c>
    </row>
    <row r="1048" spans="1:102" s="15" customFormat="1" x14ac:dyDescent="0.3">
      <c r="A1048" s="11" t="s">
        <v>3231</v>
      </c>
      <c r="B1048" s="10" t="s">
        <v>3232</v>
      </c>
      <c r="C1048" s="12" t="s">
        <v>4006</v>
      </c>
      <c r="D1048" s="10">
        <v>12</v>
      </c>
      <c r="E1048" s="13">
        <v>1000000</v>
      </c>
      <c r="F1048" s="14"/>
      <c r="G1048" s="14"/>
      <c r="I1048" s="8"/>
      <c r="J1048" s="10"/>
      <c r="BH1048" s="15" t="s">
        <v>184</v>
      </c>
      <c r="BI1048" s="15" t="s">
        <v>185</v>
      </c>
      <c r="BJ1048" s="15" t="s">
        <v>2351</v>
      </c>
      <c r="BK1048" s="15" t="s">
        <v>2352</v>
      </c>
      <c r="BL1048" s="15" t="s">
        <v>2353</v>
      </c>
      <c r="BM1048" s="15" t="s">
        <v>2354</v>
      </c>
      <c r="BN1048" s="15" t="s">
        <v>2355</v>
      </c>
      <c r="BO1048" s="15" t="s">
        <v>2356</v>
      </c>
      <c r="BR1048" s="15" t="s">
        <v>192</v>
      </c>
      <c r="BS1048" s="15" t="s">
        <v>193</v>
      </c>
      <c r="BT1048" s="15" t="s">
        <v>194</v>
      </c>
      <c r="BU1048" s="15" t="s">
        <v>195</v>
      </c>
      <c r="BV1048" s="15" t="s">
        <v>196</v>
      </c>
      <c r="BW1048" s="15" t="s">
        <v>251</v>
      </c>
      <c r="CW1048" s="10"/>
    </row>
    <row r="1049" spans="1:102" s="15" customFormat="1" x14ac:dyDescent="0.3">
      <c r="A1049" s="11" t="s">
        <v>3231</v>
      </c>
      <c r="B1049" s="10" t="s">
        <v>3233</v>
      </c>
      <c r="C1049" s="12" t="s">
        <v>4007</v>
      </c>
      <c r="D1049" s="10">
        <v>12</v>
      </c>
      <c r="E1049" s="13">
        <v>1000000</v>
      </c>
      <c r="F1049" s="14"/>
      <c r="G1049" s="14"/>
      <c r="I1049" s="8"/>
      <c r="J1049" s="10"/>
      <c r="BH1049" s="15" t="s">
        <v>184</v>
      </c>
      <c r="BI1049" s="15" t="s">
        <v>185</v>
      </c>
      <c r="BJ1049" s="15" t="s">
        <v>2351</v>
      </c>
      <c r="BK1049" s="15" t="s">
        <v>2352</v>
      </c>
      <c r="BL1049" s="15" t="s">
        <v>2353</v>
      </c>
      <c r="BM1049" s="15" t="s">
        <v>2354</v>
      </c>
      <c r="BN1049" s="15" t="s">
        <v>2355</v>
      </c>
      <c r="BO1049" s="15" t="s">
        <v>2356</v>
      </c>
      <c r="BR1049" s="15" t="s">
        <v>192</v>
      </c>
      <c r="BS1049" s="15" t="s">
        <v>193</v>
      </c>
      <c r="BT1049" s="15" t="s">
        <v>194</v>
      </c>
      <c r="BU1049" s="15" t="s">
        <v>195</v>
      </c>
      <c r="BV1049" s="15" t="s">
        <v>196</v>
      </c>
      <c r="BW1049" s="15" t="s">
        <v>251</v>
      </c>
      <c r="CW1049" s="10"/>
    </row>
    <row r="1050" spans="1:102" s="15" customFormat="1" x14ac:dyDescent="0.3">
      <c r="A1050" s="11" t="s">
        <v>2349</v>
      </c>
      <c r="B1050" s="10" t="s">
        <v>3234</v>
      </c>
      <c r="C1050" s="12" t="s">
        <v>3762</v>
      </c>
      <c r="D1050" s="10">
        <v>12</v>
      </c>
      <c r="E1050" s="13">
        <v>1000000</v>
      </c>
      <c r="F1050" s="14" t="s">
        <v>243</v>
      </c>
      <c r="G1050" s="14" t="s">
        <v>244</v>
      </c>
      <c r="H1050" s="15" t="s">
        <v>211</v>
      </c>
      <c r="I1050" s="8"/>
      <c r="J1050" s="10"/>
      <c r="AV1050" s="15" t="s">
        <v>181</v>
      </c>
      <c r="AW1050" s="15" t="s">
        <v>182</v>
      </c>
      <c r="AX1050" s="15" t="s">
        <v>3235</v>
      </c>
      <c r="BH1050" s="15" t="s">
        <v>184</v>
      </c>
      <c r="BI1050" s="15" t="s">
        <v>185</v>
      </c>
      <c r="BJ1050" s="15" t="s">
        <v>2351</v>
      </c>
      <c r="BK1050" s="15" t="s">
        <v>2352</v>
      </c>
      <c r="BL1050" s="15" t="s">
        <v>2353</v>
      </c>
      <c r="BM1050" s="15" t="s">
        <v>2354</v>
      </c>
      <c r="BN1050" s="15" t="s">
        <v>2355</v>
      </c>
      <c r="BO1050" s="15" t="s">
        <v>2356</v>
      </c>
      <c r="BR1050" s="15" t="s">
        <v>192</v>
      </c>
      <c r="BS1050" s="15" t="s">
        <v>193</v>
      </c>
      <c r="BT1050" s="15" t="s">
        <v>194</v>
      </c>
      <c r="BU1050" s="15" t="s">
        <v>195</v>
      </c>
      <c r="BV1050" s="15" t="s">
        <v>196</v>
      </c>
      <c r="BW1050" s="15" t="s">
        <v>251</v>
      </c>
      <c r="CA1050" s="15" t="s">
        <v>2357</v>
      </c>
      <c r="CB1050" s="15" t="s">
        <v>78</v>
      </c>
      <c r="CC1050" s="15">
        <v>1</v>
      </c>
      <c r="CN1050" s="15" t="s">
        <v>198</v>
      </c>
      <c r="CW1050" s="10">
        <v>2</v>
      </c>
      <c r="CX1050" s="15" t="s">
        <v>3236</v>
      </c>
    </row>
    <row r="1051" spans="1:102" s="15" customFormat="1" x14ac:dyDescent="0.3">
      <c r="A1051" s="11" t="s">
        <v>2349</v>
      </c>
      <c r="B1051" s="10" t="s">
        <v>3237</v>
      </c>
      <c r="C1051" s="12" t="s">
        <v>3764</v>
      </c>
      <c r="D1051" s="10">
        <v>12</v>
      </c>
      <c r="E1051" s="13">
        <v>1000000</v>
      </c>
      <c r="F1051" s="14" t="s">
        <v>243</v>
      </c>
      <c r="G1051" s="14" t="s">
        <v>244</v>
      </c>
      <c r="H1051" s="15" t="s">
        <v>211</v>
      </c>
      <c r="I1051" s="8"/>
      <c r="J1051" s="10"/>
      <c r="AV1051" s="15" t="s">
        <v>181</v>
      </c>
      <c r="AW1051" s="15" t="s">
        <v>182</v>
      </c>
      <c r="AX1051" s="15" t="s">
        <v>3238</v>
      </c>
      <c r="BH1051" s="15" t="s">
        <v>184</v>
      </c>
      <c r="BI1051" s="15" t="s">
        <v>185</v>
      </c>
      <c r="BJ1051" s="15" t="s">
        <v>2351</v>
      </c>
      <c r="BK1051" s="15" t="s">
        <v>2352</v>
      </c>
      <c r="BL1051" s="15" t="s">
        <v>2353</v>
      </c>
      <c r="BM1051" s="15" t="s">
        <v>2354</v>
      </c>
      <c r="BN1051" s="15" t="s">
        <v>2355</v>
      </c>
      <c r="BO1051" s="15" t="s">
        <v>2356</v>
      </c>
      <c r="BR1051" s="15" t="s">
        <v>192</v>
      </c>
      <c r="BS1051" s="15" t="s">
        <v>193</v>
      </c>
      <c r="BT1051" s="15" t="s">
        <v>194</v>
      </c>
      <c r="BU1051" s="15" t="s">
        <v>195</v>
      </c>
      <c r="BV1051" s="15" t="s">
        <v>196</v>
      </c>
      <c r="BW1051" s="15" t="s">
        <v>251</v>
      </c>
      <c r="CA1051" s="15" t="s">
        <v>2357</v>
      </c>
      <c r="CB1051" s="15" t="s">
        <v>78</v>
      </c>
      <c r="CC1051" s="15">
        <v>1</v>
      </c>
      <c r="CN1051" s="15" t="s">
        <v>198</v>
      </c>
      <c r="CW1051" s="10">
        <v>2</v>
      </c>
      <c r="CX1051" s="15" t="s">
        <v>3239</v>
      </c>
    </row>
    <row r="1052" spans="1:102" s="15" customFormat="1" x14ac:dyDescent="0.3">
      <c r="A1052" s="11" t="s">
        <v>2349</v>
      </c>
      <c r="B1052" s="10" t="s">
        <v>3240</v>
      </c>
      <c r="C1052" s="12" t="s">
        <v>3765</v>
      </c>
      <c r="D1052" s="10">
        <v>12</v>
      </c>
      <c r="E1052" s="13">
        <v>1000000</v>
      </c>
      <c r="F1052" s="14" t="s">
        <v>243</v>
      </c>
      <c r="G1052" s="14" t="s">
        <v>244</v>
      </c>
      <c r="H1052" s="15" t="s">
        <v>211</v>
      </c>
      <c r="I1052" s="8"/>
      <c r="J1052" s="10"/>
      <c r="AV1052" s="15" t="s">
        <v>181</v>
      </c>
      <c r="AW1052" s="15" t="s">
        <v>182</v>
      </c>
      <c r="AX1052" s="15" t="s">
        <v>3241</v>
      </c>
      <c r="BH1052" s="15" t="s">
        <v>184</v>
      </c>
      <c r="BI1052" s="15" t="s">
        <v>185</v>
      </c>
      <c r="BJ1052" s="15" t="s">
        <v>2351</v>
      </c>
      <c r="BK1052" s="15" t="s">
        <v>2352</v>
      </c>
      <c r="BL1052" s="15" t="s">
        <v>2353</v>
      </c>
      <c r="BM1052" s="15" t="s">
        <v>2354</v>
      </c>
      <c r="BN1052" s="15" t="s">
        <v>2355</v>
      </c>
      <c r="BO1052" s="15" t="s">
        <v>2356</v>
      </c>
      <c r="BR1052" s="15" t="s">
        <v>192</v>
      </c>
      <c r="BS1052" s="15" t="s">
        <v>193</v>
      </c>
      <c r="BT1052" s="15" t="s">
        <v>194</v>
      </c>
      <c r="BU1052" s="15" t="s">
        <v>195</v>
      </c>
      <c r="BV1052" s="15" t="s">
        <v>196</v>
      </c>
      <c r="BW1052" s="15" t="s">
        <v>251</v>
      </c>
      <c r="CA1052" s="15" t="s">
        <v>2357</v>
      </c>
      <c r="CB1052" s="15" t="s">
        <v>78</v>
      </c>
      <c r="CC1052" s="15">
        <v>1</v>
      </c>
      <c r="CN1052" s="15" t="s">
        <v>198</v>
      </c>
      <c r="CW1052" s="10">
        <v>2</v>
      </c>
      <c r="CX1052" s="15" t="s">
        <v>3242</v>
      </c>
    </row>
    <row r="1053" spans="1:102" s="15" customFormat="1" x14ac:dyDescent="0.3">
      <c r="A1053" s="11" t="s">
        <v>2349</v>
      </c>
      <c r="B1053" s="10" t="s">
        <v>3243</v>
      </c>
      <c r="C1053" s="12" t="s">
        <v>3766</v>
      </c>
      <c r="D1053" s="10">
        <v>12</v>
      </c>
      <c r="E1053" s="13">
        <v>1000000</v>
      </c>
      <c r="F1053" s="14" t="s">
        <v>243</v>
      </c>
      <c r="G1053" s="14" t="s">
        <v>244</v>
      </c>
      <c r="H1053" s="15" t="s">
        <v>211</v>
      </c>
      <c r="I1053" s="8"/>
      <c r="J1053" s="10"/>
      <c r="AV1053" s="15" t="s">
        <v>181</v>
      </c>
      <c r="AW1053" s="15" t="s">
        <v>182</v>
      </c>
      <c r="AX1053" s="15" t="s">
        <v>3244</v>
      </c>
      <c r="BH1053" s="15" t="s">
        <v>184</v>
      </c>
      <c r="BI1053" s="15" t="s">
        <v>185</v>
      </c>
      <c r="BJ1053" s="15" t="s">
        <v>2351</v>
      </c>
      <c r="BK1053" s="15" t="s">
        <v>2352</v>
      </c>
      <c r="BL1053" s="15" t="s">
        <v>2353</v>
      </c>
      <c r="BM1053" s="15" t="s">
        <v>2354</v>
      </c>
      <c r="BN1053" s="15" t="s">
        <v>2355</v>
      </c>
      <c r="BO1053" s="15" t="s">
        <v>2356</v>
      </c>
      <c r="BR1053" s="15" t="s">
        <v>192</v>
      </c>
      <c r="BS1053" s="15" t="s">
        <v>193</v>
      </c>
      <c r="BT1053" s="15" t="s">
        <v>194</v>
      </c>
      <c r="BU1053" s="15" t="s">
        <v>195</v>
      </c>
      <c r="BV1053" s="15" t="s">
        <v>196</v>
      </c>
      <c r="BW1053" s="15" t="s">
        <v>251</v>
      </c>
      <c r="CA1053" s="15" t="s">
        <v>2357</v>
      </c>
      <c r="CB1053" s="15" t="s">
        <v>78</v>
      </c>
      <c r="CC1053" s="15">
        <v>1</v>
      </c>
      <c r="CN1053" s="15" t="s">
        <v>198</v>
      </c>
      <c r="CW1053" s="10">
        <v>2</v>
      </c>
      <c r="CX1053" s="15" t="s">
        <v>3245</v>
      </c>
    </row>
    <row r="1054" spans="1:102" s="15" customFormat="1" x14ac:dyDescent="0.3">
      <c r="A1054" s="11" t="s">
        <v>2349</v>
      </c>
      <c r="B1054" s="10" t="s">
        <v>3246</v>
      </c>
      <c r="C1054" s="12" t="s">
        <v>3767</v>
      </c>
      <c r="D1054" s="10">
        <v>12</v>
      </c>
      <c r="E1054" s="13">
        <v>1000000</v>
      </c>
      <c r="F1054" s="14" t="s">
        <v>243</v>
      </c>
      <c r="G1054" s="14" t="s">
        <v>244</v>
      </c>
      <c r="H1054" s="15" t="s">
        <v>211</v>
      </c>
      <c r="I1054" s="8"/>
      <c r="J1054" s="10"/>
      <c r="AV1054" s="15" t="s">
        <v>181</v>
      </c>
      <c r="AW1054" s="15" t="s">
        <v>182</v>
      </c>
      <c r="AX1054" s="15" t="s">
        <v>3247</v>
      </c>
      <c r="BH1054" s="15" t="s">
        <v>184</v>
      </c>
      <c r="BI1054" s="15" t="s">
        <v>185</v>
      </c>
      <c r="BJ1054" s="15" t="s">
        <v>2351</v>
      </c>
      <c r="BK1054" s="15" t="s">
        <v>2352</v>
      </c>
      <c r="BL1054" s="15" t="s">
        <v>2353</v>
      </c>
      <c r="BM1054" s="15" t="s">
        <v>2354</v>
      </c>
      <c r="BN1054" s="15" t="s">
        <v>2355</v>
      </c>
      <c r="BO1054" s="15" t="s">
        <v>2356</v>
      </c>
      <c r="BR1054" s="15" t="s">
        <v>192</v>
      </c>
      <c r="BS1054" s="15" t="s">
        <v>193</v>
      </c>
      <c r="BT1054" s="15" t="s">
        <v>194</v>
      </c>
      <c r="BU1054" s="15" t="s">
        <v>195</v>
      </c>
      <c r="BV1054" s="15" t="s">
        <v>196</v>
      </c>
      <c r="BW1054" s="15" t="s">
        <v>251</v>
      </c>
      <c r="CA1054" s="15" t="s">
        <v>2357</v>
      </c>
      <c r="CB1054" s="15" t="s">
        <v>78</v>
      </c>
      <c r="CC1054" s="15">
        <v>1</v>
      </c>
      <c r="CN1054" s="15" t="s">
        <v>198</v>
      </c>
      <c r="CW1054" s="10">
        <v>2</v>
      </c>
      <c r="CX1054" s="15" t="s">
        <v>3248</v>
      </c>
    </row>
    <row r="1055" spans="1:102" s="15" customFormat="1" x14ac:dyDescent="0.3">
      <c r="A1055" s="11" t="s">
        <v>2349</v>
      </c>
      <c r="B1055" s="10" t="s">
        <v>3249</v>
      </c>
      <c r="C1055" s="12" t="s">
        <v>3296</v>
      </c>
      <c r="D1055" s="10">
        <v>12</v>
      </c>
      <c r="E1055" s="13">
        <v>5000000</v>
      </c>
      <c r="F1055" s="14"/>
      <c r="G1055" s="14"/>
      <c r="I1055" s="8"/>
      <c r="J1055" s="10"/>
      <c r="AV1055" s="15" t="s">
        <v>181</v>
      </c>
      <c r="AW1055" s="15" t="s">
        <v>182</v>
      </c>
      <c r="BH1055" s="15" t="s">
        <v>184</v>
      </c>
      <c r="BI1055" s="15" t="s">
        <v>185</v>
      </c>
      <c r="BJ1055" s="15" t="s">
        <v>2351</v>
      </c>
      <c r="BK1055" s="15" t="s">
        <v>2352</v>
      </c>
      <c r="BL1055" s="15" t="s">
        <v>2353</v>
      </c>
      <c r="BM1055" s="15" t="s">
        <v>2354</v>
      </c>
      <c r="BN1055" s="15" t="s">
        <v>2355</v>
      </c>
      <c r="BO1055" s="15" t="s">
        <v>2356</v>
      </c>
      <c r="BR1055" s="15" t="s">
        <v>192</v>
      </c>
      <c r="BS1055" s="15" t="s">
        <v>193</v>
      </c>
      <c r="BT1055" s="15" t="s">
        <v>194</v>
      </c>
      <c r="BU1055" s="15" t="s">
        <v>195</v>
      </c>
      <c r="BV1055" s="15" t="s">
        <v>196</v>
      </c>
      <c r="BW1055" s="15" t="s">
        <v>193</v>
      </c>
      <c r="CW1055" s="10">
        <v>2</v>
      </c>
      <c r="CX1055" s="15" t="s">
        <v>3250</v>
      </c>
    </row>
    <row r="1056" spans="1:102" s="15" customFormat="1" x14ac:dyDescent="0.3">
      <c r="A1056" s="11" t="s">
        <v>2349</v>
      </c>
      <c r="B1056" s="10" t="s">
        <v>3251</v>
      </c>
      <c r="C1056" s="12" t="s">
        <v>3299</v>
      </c>
      <c r="D1056" s="10">
        <v>12</v>
      </c>
      <c r="E1056" s="13">
        <v>5000000</v>
      </c>
      <c r="F1056" s="14" t="s">
        <v>3252</v>
      </c>
      <c r="G1056" s="14" t="s">
        <v>210</v>
      </c>
      <c r="H1056" s="15" t="s">
        <v>312</v>
      </c>
      <c r="I1056" s="8"/>
      <c r="J1056" s="10"/>
      <c r="AV1056" s="15" t="s">
        <v>212</v>
      </c>
      <c r="AW1056" s="15" t="s">
        <v>213</v>
      </c>
      <c r="AX1056" s="15" t="s">
        <v>3253</v>
      </c>
      <c r="BH1056" s="15" t="s">
        <v>184</v>
      </c>
      <c r="BI1056" s="15" t="s">
        <v>185</v>
      </c>
      <c r="BJ1056" s="15" t="s">
        <v>2351</v>
      </c>
      <c r="BK1056" s="15" t="s">
        <v>2352</v>
      </c>
      <c r="BL1056" s="15" t="s">
        <v>2353</v>
      </c>
      <c r="BM1056" s="15" t="s">
        <v>2354</v>
      </c>
      <c r="BN1056" s="15" t="s">
        <v>2355</v>
      </c>
      <c r="BO1056" s="15" t="s">
        <v>2356</v>
      </c>
      <c r="BR1056" s="15" t="s">
        <v>192</v>
      </c>
      <c r="BS1056" s="15" t="s">
        <v>193</v>
      </c>
      <c r="BT1056" s="15" t="s">
        <v>194</v>
      </c>
      <c r="BU1056" s="15" t="s">
        <v>195</v>
      </c>
      <c r="BV1056" s="15" t="s">
        <v>196</v>
      </c>
      <c r="BW1056" s="15" t="s">
        <v>193</v>
      </c>
      <c r="CA1056" s="15" t="s">
        <v>2357</v>
      </c>
      <c r="CB1056" s="15" t="s">
        <v>78</v>
      </c>
      <c r="CC1056" s="15">
        <v>1</v>
      </c>
      <c r="CN1056" s="15" t="s">
        <v>3254</v>
      </c>
      <c r="CW1056" s="10">
        <v>2</v>
      </c>
      <c r="CX1056" s="15" t="s">
        <v>3255</v>
      </c>
    </row>
    <row r="1057" spans="1:102" s="15" customFormat="1" x14ac:dyDescent="0.3">
      <c r="A1057" s="11" t="s">
        <v>2349</v>
      </c>
      <c r="B1057" s="10" t="s">
        <v>3256</v>
      </c>
      <c r="C1057" s="12" t="s">
        <v>3302</v>
      </c>
      <c r="D1057" s="10">
        <v>12</v>
      </c>
      <c r="E1057" s="13">
        <v>5000000</v>
      </c>
      <c r="F1057" s="14" t="s">
        <v>3252</v>
      </c>
      <c r="G1057" s="14" t="s">
        <v>210</v>
      </c>
      <c r="H1057" s="15" t="s">
        <v>312</v>
      </c>
      <c r="I1057" s="8"/>
      <c r="J1057" s="10"/>
      <c r="AV1057" s="15" t="s">
        <v>212</v>
      </c>
      <c r="AW1057" s="15" t="s">
        <v>213</v>
      </c>
      <c r="AX1057" s="15" t="s">
        <v>3257</v>
      </c>
      <c r="BH1057" s="15" t="s">
        <v>184</v>
      </c>
      <c r="BI1057" s="15" t="s">
        <v>185</v>
      </c>
      <c r="BJ1057" s="15" t="s">
        <v>2351</v>
      </c>
      <c r="BK1057" s="15" t="s">
        <v>2352</v>
      </c>
      <c r="BL1057" s="15" t="s">
        <v>2353</v>
      </c>
      <c r="BM1057" s="15" t="s">
        <v>2354</v>
      </c>
      <c r="BN1057" s="15" t="s">
        <v>2355</v>
      </c>
      <c r="BO1057" s="15" t="s">
        <v>2356</v>
      </c>
      <c r="BR1057" s="15" t="s">
        <v>192</v>
      </c>
      <c r="BS1057" s="15" t="s">
        <v>193</v>
      </c>
      <c r="BT1057" s="15" t="s">
        <v>194</v>
      </c>
      <c r="BU1057" s="15" t="s">
        <v>195</v>
      </c>
      <c r="BV1057" s="15" t="s">
        <v>196</v>
      </c>
      <c r="BW1057" s="15" t="s">
        <v>193</v>
      </c>
      <c r="CA1057" s="15" t="s">
        <v>2357</v>
      </c>
      <c r="CB1057" s="15" t="s">
        <v>78</v>
      </c>
      <c r="CC1057" s="15">
        <v>1</v>
      </c>
      <c r="CN1057" s="15" t="s">
        <v>3254</v>
      </c>
      <c r="CW1057" s="10">
        <v>2</v>
      </c>
      <c r="CX1057" s="15" t="s">
        <v>3258</v>
      </c>
    </row>
    <row r="1058" spans="1:102" s="15" customFormat="1" x14ac:dyDescent="0.3">
      <c r="A1058" s="11" t="s">
        <v>2349</v>
      </c>
      <c r="B1058" s="10" t="s">
        <v>3259</v>
      </c>
      <c r="C1058" s="12" t="s">
        <v>3305</v>
      </c>
      <c r="D1058" s="10">
        <v>12</v>
      </c>
      <c r="E1058" s="13">
        <v>5000000</v>
      </c>
      <c r="F1058" s="14" t="s">
        <v>3252</v>
      </c>
      <c r="G1058" s="14" t="s">
        <v>210</v>
      </c>
      <c r="H1058" s="15" t="s">
        <v>312</v>
      </c>
      <c r="I1058" s="8"/>
      <c r="J1058" s="10"/>
      <c r="AV1058" s="15" t="s">
        <v>212</v>
      </c>
      <c r="AW1058" s="15" t="s">
        <v>213</v>
      </c>
      <c r="AX1058" s="15" t="s">
        <v>3260</v>
      </c>
      <c r="BH1058" s="15" t="s">
        <v>184</v>
      </c>
      <c r="BI1058" s="15" t="s">
        <v>185</v>
      </c>
      <c r="BJ1058" s="15" t="s">
        <v>2351</v>
      </c>
      <c r="BK1058" s="15" t="s">
        <v>2352</v>
      </c>
      <c r="BL1058" s="15" t="s">
        <v>2353</v>
      </c>
      <c r="BM1058" s="15" t="s">
        <v>2354</v>
      </c>
      <c r="BN1058" s="15" t="s">
        <v>2355</v>
      </c>
      <c r="BO1058" s="15" t="s">
        <v>2356</v>
      </c>
      <c r="BR1058" s="15" t="s">
        <v>192</v>
      </c>
      <c r="BS1058" s="15" t="s">
        <v>193</v>
      </c>
      <c r="BT1058" s="15" t="s">
        <v>194</v>
      </c>
      <c r="BU1058" s="15" t="s">
        <v>195</v>
      </c>
      <c r="BV1058" s="15" t="s">
        <v>196</v>
      </c>
      <c r="BW1058" s="15" t="s">
        <v>193</v>
      </c>
      <c r="CA1058" s="15" t="s">
        <v>2357</v>
      </c>
      <c r="CB1058" s="15" t="s">
        <v>78</v>
      </c>
      <c r="CC1058" s="15">
        <v>1</v>
      </c>
      <c r="CN1058" s="15" t="s">
        <v>3254</v>
      </c>
      <c r="CW1058" s="10">
        <v>2</v>
      </c>
      <c r="CX1058" s="15" t="s">
        <v>3261</v>
      </c>
    </row>
    <row r="1059" spans="1:102" s="15" customFormat="1" x14ac:dyDescent="0.3">
      <c r="A1059" s="11" t="s">
        <v>2349</v>
      </c>
      <c r="B1059" s="10" t="s">
        <v>3262</v>
      </c>
      <c r="C1059" s="12" t="s">
        <v>3308</v>
      </c>
      <c r="D1059" s="10">
        <v>12</v>
      </c>
      <c r="E1059" s="13">
        <v>5000000</v>
      </c>
      <c r="F1059" s="14" t="s">
        <v>3252</v>
      </c>
      <c r="G1059" s="14" t="s">
        <v>210</v>
      </c>
      <c r="H1059" s="15" t="s">
        <v>312</v>
      </c>
      <c r="I1059" s="8"/>
      <c r="J1059" s="10"/>
      <c r="AV1059" s="15" t="s">
        <v>212</v>
      </c>
      <c r="AW1059" s="15" t="s">
        <v>213</v>
      </c>
      <c r="AX1059" s="15" t="s">
        <v>3263</v>
      </c>
      <c r="BH1059" s="15" t="s">
        <v>184</v>
      </c>
      <c r="BI1059" s="15" t="s">
        <v>185</v>
      </c>
      <c r="BJ1059" s="15" t="s">
        <v>2351</v>
      </c>
      <c r="BK1059" s="15" t="s">
        <v>2352</v>
      </c>
      <c r="BL1059" s="15" t="s">
        <v>2353</v>
      </c>
      <c r="BM1059" s="15" t="s">
        <v>2354</v>
      </c>
      <c r="BN1059" s="15" t="s">
        <v>2355</v>
      </c>
      <c r="BO1059" s="15" t="s">
        <v>2356</v>
      </c>
      <c r="BR1059" s="15" t="s">
        <v>192</v>
      </c>
      <c r="BS1059" s="15" t="s">
        <v>193</v>
      </c>
      <c r="BT1059" s="15" t="s">
        <v>194</v>
      </c>
      <c r="BU1059" s="15" t="s">
        <v>195</v>
      </c>
      <c r="BV1059" s="15" t="s">
        <v>196</v>
      </c>
      <c r="BW1059" s="15" t="s">
        <v>193</v>
      </c>
      <c r="CA1059" s="15" t="s">
        <v>2357</v>
      </c>
      <c r="CB1059" s="15" t="s">
        <v>78</v>
      </c>
      <c r="CC1059" s="15">
        <v>1</v>
      </c>
      <c r="CN1059" s="15" t="s">
        <v>3254</v>
      </c>
      <c r="CW1059" s="10">
        <v>2</v>
      </c>
      <c r="CX1059" s="15" t="s">
        <v>3264</v>
      </c>
    </row>
    <row r="1060" spans="1:102" s="15" customFormat="1" x14ac:dyDescent="0.3">
      <c r="A1060" s="11" t="s">
        <v>2349</v>
      </c>
      <c r="B1060" s="10" t="s">
        <v>3265</v>
      </c>
      <c r="C1060" s="12" t="s">
        <v>3311</v>
      </c>
      <c r="D1060" s="10">
        <v>12</v>
      </c>
      <c r="E1060" s="13">
        <v>5000000</v>
      </c>
      <c r="F1060" s="14" t="s">
        <v>3252</v>
      </c>
      <c r="G1060" s="14" t="s">
        <v>210</v>
      </c>
      <c r="H1060" s="15" t="s">
        <v>312</v>
      </c>
      <c r="I1060" s="8"/>
      <c r="J1060" s="10"/>
      <c r="AV1060" s="15" t="s">
        <v>212</v>
      </c>
      <c r="AW1060" s="15" t="s">
        <v>213</v>
      </c>
      <c r="AX1060" s="15" t="s">
        <v>3266</v>
      </c>
      <c r="BH1060" s="15" t="s">
        <v>184</v>
      </c>
      <c r="BI1060" s="15" t="s">
        <v>185</v>
      </c>
      <c r="BJ1060" s="15" t="s">
        <v>2351</v>
      </c>
      <c r="BK1060" s="15" t="s">
        <v>2352</v>
      </c>
      <c r="BL1060" s="15" t="s">
        <v>2353</v>
      </c>
      <c r="BM1060" s="15" t="s">
        <v>2354</v>
      </c>
      <c r="BN1060" s="15" t="s">
        <v>2355</v>
      </c>
      <c r="BO1060" s="15" t="s">
        <v>2356</v>
      </c>
      <c r="BR1060" s="15" t="s">
        <v>192</v>
      </c>
      <c r="BS1060" s="15" t="s">
        <v>193</v>
      </c>
      <c r="BT1060" s="15" t="s">
        <v>194</v>
      </c>
      <c r="BU1060" s="15" t="s">
        <v>195</v>
      </c>
      <c r="BV1060" s="15" t="s">
        <v>196</v>
      </c>
      <c r="BW1060" s="15" t="s">
        <v>193</v>
      </c>
      <c r="CA1060" s="15" t="s">
        <v>2357</v>
      </c>
      <c r="CB1060" s="15" t="s">
        <v>78</v>
      </c>
      <c r="CC1060" s="15">
        <v>1</v>
      </c>
      <c r="CN1060" s="15" t="s">
        <v>3254</v>
      </c>
      <c r="CW1060" s="10">
        <v>2</v>
      </c>
      <c r="CX1060" s="15" t="s">
        <v>3267</v>
      </c>
    </row>
    <row r="1061" spans="1:102" s="15" customFormat="1" x14ac:dyDescent="0.3">
      <c r="A1061" s="11" t="s">
        <v>2349</v>
      </c>
      <c r="B1061" s="10" t="s">
        <v>3268</v>
      </c>
      <c r="C1061" s="12" t="s">
        <v>3314</v>
      </c>
      <c r="D1061" s="10">
        <v>12</v>
      </c>
      <c r="E1061" s="13">
        <v>5000000</v>
      </c>
      <c r="F1061" s="14" t="s">
        <v>3252</v>
      </c>
      <c r="G1061" s="14" t="s">
        <v>210</v>
      </c>
      <c r="H1061" s="15" t="s">
        <v>312</v>
      </c>
      <c r="I1061" s="8"/>
      <c r="J1061" s="10"/>
      <c r="AV1061" s="15" t="s">
        <v>212</v>
      </c>
      <c r="AW1061" s="15" t="s">
        <v>213</v>
      </c>
      <c r="AX1061" s="15" t="s">
        <v>3269</v>
      </c>
      <c r="BH1061" s="15" t="s">
        <v>184</v>
      </c>
      <c r="BI1061" s="15" t="s">
        <v>185</v>
      </c>
      <c r="BJ1061" s="15" t="s">
        <v>2351</v>
      </c>
      <c r="BK1061" s="15" t="s">
        <v>2352</v>
      </c>
      <c r="BL1061" s="15" t="s">
        <v>2353</v>
      </c>
      <c r="BM1061" s="15" t="s">
        <v>2354</v>
      </c>
      <c r="BN1061" s="15" t="s">
        <v>2355</v>
      </c>
      <c r="BO1061" s="15" t="s">
        <v>2356</v>
      </c>
      <c r="BR1061" s="15" t="s">
        <v>192</v>
      </c>
      <c r="BS1061" s="15" t="s">
        <v>193</v>
      </c>
      <c r="BT1061" s="15" t="s">
        <v>194</v>
      </c>
      <c r="BU1061" s="15" t="s">
        <v>195</v>
      </c>
      <c r="BV1061" s="15" t="s">
        <v>196</v>
      </c>
      <c r="BW1061" s="15" t="s">
        <v>193</v>
      </c>
      <c r="CA1061" s="15" t="s">
        <v>2357</v>
      </c>
      <c r="CB1061" s="15" t="s">
        <v>78</v>
      </c>
      <c r="CC1061" s="15">
        <v>1</v>
      </c>
      <c r="CN1061" s="15" t="s">
        <v>3254</v>
      </c>
      <c r="CW1061" s="10">
        <v>2</v>
      </c>
      <c r="CX1061" s="15" t="s">
        <v>3270</v>
      </c>
    </row>
    <row r="1062" spans="1:102" s="15" customFormat="1" x14ac:dyDescent="0.3">
      <c r="A1062" s="11" t="s">
        <v>2349</v>
      </c>
      <c r="B1062" s="10" t="s">
        <v>3271</v>
      </c>
      <c r="C1062" s="12" t="s">
        <v>3317</v>
      </c>
      <c r="D1062" s="10">
        <v>12</v>
      </c>
      <c r="E1062" s="13">
        <v>5000000</v>
      </c>
      <c r="F1062" s="14" t="s">
        <v>3252</v>
      </c>
      <c r="G1062" s="14" t="s">
        <v>210</v>
      </c>
      <c r="H1062" s="15" t="s">
        <v>312</v>
      </c>
      <c r="I1062" s="8"/>
      <c r="J1062" s="10"/>
      <c r="AV1062" s="15" t="s">
        <v>212</v>
      </c>
      <c r="AW1062" s="15" t="s">
        <v>213</v>
      </c>
      <c r="AX1062" s="15" t="s">
        <v>3272</v>
      </c>
      <c r="BH1062" s="15" t="s">
        <v>184</v>
      </c>
      <c r="BI1062" s="15" t="s">
        <v>185</v>
      </c>
      <c r="BJ1062" s="15" t="s">
        <v>2351</v>
      </c>
      <c r="BK1062" s="15" t="s">
        <v>2352</v>
      </c>
      <c r="BL1062" s="15" t="s">
        <v>2353</v>
      </c>
      <c r="BM1062" s="15" t="s">
        <v>2354</v>
      </c>
      <c r="BN1062" s="15" t="s">
        <v>2355</v>
      </c>
      <c r="BO1062" s="15" t="s">
        <v>2356</v>
      </c>
      <c r="BR1062" s="15" t="s">
        <v>192</v>
      </c>
      <c r="BS1062" s="15" t="s">
        <v>193</v>
      </c>
      <c r="BT1062" s="15" t="s">
        <v>194</v>
      </c>
      <c r="BU1062" s="15" t="s">
        <v>195</v>
      </c>
      <c r="BV1062" s="15" t="s">
        <v>196</v>
      </c>
      <c r="BW1062" s="15" t="s">
        <v>193</v>
      </c>
      <c r="CA1062" s="15" t="s">
        <v>2357</v>
      </c>
      <c r="CB1062" s="15" t="s">
        <v>78</v>
      </c>
      <c r="CC1062" s="15">
        <v>1</v>
      </c>
      <c r="CN1062" s="15" t="s">
        <v>3254</v>
      </c>
      <c r="CW1062" s="10">
        <v>2</v>
      </c>
      <c r="CX1062" s="15" t="s">
        <v>3273</v>
      </c>
    </row>
    <row r="1063" spans="1:102" s="15" customFormat="1" x14ac:dyDescent="0.3">
      <c r="A1063" s="11" t="s">
        <v>2349</v>
      </c>
      <c r="B1063" s="10" t="s">
        <v>3274</v>
      </c>
      <c r="C1063" s="12" t="s">
        <v>3320</v>
      </c>
      <c r="D1063" s="10">
        <v>12</v>
      </c>
      <c r="E1063" s="13">
        <v>5000000</v>
      </c>
      <c r="F1063" s="14" t="s">
        <v>3252</v>
      </c>
      <c r="G1063" s="14" t="s">
        <v>210</v>
      </c>
      <c r="H1063" s="15" t="s">
        <v>312</v>
      </c>
      <c r="I1063" s="8"/>
      <c r="J1063" s="10"/>
      <c r="AV1063" s="15" t="s">
        <v>212</v>
      </c>
      <c r="AW1063" s="15" t="s">
        <v>213</v>
      </c>
      <c r="AX1063" s="15" t="s">
        <v>3275</v>
      </c>
      <c r="BH1063" s="15" t="s">
        <v>184</v>
      </c>
      <c r="BI1063" s="15" t="s">
        <v>185</v>
      </c>
      <c r="BJ1063" s="15" t="s">
        <v>2351</v>
      </c>
      <c r="BK1063" s="15" t="s">
        <v>2352</v>
      </c>
      <c r="BL1063" s="15" t="s">
        <v>2353</v>
      </c>
      <c r="BM1063" s="15" t="s">
        <v>2354</v>
      </c>
      <c r="BN1063" s="15" t="s">
        <v>2355</v>
      </c>
      <c r="BO1063" s="15" t="s">
        <v>2356</v>
      </c>
      <c r="BR1063" s="15" t="s">
        <v>192</v>
      </c>
      <c r="BS1063" s="15" t="s">
        <v>193</v>
      </c>
      <c r="BT1063" s="15" t="s">
        <v>194</v>
      </c>
      <c r="BU1063" s="15" t="s">
        <v>195</v>
      </c>
      <c r="BV1063" s="15" t="s">
        <v>196</v>
      </c>
      <c r="BW1063" s="15" t="s">
        <v>193</v>
      </c>
      <c r="CA1063" s="15" t="s">
        <v>2357</v>
      </c>
      <c r="CB1063" s="15" t="s">
        <v>78</v>
      </c>
      <c r="CC1063" s="15">
        <v>1</v>
      </c>
      <c r="CN1063" s="15" t="s">
        <v>3254</v>
      </c>
      <c r="CW1063" s="10">
        <v>2</v>
      </c>
      <c r="CX1063" s="15" t="s">
        <v>3276</v>
      </c>
    </row>
    <row r="1064" spans="1:102" s="15" customFormat="1" x14ac:dyDescent="0.3">
      <c r="A1064" s="11" t="s">
        <v>2349</v>
      </c>
      <c r="B1064" s="10" t="s">
        <v>3277</v>
      </c>
      <c r="C1064" s="12" t="s">
        <v>3323</v>
      </c>
      <c r="D1064" s="10">
        <v>12</v>
      </c>
      <c r="E1064" s="13">
        <v>5000000</v>
      </c>
      <c r="F1064" s="14" t="s">
        <v>3252</v>
      </c>
      <c r="G1064" s="14" t="s">
        <v>210</v>
      </c>
      <c r="H1064" s="15" t="s">
        <v>312</v>
      </c>
      <c r="I1064" s="8"/>
      <c r="J1064" s="10"/>
      <c r="AV1064" s="15" t="s">
        <v>212</v>
      </c>
      <c r="AW1064" s="15" t="s">
        <v>213</v>
      </c>
      <c r="AX1064" s="15" t="s">
        <v>3278</v>
      </c>
      <c r="BH1064" s="15" t="s">
        <v>184</v>
      </c>
      <c r="BI1064" s="15" t="s">
        <v>185</v>
      </c>
      <c r="BJ1064" s="15" t="s">
        <v>2351</v>
      </c>
      <c r="BK1064" s="15" t="s">
        <v>2352</v>
      </c>
      <c r="BL1064" s="15" t="s">
        <v>2353</v>
      </c>
      <c r="BM1064" s="15" t="s">
        <v>2354</v>
      </c>
      <c r="BN1064" s="15" t="s">
        <v>2355</v>
      </c>
      <c r="BO1064" s="15" t="s">
        <v>2356</v>
      </c>
      <c r="BR1064" s="15" t="s">
        <v>192</v>
      </c>
      <c r="BS1064" s="15" t="s">
        <v>193</v>
      </c>
      <c r="BT1064" s="15" t="s">
        <v>194</v>
      </c>
      <c r="BU1064" s="15" t="s">
        <v>195</v>
      </c>
      <c r="BV1064" s="15" t="s">
        <v>196</v>
      </c>
      <c r="BW1064" s="15" t="s">
        <v>193</v>
      </c>
      <c r="CA1064" s="15" t="s">
        <v>2357</v>
      </c>
      <c r="CB1064" s="15" t="s">
        <v>78</v>
      </c>
      <c r="CC1064" s="15">
        <v>1</v>
      </c>
      <c r="CN1064" s="15" t="s">
        <v>3254</v>
      </c>
      <c r="CW1064" s="10">
        <v>2</v>
      </c>
      <c r="CX1064" s="15" t="s">
        <v>3279</v>
      </c>
    </row>
    <row r="1065" spans="1:102" s="15" customFormat="1" x14ac:dyDescent="0.3">
      <c r="A1065" s="11" t="s">
        <v>2349</v>
      </c>
      <c r="B1065" s="10" t="s">
        <v>3280</v>
      </c>
      <c r="C1065" s="12" t="s">
        <v>3326</v>
      </c>
      <c r="D1065" s="10">
        <v>12</v>
      </c>
      <c r="E1065" s="13">
        <v>5000000</v>
      </c>
      <c r="F1065" s="14" t="s">
        <v>3252</v>
      </c>
      <c r="G1065" s="14" t="s">
        <v>210</v>
      </c>
      <c r="H1065" s="15" t="s">
        <v>312</v>
      </c>
      <c r="I1065" s="8"/>
      <c r="J1065" s="10"/>
      <c r="AV1065" s="15" t="s">
        <v>212</v>
      </c>
      <c r="AW1065" s="15" t="s">
        <v>213</v>
      </c>
      <c r="AX1065" s="15" t="s">
        <v>3281</v>
      </c>
      <c r="BH1065" s="15" t="s">
        <v>184</v>
      </c>
      <c r="BI1065" s="15" t="s">
        <v>185</v>
      </c>
      <c r="BJ1065" s="15" t="s">
        <v>2351</v>
      </c>
      <c r="BK1065" s="15" t="s">
        <v>2352</v>
      </c>
      <c r="BL1065" s="15" t="s">
        <v>2353</v>
      </c>
      <c r="BM1065" s="15" t="s">
        <v>2354</v>
      </c>
      <c r="BN1065" s="15" t="s">
        <v>2355</v>
      </c>
      <c r="BO1065" s="15" t="s">
        <v>2356</v>
      </c>
      <c r="BR1065" s="15" t="s">
        <v>192</v>
      </c>
      <c r="BS1065" s="15" t="s">
        <v>193</v>
      </c>
      <c r="BT1065" s="15" t="s">
        <v>194</v>
      </c>
      <c r="BU1065" s="15" t="s">
        <v>195</v>
      </c>
      <c r="BV1065" s="15" t="s">
        <v>196</v>
      </c>
      <c r="BW1065" s="15" t="s">
        <v>193</v>
      </c>
      <c r="CA1065" s="15" t="s">
        <v>2357</v>
      </c>
      <c r="CB1065" s="15" t="s">
        <v>78</v>
      </c>
      <c r="CC1065" s="15">
        <v>1</v>
      </c>
      <c r="CN1065" s="15" t="s">
        <v>3254</v>
      </c>
      <c r="CW1065" s="10">
        <v>2</v>
      </c>
      <c r="CX1065" s="15" t="s">
        <v>3282</v>
      </c>
    </row>
    <row r="1066" spans="1:102" s="15" customFormat="1" x14ac:dyDescent="0.3">
      <c r="A1066" s="11" t="s">
        <v>2349</v>
      </c>
      <c r="B1066" s="10" t="s">
        <v>3283</v>
      </c>
      <c r="C1066" s="12" t="s">
        <v>3329</v>
      </c>
      <c r="D1066" s="10">
        <v>12</v>
      </c>
      <c r="E1066" s="13">
        <v>5000000</v>
      </c>
      <c r="F1066" s="14" t="s">
        <v>3252</v>
      </c>
      <c r="G1066" s="14" t="s">
        <v>210</v>
      </c>
      <c r="H1066" s="15" t="s">
        <v>312</v>
      </c>
      <c r="I1066" s="8"/>
      <c r="J1066" s="10"/>
      <c r="AV1066" s="15" t="s">
        <v>212</v>
      </c>
      <c r="AW1066" s="15" t="s">
        <v>213</v>
      </c>
      <c r="AX1066" s="15" t="s">
        <v>3284</v>
      </c>
      <c r="BH1066" s="15" t="s">
        <v>184</v>
      </c>
      <c r="BI1066" s="15" t="s">
        <v>185</v>
      </c>
      <c r="BJ1066" s="15" t="s">
        <v>2351</v>
      </c>
      <c r="BK1066" s="15" t="s">
        <v>2352</v>
      </c>
      <c r="BL1066" s="15" t="s">
        <v>2353</v>
      </c>
      <c r="BM1066" s="15" t="s">
        <v>2354</v>
      </c>
      <c r="BN1066" s="15" t="s">
        <v>2355</v>
      </c>
      <c r="BO1066" s="15" t="s">
        <v>2356</v>
      </c>
      <c r="BR1066" s="15" t="s">
        <v>192</v>
      </c>
      <c r="BS1066" s="15" t="s">
        <v>193</v>
      </c>
      <c r="BT1066" s="15" t="s">
        <v>194</v>
      </c>
      <c r="BU1066" s="15" t="s">
        <v>195</v>
      </c>
      <c r="BV1066" s="15" t="s">
        <v>196</v>
      </c>
      <c r="BW1066" s="15" t="s">
        <v>193</v>
      </c>
      <c r="CA1066" s="15" t="s">
        <v>2357</v>
      </c>
      <c r="CB1066" s="15" t="s">
        <v>78</v>
      </c>
      <c r="CC1066" s="15">
        <v>1</v>
      </c>
      <c r="CN1066" s="15" t="s">
        <v>3254</v>
      </c>
      <c r="CW1066" s="10">
        <v>2</v>
      </c>
      <c r="CX1066" s="15" t="s">
        <v>3285</v>
      </c>
    </row>
    <row r="1067" spans="1:102" s="15" customFormat="1" x14ac:dyDescent="0.3">
      <c r="A1067" s="11" t="s">
        <v>2349</v>
      </c>
      <c r="B1067" s="10" t="s">
        <v>3286</v>
      </c>
      <c r="C1067" s="12" t="s">
        <v>3332</v>
      </c>
      <c r="D1067" s="10">
        <v>12</v>
      </c>
      <c r="E1067" s="13">
        <v>5000000</v>
      </c>
      <c r="F1067" s="14" t="s">
        <v>3252</v>
      </c>
      <c r="G1067" s="14" t="s">
        <v>210</v>
      </c>
      <c r="H1067" s="15" t="s">
        <v>312</v>
      </c>
      <c r="I1067" s="8"/>
      <c r="J1067" s="10"/>
      <c r="AV1067" s="15" t="s">
        <v>212</v>
      </c>
      <c r="AW1067" s="15" t="s">
        <v>213</v>
      </c>
      <c r="AX1067" s="15" t="s">
        <v>3287</v>
      </c>
      <c r="BH1067" s="15" t="s">
        <v>184</v>
      </c>
      <c r="BI1067" s="15" t="s">
        <v>185</v>
      </c>
      <c r="BJ1067" s="15" t="s">
        <v>2351</v>
      </c>
      <c r="BK1067" s="15" t="s">
        <v>2352</v>
      </c>
      <c r="BL1067" s="15" t="s">
        <v>2353</v>
      </c>
      <c r="BM1067" s="15" t="s">
        <v>2354</v>
      </c>
      <c r="BN1067" s="15" t="s">
        <v>2355</v>
      </c>
      <c r="BO1067" s="15" t="s">
        <v>2356</v>
      </c>
      <c r="BR1067" s="15" t="s">
        <v>192</v>
      </c>
      <c r="BS1067" s="15" t="s">
        <v>193</v>
      </c>
      <c r="BT1067" s="15" t="s">
        <v>194</v>
      </c>
      <c r="BU1067" s="15" t="s">
        <v>195</v>
      </c>
      <c r="BV1067" s="15" t="s">
        <v>196</v>
      </c>
      <c r="BW1067" s="15" t="s">
        <v>193</v>
      </c>
      <c r="CA1067" s="15" t="s">
        <v>2357</v>
      </c>
      <c r="CB1067" s="15" t="s">
        <v>78</v>
      </c>
      <c r="CC1067" s="15">
        <v>1</v>
      </c>
      <c r="CN1067" s="15" t="s">
        <v>3254</v>
      </c>
      <c r="CW1067" s="10">
        <v>2</v>
      </c>
      <c r="CX1067" s="15" t="s">
        <v>3288</v>
      </c>
    </row>
    <row r="1068" spans="1:102" s="15" customFormat="1" x14ac:dyDescent="0.3">
      <c r="A1068" s="11" t="s">
        <v>2349</v>
      </c>
      <c r="B1068" s="10" t="s">
        <v>3289</v>
      </c>
      <c r="C1068" s="12" t="s">
        <v>3335</v>
      </c>
      <c r="D1068" s="10">
        <v>12</v>
      </c>
      <c r="E1068" s="13">
        <v>5000000</v>
      </c>
      <c r="F1068" s="14" t="s">
        <v>3252</v>
      </c>
      <c r="G1068" s="14" t="s">
        <v>210</v>
      </c>
      <c r="H1068" s="15" t="s">
        <v>312</v>
      </c>
      <c r="I1068" s="8"/>
      <c r="J1068" s="10"/>
      <c r="AV1068" s="15" t="s">
        <v>212</v>
      </c>
      <c r="AW1068" s="15" t="s">
        <v>213</v>
      </c>
      <c r="AX1068" s="15" t="s">
        <v>3290</v>
      </c>
      <c r="BH1068" s="15" t="s">
        <v>184</v>
      </c>
      <c r="BI1068" s="15" t="s">
        <v>185</v>
      </c>
      <c r="BJ1068" s="15" t="s">
        <v>2351</v>
      </c>
      <c r="BK1068" s="15" t="s">
        <v>2352</v>
      </c>
      <c r="BL1068" s="15" t="s">
        <v>2353</v>
      </c>
      <c r="BM1068" s="15" t="s">
        <v>2354</v>
      </c>
      <c r="BN1068" s="15" t="s">
        <v>2355</v>
      </c>
      <c r="BO1068" s="15" t="s">
        <v>2356</v>
      </c>
      <c r="BR1068" s="15" t="s">
        <v>192</v>
      </c>
      <c r="BS1068" s="15" t="s">
        <v>193</v>
      </c>
      <c r="BT1068" s="15" t="s">
        <v>194</v>
      </c>
      <c r="BU1068" s="15" t="s">
        <v>195</v>
      </c>
      <c r="BV1068" s="15" t="s">
        <v>196</v>
      </c>
      <c r="BW1068" s="15" t="s">
        <v>193</v>
      </c>
      <c r="CA1068" s="15" t="s">
        <v>2357</v>
      </c>
      <c r="CB1068" s="15" t="s">
        <v>78</v>
      </c>
      <c r="CC1068" s="15">
        <v>1</v>
      </c>
      <c r="CN1068" s="15" t="s">
        <v>3254</v>
      </c>
      <c r="CW1068" s="10">
        <v>2</v>
      </c>
      <c r="CX1068" s="15" t="s">
        <v>3291</v>
      </c>
    </row>
    <row r="1069" spans="1:102" s="15" customFormat="1" x14ac:dyDescent="0.3">
      <c r="A1069" s="11" t="s">
        <v>2349</v>
      </c>
      <c r="B1069" s="10" t="s">
        <v>3292</v>
      </c>
      <c r="C1069" s="12" t="s">
        <v>3338</v>
      </c>
      <c r="D1069" s="10">
        <v>12</v>
      </c>
      <c r="E1069" s="13">
        <v>5000000</v>
      </c>
      <c r="F1069" s="14" t="s">
        <v>3252</v>
      </c>
      <c r="G1069" s="14" t="s">
        <v>210</v>
      </c>
      <c r="H1069" s="15" t="s">
        <v>312</v>
      </c>
      <c r="I1069" s="8"/>
      <c r="J1069" s="10"/>
      <c r="AV1069" s="15" t="s">
        <v>212</v>
      </c>
      <c r="AW1069" s="15" t="s">
        <v>213</v>
      </c>
      <c r="AX1069" s="15" t="s">
        <v>3293</v>
      </c>
      <c r="BH1069" s="15" t="s">
        <v>184</v>
      </c>
      <c r="BI1069" s="15" t="s">
        <v>185</v>
      </c>
      <c r="BJ1069" s="15" t="s">
        <v>2351</v>
      </c>
      <c r="BK1069" s="15" t="s">
        <v>2352</v>
      </c>
      <c r="BL1069" s="15" t="s">
        <v>2353</v>
      </c>
      <c r="BM1069" s="15" t="s">
        <v>2354</v>
      </c>
      <c r="BN1069" s="15" t="s">
        <v>2355</v>
      </c>
      <c r="BO1069" s="15" t="s">
        <v>2356</v>
      </c>
      <c r="BR1069" s="15" t="s">
        <v>192</v>
      </c>
      <c r="BS1069" s="15" t="s">
        <v>193</v>
      </c>
      <c r="BT1069" s="15" t="s">
        <v>194</v>
      </c>
      <c r="BU1069" s="15" t="s">
        <v>195</v>
      </c>
      <c r="BV1069" s="15" t="s">
        <v>196</v>
      </c>
      <c r="BW1069" s="15" t="s">
        <v>193</v>
      </c>
      <c r="CA1069" s="15" t="s">
        <v>2357</v>
      </c>
      <c r="CB1069" s="15" t="s">
        <v>78</v>
      </c>
      <c r="CC1069" s="15">
        <v>1</v>
      </c>
      <c r="CN1069" s="15" t="s">
        <v>3254</v>
      </c>
      <c r="CW1069" s="10">
        <v>2</v>
      </c>
      <c r="CX1069" s="15" t="s">
        <v>3294</v>
      </c>
    </row>
    <row r="1070" spans="1:102" s="15" customFormat="1" x14ac:dyDescent="0.3">
      <c r="A1070" s="11" t="s">
        <v>2349</v>
      </c>
      <c r="B1070" s="10" t="s">
        <v>3295</v>
      </c>
      <c r="C1070" s="12" t="s">
        <v>3296</v>
      </c>
      <c r="D1070" s="10">
        <v>12</v>
      </c>
      <c r="E1070" s="13">
        <v>5000000</v>
      </c>
      <c r="F1070" s="14"/>
      <c r="G1070" s="14"/>
      <c r="I1070" s="8"/>
      <c r="J1070" s="10"/>
      <c r="AV1070" s="15" t="s">
        <v>181</v>
      </c>
      <c r="AW1070" s="15" t="s">
        <v>182</v>
      </c>
      <c r="BH1070" s="15" t="s">
        <v>184</v>
      </c>
      <c r="BI1070" s="15" t="s">
        <v>185</v>
      </c>
      <c r="BJ1070" s="15" t="s">
        <v>2351</v>
      </c>
      <c r="BK1070" s="15" t="s">
        <v>2352</v>
      </c>
      <c r="BL1070" s="15" t="s">
        <v>2353</v>
      </c>
      <c r="BM1070" s="15" t="s">
        <v>2354</v>
      </c>
      <c r="BN1070" s="15" t="s">
        <v>2355</v>
      </c>
      <c r="BO1070" s="15" t="s">
        <v>2356</v>
      </c>
      <c r="BR1070" s="15" t="s">
        <v>192</v>
      </c>
      <c r="BS1070" s="15" t="s">
        <v>193</v>
      </c>
      <c r="BT1070" s="15" t="s">
        <v>194</v>
      </c>
      <c r="BU1070" s="15" t="s">
        <v>195</v>
      </c>
      <c r="BV1070" s="15" t="s">
        <v>196</v>
      </c>
      <c r="BW1070" s="15" t="s">
        <v>193</v>
      </c>
      <c r="CA1070" s="15" t="s">
        <v>2357</v>
      </c>
      <c r="CB1070" s="15" t="s">
        <v>78</v>
      </c>
      <c r="CC1070" s="15">
        <v>1</v>
      </c>
      <c r="CW1070" s="10">
        <v>2</v>
      </c>
      <c r="CX1070" s="15" t="s">
        <v>3297</v>
      </c>
    </row>
    <row r="1071" spans="1:102" s="15" customFormat="1" x14ac:dyDescent="0.3">
      <c r="A1071" s="11" t="s">
        <v>2349</v>
      </c>
      <c r="B1071" s="10" t="s">
        <v>3298</v>
      </c>
      <c r="C1071" s="12" t="s">
        <v>3299</v>
      </c>
      <c r="D1071" s="10">
        <v>12</v>
      </c>
      <c r="E1071" s="13">
        <v>5000000</v>
      </c>
      <c r="F1071" s="14" t="s">
        <v>210</v>
      </c>
      <c r="G1071" s="14" t="s">
        <v>210</v>
      </c>
      <c r="H1071" s="15" t="s">
        <v>312</v>
      </c>
      <c r="I1071" s="8"/>
      <c r="J1071" s="10"/>
      <c r="AV1071" s="15" t="s">
        <v>181</v>
      </c>
      <c r="AW1071" s="15" t="s">
        <v>182</v>
      </c>
      <c r="AX1071" s="15" t="s">
        <v>3253</v>
      </c>
      <c r="BH1071" s="15" t="s">
        <v>184</v>
      </c>
      <c r="BI1071" s="15" t="s">
        <v>185</v>
      </c>
      <c r="BJ1071" s="15" t="s">
        <v>2351</v>
      </c>
      <c r="BK1071" s="15" t="s">
        <v>2352</v>
      </c>
      <c r="BL1071" s="15" t="s">
        <v>2353</v>
      </c>
      <c r="BM1071" s="15" t="s">
        <v>2354</v>
      </c>
      <c r="BN1071" s="15" t="s">
        <v>2355</v>
      </c>
      <c r="BO1071" s="15" t="s">
        <v>2356</v>
      </c>
      <c r="BR1071" s="15" t="s">
        <v>192</v>
      </c>
      <c r="BS1071" s="15" t="s">
        <v>193</v>
      </c>
      <c r="BT1071" s="15" t="s">
        <v>194</v>
      </c>
      <c r="BU1071" s="15" t="s">
        <v>195</v>
      </c>
      <c r="BV1071" s="15" t="s">
        <v>196</v>
      </c>
      <c r="BW1071" s="15" t="s">
        <v>193</v>
      </c>
      <c r="CA1071" s="15" t="s">
        <v>2357</v>
      </c>
      <c r="CB1071" s="15" t="s">
        <v>78</v>
      </c>
      <c r="CC1071" s="15">
        <v>1</v>
      </c>
      <c r="CW1071" s="10">
        <v>2</v>
      </c>
      <c r="CX1071" s="15" t="s">
        <v>3300</v>
      </c>
    </row>
    <row r="1072" spans="1:102" s="15" customFormat="1" x14ac:dyDescent="0.3">
      <c r="A1072" s="11" t="s">
        <v>2349</v>
      </c>
      <c r="B1072" s="10" t="s">
        <v>3301</v>
      </c>
      <c r="C1072" s="12" t="s">
        <v>3302</v>
      </c>
      <c r="D1072" s="10">
        <v>12</v>
      </c>
      <c r="E1072" s="13">
        <v>5000000</v>
      </c>
      <c r="F1072" s="14" t="s">
        <v>210</v>
      </c>
      <c r="G1072" s="14" t="s">
        <v>210</v>
      </c>
      <c r="H1072" s="15" t="s">
        <v>312</v>
      </c>
      <c r="I1072" s="8"/>
      <c r="J1072" s="10"/>
      <c r="AV1072" s="15" t="s">
        <v>181</v>
      </c>
      <c r="AW1072" s="15" t="s">
        <v>182</v>
      </c>
      <c r="AX1072" s="15" t="s">
        <v>3257</v>
      </c>
      <c r="BH1072" s="15" t="s">
        <v>184</v>
      </c>
      <c r="BI1072" s="15" t="s">
        <v>185</v>
      </c>
      <c r="BJ1072" s="15" t="s">
        <v>2351</v>
      </c>
      <c r="BK1072" s="15" t="s">
        <v>2352</v>
      </c>
      <c r="BL1072" s="15" t="s">
        <v>2353</v>
      </c>
      <c r="BM1072" s="15" t="s">
        <v>2354</v>
      </c>
      <c r="BN1072" s="15" t="s">
        <v>2355</v>
      </c>
      <c r="BO1072" s="15" t="s">
        <v>2356</v>
      </c>
      <c r="BR1072" s="15" t="s">
        <v>192</v>
      </c>
      <c r="BS1072" s="15" t="s">
        <v>193</v>
      </c>
      <c r="BT1072" s="15" t="s">
        <v>194</v>
      </c>
      <c r="BU1072" s="15" t="s">
        <v>195</v>
      </c>
      <c r="BV1072" s="15" t="s">
        <v>196</v>
      </c>
      <c r="BW1072" s="15" t="s">
        <v>193</v>
      </c>
      <c r="CA1072" s="15" t="s">
        <v>2357</v>
      </c>
      <c r="CB1072" s="15" t="s">
        <v>78</v>
      </c>
      <c r="CC1072" s="15">
        <v>1</v>
      </c>
      <c r="CW1072" s="10">
        <v>2</v>
      </c>
      <c r="CX1072" s="15" t="s">
        <v>3303</v>
      </c>
    </row>
    <row r="1073" spans="1:102" s="15" customFormat="1" x14ac:dyDescent="0.3">
      <c r="A1073" s="11" t="s">
        <v>2349</v>
      </c>
      <c r="B1073" s="10" t="s">
        <v>3304</v>
      </c>
      <c r="C1073" s="12" t="s">
        <v>3305</v>
      </c>
      <c r="D1073" s="10">
        <v>12</v>
      </c>
      <c r="E1073" s="13">
        <v>5000000</v>
      </c>
      <c r="F1073" s="14" t="s">
        <v>210</v>
      </c>
      <c r="G1073" s="14" t="s">
        <v>210</v>
      </c>
      <c r="H1073" s="15" t="s">
        <v>312</v>
      </c>
      <c r="I1073" s="8"/>
      <c r="J1073" s="10"/>
      <c r="AV1073" s="15" t="s">
        <v>181</v>
      </c>
      <c r="AW1073" s="15" t="s">
        <v>182</v>
      </c>
      <c r="AX1073" s="15" t="s">
        <v>3260</v>
      </c>
      <c r="BH1073" s="15" t="s">
        <v>184</v>
      </c>
      <c r="BI1073" s="15" t="s">
        <v>185</v>
      </c>
      <c r="BJ1073" s="15" t="s">
        <v>2351</v>
      </c>
      <c r="BK1073" s="15" t="s">
        <v>2352</v>
      </c>
      <c r="BL1073" s="15" t="s">
        <v>2353</v>
      </c>
      <c r="BM1073" s="15" t="s">
        <v>2354</v>
      </c>
      <c r="BN1073" s="15" t="s">
        <v>2355</v>
      </c>
      <c r="BO1073" s="15" t="s">
        <v>2356</v>
      </c>
      <c r="BR1073" s="15" t="s">
        <v>192</v>
      </c>
      <c r="BS1073" s="15" t="s">
        <v>193</v>
      </c>
      <c r="BT1073" s="15" t="s">
        <v>194</v>
      </c>
      <c r="BU1073" s="15" t="s">
        <v>195</v>
      </c>
      <c r="BV1073" s="15" t="s">
        <v>196</v>
      </c>
      <c r="BW1073" s="15" t="s">
        <v>193</v>
      </c>
      <c r="CA1073" s="15" t="s">
        <v>2357</v>
      </c>
      <c r="CB1073" s="15" t="s">
        <v>78</v>
      </c>
      <c r="CC1073" s="15">
        <v>1</v>
      </c>
      <c r="CW1073" s="10">
        <v>2</v>
      </c>
      <c r="CX1073" s="15" t="s">
        <v>3306</v>
      </c>
    </row>
    <row r="1074" spans="1:102" s="15" customFormat="1" x14ac:dyDescent="0.3">
      <c r="A1074" s="11" t="s">
        <v>2349</v>
      </c>
      <c r="B1074" s="10" t="s">
        <v>3307</v>
      </c>
      <c r="C1074" s="12" t="s">
        <v>3308</v>
      </c>
      <c r="D1074" s="10">
        <v>12</v>
      </c>
      <c r="E1074" s="13">
        <v>5000000</v>
      </c>
      <c r="F1074" s="14" t="s">
        <v>210</v>
      </c>
      <c r="G1074" s="14" t="s">
        <v>210</v>
      </c>
      <c r="H1074" s="15" t="s">
        <v>312</v>
      </c>
      <c r="I1074" s="8"/>
      <c r="J1074" s="10"/>
      <c r="AV1074" s="15" t="s">
        <v>181</v>
      </c>
      <c r="AW1074" s="15" t="s">
        <v>182</v>
      </c>
      <c r="AX1074" s="15" t="s">
        <v>3263</v>
      </c>
      <c r="BH1074" s="15" t="s">
        <v>184</v>
      </c>
      <c r="BI1074" s="15" t="s">
        <v>185</v>
      </c>
      <c r="BJ1074" s="15" t="s">
        <v>2351</v>
      </c>
      <c r="BK1074" s="15" t="s">
        <v>2352</v>
      </c>
      <c r="BL1074" s="15" t="s">
        <v>2353</v>
      </c>
      <c r="BM1074" s="15" t="s">
        <v>2354</v>
      </c>
      <c r="BN1074" s="15" t="s">
        <v>2355</v>
      </c>
      <c r="BO1074" s="15" t="s">
        <v>2356</v>
      </c>
      <c r="BR1074" s="15" t="s">
        <v>192</v>
      </c>
      <c r="BS1074" s="15" t="s">
        <v>193</v>
      </c>
      <c r="BT1074" s="15" t="s">
        <v>194</v>
      </c>
      <c r="BU1074" s="15" t="s">
        <v>195</v>
      </c>
      <c r="BV1074" s="15" t="s">
        <v>196</v>
      </c>
      <c r="BW1074" s="15" t="s">
        <v>193</v>
      </c>
      <c r="CA1074" s="15" t="s">
        <v>2357</v>
      </c>
      <c r="CB1074" s="15" t="s">
        <v>78</v>
      </c>
      <c r="CC1074" s="15">
        <v>1</v>
      </c>
      <c r="CW1074" s="10">
        <v>2</v>
      </c>
      <c r="CX1074" s="15" t="s">
        <v>3309</v>
      </c>
    </row>
    <row r="1075" spans="1:102" s="15" customFormat="1" x14ac:dyDescent="0.3">
      <c r="A1075" s="11" t="s">
        <v>2349</v>
      </c>
      <c r="B1075" s="10" t="s">
        <v>3310</v>
      </c>
      <c r="C1075" s="12" t="s">
        <v>3311</v>
      </c>
      <c r="D1075" s="10">
        <v>12</v>
      </c>
      <c r="E1075" s="13">
        <v>5000000</v>
      </c>
      <c r="F1075" s="14" t="s">
        <v>210</v>
      </c>
      <c r="G1075" s="14" t="s">
        <v>210</v>
      </c>
      <c r="H1075" s="15" t="s">
        <v>312</v>
      </c>
      <c r="I1075" s="8"/>
      <c r="J1075" s="10"/>
      <c r="AV1075" s="15" t="s">
        <v>181</v>
      </c>
      <c r="AW1075" s="15" t="s">
        <v>182</v>
      </c>
      <c r="AX1075" s="15" t="s">
        <v>3266</v>
      </c>
      <c r="BH1075" s="15" t="s">
        <v>184</v>
      </c>
      <c r="BI1075" s="15" t="s">
        <v>185</v>
      </c>
      <c r="BJ1075" s="15" t="s">
        <v>2351</v>
      </c>
      <c r="BK1075" s="15" t="s">
        <v>2352</v>
      </c>
      <c r="BL1075" s="15" t="s">
        <v>2353</v>
      </c>
      <c r="BM1075" s="15" t="s">
        <v>2354</v>
      </c>
      <c r="BN1075" s="15" t="s">
        <v>2355</v>
      </c>
      <c r="BO1075" s="15" t="s">
        <v>2356</v>
      </c>
      <c r="BR1075" s="15" t="s">
        <v>192</v>
      </c>
      <c r="BS1075" s="15" t="s">
        <v>193</v>
      </c>
      <c r="BT1075" s="15" t="s">
        <v>194</v>
      </c>
      <c r="BU1075" s="15" t="s">
        <v>195</v>
      </c>
      <c r="BV1075" s="15" t="s">
        <v>196</v>
      </c>
      <c r="BW1075" s="15" t="s">
        <v>193</v>
      </c>
      <c r="CA1075" s="15" t="s">
        <v>2357</v>
      </c>
      <c r="CB1075" s="15" t="s">
        <v>78</v>
      </c>
      <c r="CC1075" s="15">
        <v>1</v>
      </c>
      <c r="CW1075" s="10">
        <v>2</v>
      </c>
      <c r="CX1075" s="15" t="s">
        <v>3312</v>
      </c>
    </row>
    <row r="1076" spans="1:102" s="15" customFormat="1" x14ac:dyDescent="0.3">
      <c r="A1076" s="11" t="s">
        <v>2349</v>
      </c>
      <c r="B1076" s="10" t="s">
        <v>3313</v>
      </c>
      <c r="C1076" s="12" t="s">
        <v>3314</v>
      </c>
      <c r="D1076" s="10">
        <v>12</v>
      </c>
      <c r="E1076" s="13">
        <v>5000000</v>
      </c>
      <c r="F1076" s="14" t="s">
        <v>210</v>
      </c>
      <c r="G1076" s="14" t="s">
        <v>210</v>
      </c>
      <c r="H1076" s="15" t="s">
        <v>312</v>
      </c>
      <c r="I1076" s="8"/>
      <c r="J1076" s="10"/>
      <c r="AV1076" s="15" t="s">
        <v>181</v>
      </c>
      <c r="AW1076" s="15" t="s">
        <v>182</v>
      </c>
      <c r="AX1076" s="15" t="s">
        <v>3269</v>
      </c>
      <c r="BH1076" s="15" t="s">
        <v>184</v>
      </c>
      <c r="BI1076" s="15" t="s">
        <v>185</v>
      </c>
      <c r="BJ1076" s="15" t="s">
        <v>2351</v>
      </c>
      <c r="BK1076" s="15" t="s">
        <v>2352</v>
      </c>
      <c r="BL1076" s="15" t="s">
        <v>2353</v>
      </c>
      <c r="BM1076" s="15" t="s">
        <v>2354</v>
      </c>
      <c r="BN1076" s="15" t="s">
        <v>2355</v>
      </c>
      <c r="BO1076" s="15" t="s">
        <v>2356</v>
      </c>
      <c r="BR1076" s="15" t="s">
        <v>192</v>
      </c>
      <c r="BS1076" s="15" t="s">
        <v>193</v>
      </c>
      <c r="BT1076" s="15" t="s">
        <v>194</v>
      </c>
      <c r="BU1076" s="15" t="s">
        <v>195</v>
      </c>
      <c r="BV1076" s="15" t="s">
        <v>196</v>
      </c>
      <c r="BW1076" s="15" t="s">
        <v>193</v>
      </c>
      <c r="CA1076" s="15" t="s">
        <v>2357</v>
      </c>
      <c r="CB1076" s="15" t="s">
        <v>78</v>
      </c>
      <c r="CC1076" s="15">
        <v>1</v>
      </c>
      <c r="CW1076" s="10">
        <v>2</v>
      </c>
      <c r="CX1076" s="15" t="s">
        <v>3315</v>
      </c>
    </row>
    <row r="1077" spans="1:102" s="15" customFormat="1" x14ac:dyDescent="0.3">
      <c r="A1077" s="11" t="s">
        <v>2349</v>
      </c>
      <c r="B1077" s="10" t="s">
        <v>3316</v>
      </c>
      <c r="C1077" s="12" t="s">
        <v>3317</v>
      </c>
      <c r="D1077" s="10">
        <v>12</v>
      </c>
      <c r="E1077" s="13">
        <v>5000000</v>
      </c>
      <c r="F1077" s="14" t="s">
        <v>210</v>
      </c>
      <c r="G1077" s="14" t="s">
        <v>210</v>
      </c>
      <c r="H1077" s="15" t="s">
        <v>312</v>
      </c>
      <c r="I1077" s="8"/>
      <c r="J1077" s="10"/>
      <c r="AV1077" s="15" t="s">
        <v>181</v>
      </c>
      <c r="AW1077" s="15" t="s">
        <v>182</v>
      </c>
      <c r="AX1077" s="15" t="s">
        <v>3272</v>
      </c>
      <c r="BH1077" s="15" t="s">
        <v>184</v>
      </c>
      <c r="BI1077" s="15" t="s">
        <v>185</v>
      </c>
      <c r="BJ1077" s="15" t="s">
        <v>2351</v>
      </c>
      <c r="BK1077" s="15" t="s">
        <v>2352</v>
      </c>
      <c r="BL1077" s="15" t="s">
        <v>2353</v>
      </c>
      <c r="BM1077" s="15" t="s">
        <v>2354</v>
      </c>
      <c r="BN1077" s="15" t="s">
        <v>2355</v>
      </c>
      <c r="BO1077" s="15" t="s">
        <v>2356</v>
      </c>
      <c r="BR1077" s="15" t="s">
        <v>192</v>
      </c>
      <c r="BS1077" s="15" t="s">
        <v>193</v>
      </c>
      <c r="BT1077" s="15" t="s">
        <v>194</v>
      </c>
      <c r="BU1077" s="15" t="s">
        <v>195</v>
      </c>
      <c r="BV1077" s="15" t="s">
        <v>196</v>
      </c>
      <c r="BW1077" s="15" t="s">
        <v>193</v>
      </c>
      <c r="CA1077" s="15" t="s">
        <v>2357</v>
      </c>
      <c r="CB1077" s="15" t="s">
        <v>78</v>
      </c>
      <c r="CC1077" s="15">
        <v>1</v>
      </c>
      <c r="CW1077" s="10">
        <v>2</v>
      </c>
      <c r="CX1077" s="15" t="s">
        <v>3318</v>
      </c>
    </row>
    <row r="1078" spans="1:102" s="15" customFormat="1" x14ac:dyDescent="0.3">
      <c r="A1078" s="11" t="s">
        <v>2349</v>
      </c>
      <c r="B1078" s="10" t="s">
        <v>3319</v>
      </c>
      <c r="C1078" s="12" t="s">
        <v>3320</v>
      </c>
      <c r="D1078" s="10">
        <v>12</v>
      </c>
      <c r="E1078" s="13">
        <v>5000000</v>
      </c>
      <c r="F1078" s="14" t="s">
        <v>210</v>
      </c>
      <c r="G1078" s="14" t="s">
        <v>210</v>
      </c>
      <c r="H1078" s="15" t="s">
        <v>312</v>
      </c>
      <c r="I1078" s="8"/>
      <c r="J1078" s="10"/>
      <c r="AV1078" s="15" t="s">
        <v>181</v>
      </c>
      <c r="AW1078" s="15" t="s">
        <v>182</v>
      </c>
      <c r="AX1078" s="15" t="s">
        <v>3275</v>
      </c>
      <c r="BH1078" s="15" t="s">
        <v>184</v>
      </c>
      <c r="BI1078" s="15" t="s">
        <v>185</v>
      </c>
      <c r="BJ1078" s="15" t="s">
        <v>2351</v>
      </c>
      <c r="BK1078" s="15" t="s">
        <v>2352</v>
      </c>
      <c r="BL1078" s="15" t="s">
        <v>2353</v>
      </c>
      <c r="BM1078" s="15" t="s">
        <v>2354</v>
      </c>
      <c r="BN1078" s="15" t="s">
        <v>2355</v>
      </c>
      <c r="BO1078" s="15" t="s">
        <v>2356</v>
      </c>
      <c r="BR1078" s="15" t="s">
        <v>192</v>
      </c>
      <c r="BS1078" s="15" t="s">
        <v>193</v>
      </c>
      <c r="BT1078" s="15" t="s">
        <v>194</v>
      </c>
      <c r="BU1078" s="15" t="s">
        <v>195</v>
      </c>
      <c r="BV1078" s="15" t="s">
        <v>196</v>
      </c>
      <c r="BW1078" s="15" t="s">
        <v>193</v>
      </c>
      <c r="CA1078" s="15" t="s">
        <v>2357</v>
      </c>
      <c r="CB1078" s="15" t="s">
        <v>78</v>
      </c>
      <c r="CC1078" s="15">
        <v>1</v>
      </c>
      <c r="CW1078" s="10">
        <v>2</v>
      </c>
      <c r="CX1078" s="15" t="s">
        <v>3321</v>
      </c>
    </row>
    <row r="1079" spans="1:102" s="15" customFormat="1" x14ac:dyDescent="0.3">
      <c r="A1079" s="11" t="s">
        <v>2349</v>
      </c>
      <c r="B1079" s="10" t="s">
        <v>3322</v>
      </c>
      <c r="C1079" s="12" t="s">
        <v>3323</v>
      </c>
      <c r="D1079" s="10">
        <v>12</v>
      </c>
      <c r="E1079" s="13">
        <v>5000000</v>
      </c>
      <c r="F1079" s="14" t="s">
        <v>210</v>
      </c>
      <c r="G1079" s="14" t="s">
        <v>210</v>
      </c>
      <c r="H1079" s="15" t="s">
        <v>312</v>
      </c>
      <c r="I1079" s="8"/>
      <c r="J1079" s="10"/>
      <c r="AV1079" s="15" t="s">
        <v>181</v>
      </c>
      <c r="AW1079" s="15" t="s">
        <v>182</v>
      </c>
      <c r="AX1079" s="15" t="s">
        <v>3278</v>
      </c>
      <c r="BH1079" s="15" t="s">
        <v>184</v>
      </c>
      <c r="BI1079" s="15" t="s">
        <v>185</v>
      </c>
      <c r="BJ1079" s="15" t="s">
        <v>2351</v>
      </c>
      <c r="BK1079" s="15" t="s">
        <v>2352</v>
      </c>
      <c r="BL1079" s="15" t="s">
        <v>2353</v>
      </c>
      <c r="BM1079" s="15" t="s">
        <v>2354</v>
      </c>
      <c r="BN1079" s="15" t="s">
        <v>2355</v>
      </c>
      <c r="BO1079" s="15" t="s">
        <v>2356</v>
      </c>
      <c r="BR1079" s="15" t="s">
        <v>192</v>
      </c>
      <c r="BS1079" s="15" t="s">
        <v>193</v>
      </c>
      <c r="BT1079" s="15" t="s">
        <v>194</v>
      </c>
      <c r="BU1079" s="15" t="s">
        <v>195</v>
      </c>
      <c r="BV1079" s="15" t="s">
        <v>196</v>
      </c>
      <c r="BW1079" s="15" t="s">
        <v>193</v>
      </c>
      <c r="CA1079" s="15" t="s">
        <v>2357</v>
      </c>
      <c r="CB1079" s="15" t="s">
        <v>78</v>
      </c>
      <c r="CC1079" s="15">
        <v>1</v>
      </c>
      <c r="CW1079" s="10">
        <v>2</v>
      </c>
      <c r="CX1079" s="15" t="s">
        <v>3324</v>
      </c>
    </row>
    <row r="1080" spans="1:102" s="15" customFormat="1" x14ac:dyDescent="0.3">
      <c r="A1080" s="11" t="s">
        <v>2349</v>
      </c>
      <c r="B1080" s="10" t="s">
        <v>3325</v>
      </c>
      <c r="C1080" s="12" t="s">
        <v>3326</v>
      </c>
      <c r="D1080" s="10">
        <v>12</v>
      </c>
      <c r="E1080" s="13">
        <v>5000000</v>
      </c>
      <c r="F1080" s="14" t="s">
        <v>210</v>
      </c>
      <c r="G1080" s="14" t="s">
        <v>210</v>
      </c>
      <c r="H1080" s="15" t="s">
        <v>312</v>
      </c>
      <c r="I1080" s="8"/>
      <c r="J1080" s="10"/>
      <c r="AV1080" s="15" t="s">
        <v>181</v>
      </c>
      <c r="AW1080" s="15" t="s">
        <v>182</v>
      </c>
      <c r="AX1080" s="15" t="s">
        <v>3281</v>
      </c>
      <c r="BH1080" s="15" t="s">
        <v>184</v>
      </c>
      <c r="BI1080" s="15" t="s">
        <v>185</v>
      </c>
      <c r="BJ1080" s="15" t="s">
        <v>2351</v>
      </c>
      <c r="BK1080" s="15" t="s">
        <v>2352</v>
      </c>
      <c r="BL1080" s="15" t="s">
        <v>2353</v>
      </c>
      <c r="BM1080" s="15" t="s">
        <v>2354</v>
      </c>
      <c r="BN1080" s="15" t="s">
        <v>2355</v>
      </c>
      <c r="BO1080" s="15" t="s">
        <v>2356</v>
      </c>
      <c r="BR1080" s="15" t="s">
        <v>192</v>
      </c>
      <c r="BS1080" s="15" t="s">
        <v>193</v>
      </c>
      <c r="BT1080" s="15" t="s">
        <v>194</v>
      </c>
      <c r="BU1080" s="15" t="s">
        <v>195</v>
      </c>
      <c r="BV1080" s="15" t="s">
        <v>196</v>
      </c>
      <c r="BW1080" s="15" t="s">
        <v>193</v>
      </c>
      <c r="CA1080" s="15" t="s">
        <v>2357</v>
      </c>
      <c r="CB1080" s="15" t="s">
        <v>78</v>
      </c>
      <c r="CC1080" s="15">
        <v>1</v>
      </c>
      <c r="CW1080" s="10">
        <v>2</v>
      </c>
      <c r="CX1080" s="15" t="s">
        <v>3327</v>
      </c>
    </row>
    <row r="1081" spans="1:102" s="15" customFormat="1" x14ac:dyDescent="0.3">
      <c r="A1081" s="11" t="s">
        <v>2349</v>
      </c>
      <c r="B1081" s="10" t="s">
        <v>3328</v>
      </c>
      <c r="C1081" s="12" t="s">
        <v>3329</v>
      </c>
      <c r="D1081" s="10">
        <v>12</v>
      </c>
      <c r="E1081" s="13">
        <v>5000000</v>
      </c>
      <c r="F1081" s="14" t="s">
        <v>210</v>
      </c>
      <c r="G1081" s="14" t="s">
        <v>210</v>
      </c>
      <c r="H1081" s="15" t="s">
        <v>312</v>
      </c>
      <c r="I1081" s="8"/>
      <c r="J1081" s="10"/>
      <c r="AV1081" s="15" t="s">
        <v>181</v>
      </c>
      <c r="AW1081" s="15" t="s">
        <v>182</v>
      </c>
      <c r="AX1081" s="15" t="s">
        <v>3284</v>
      </c>
      <c r="BH1081" s="15" t="s">
        <v>184</v>
      </c>
      <c r="BI1081" s="15" t="s">
        <v>185</v>
      </c>
      <c r="BJ1081" s="15" t="s">
        <v>2351</v>
      </c>
      <c r="BK1081" s="15" t="s">
        <v>2352</v>
      </c>
      <c r="BL1081" s="15" t="s">
        <v>2353</v>
      </c>
      <c r="BM1081" s="15" t="s">
        <v>2354</v>
      </c>
      <c r="BN1081" s="15" t="s">
        <v>2355</v>
      </c>
      <c r="BO1081" s="15" t="s">
        <v>2356</v>
      </c>
      <c r="BR1081" s="15" t="s">
        <v>192</v>
      </c>
      <c r="BS1081" s="15" t="s">
        <v>193</v>
      </c>
      <c r="BT1081" s="15" t="s">
        <v>194</v>
      </c>
      <c r="BU1081" s="15" t="s">
        <v>195</v>
      </c>
      <c r="BV1081" s="15" t="s">
        <v>196</v>
      </c>
      <c r="BW1081" s="15" t="s">
        <v>193</v>
      </c>
      <c r="CA1081" s="15" t="s">
        <v>2357</v>
      </c>
      <c r="CB1081" s="15" t="s">
        <v>78</v>
      </c>
      <c r="CC1081" s="15">
        <v>1</v>
      </c>
      <c r="CW1081" s="10">
        <v>2</v>
      </c>
      <c r="CX1081" s="15" t="s">
        <v>3330</v>
      </c>
    </row>
    <row r="1082" spans="1:102" s="15" customFormat="1" x14ac:dyDescent="0.3">
      <c r="A1082" s="11" t="s">
        <v>2349</v>
      </c>
      <c r="B1082" s="10" t="s">
        <v>3331</v>
      </c>
      <c r="C1082" s="12" t="s">
        <v>3332</v>
      </c>
      <c r="D1082" s="10">
        <v>12</v>
      </c>
      <c r="E1082" s="13">
        <v>5000000</v>
      </c>
      <c r="F1082" s="14" t="s">
        <v>210</v>
      </c>
      <c r="G1082" s="14" t="s">
        <v>210</v>
      </c>
      <c r="H1082" s="15" t="s">
        <v>312</v>
      </c>
      <c r="I1082" s="8"/>
      <c r="J1082" s="10"/>
      <c r="AV1082" s="15" t="s">
        <v>181</v>
      </c>
      <c r="AW1082" s="15" t="s">
        <v>182</v>
      </c>
      <c r="AX1082" s="15" t="s">
        <v>3287</v>
      </c>
      <c r="BH1082" s="15" t="s">
        <v>184</v>
      </c>
      <c r="BI1082" s="15" t="s">
        <v>185</v>
      </c>
      <c r="BJ1082" s="15" t="s">
        <v>2351</v>
      </c>
      <c r="BK1082" s="15" t="s">
        <v>2352</v>
      </c>
      <c r="BL1082" s="15" t="s">
        <v>2353</v>
      </c>
      <c r="BM1082" s="15" t="s">
        <v>2354</v>
      </c>
      <c r="BN1082" s="15" t="s">
        <v>2355</v>
      </c>
      <c r="BO1082" s="15" t="s">
        <v>2356</v>
      </c>
      <c r="BR1082" s="15" t="s">
        <v>192</v>
      </c>
      <c r="BS1082" s="15" t="s">
        <v>193</v>
      </c>
      <c r="BT1082" s="15" t="s">
        <v>194</v>
      </c>
      <c r="BU1082" s="15" t="s">
        <v>195</v>
      </c>
      <c r="BV1082" s="15" t="s">
        <v>196</v>
      </c>
      <c r="BW1082" s="15" t="s">
        <v>193</v>
      </c>
      <c r="CA1082" s="15" t="s">
        <v>2357</v>
      </c>
      <c r="CB1082" s="15" t="s">
        <v>78</v>
      </c>
      <c r="CC1082" s="15">
        <v>1</v>
      </c>
      <c r="CW1082" s="10">
        <v>2</v>
      </c>
      <c r="CX1082" s="15" t="s">
        <v>3333</v>
      </c>
    </row>
    <row r="1083" spans="1:102" s="15" customFormat="1" x14ac:dyDescent="0.3">
      <c r="A1083" s="11" t="s">
        <v>2349</v>
      </c>
      <c r="B1083" s="10" t="s">
        <v>3334</v>
      </c>
      <c r="C1083" s="12" t="s">
        <v>3335</v>
      </c>
      <c r="D1083" s="10">
        <v>12</v>
      </c>
      <c r="E1083" s="13">
        <v>5000000</v>
      </c>
      <c r="F1083" s="14" t="s">
        <v>210</v>
      </c>
      <c r="G1083" s="14" t="s">
        <v>210</v>
      </c>
      <c r="H1083" s="15" t="s">
        <v>312</v>
      </c>
      <c r="I1083" s="8"/>
      <c r="J1083" s="10"/>
      <c r="AV1083" s="15" t="s">
        <v>181</v>
      </c>
      <c r="AW1083" s="15" t="s">
        <v>182</v>
      </c>
      <c r="AX1083" s="15" t="s">
        <v>3290</v>
      </c>
      <c r="BH1083" s="15" t="s">
        <v>184</v>
      </c>
      <c r="BI1083" s="15" t="s">
        <v>185</v>
      </c>
      <c r="BJ1083" s="15" t="s">
        <v>2351</v>
      </c>
      <c r="BK1083" s="15" t="s">
        <v>2352</v>
      </c>
      <c r="BL1083" s="15" t="s">
        <v>2353</v>
      </c>
      <c r="BM1083" s="15" t="s">
        <v>2354</v>
      </c>
      <c r="BN1083" s="15" t="s">
        <v>2355</v>
      </c>
      <c r="BO1083" s="15" t="s">
        <v>2356</v>
      </c>
      <c r="BR1083" s="15" t="s">
        <v>192</v>
      </c>
      <c r="BS1083" s="15" t="s">
        <v>193</v>
      </c>
      <c r="BT1083" s="15" t="s">
        <v>194</v>
      </c>
      <c r="BU1083" s="15" t="s">
        <v>195</v>
      </c>
      <c r="BV1083" s="15" t="s">
        <v>196</v>
      </c>
      <c r="BW1083" s="15" t="s">
        <v>193</v>
      </c>
      <c r="CA1083" s="15" t="s">
        <v>2357</v>
      </c>
      <c r="CB1083" s="15" t="s">
        <v>78</v>
      </c>
      <c r="CC1083" s="15">
        <v>1</v>
      </c>
      <c r="CW1083" s="10">
        <v>2</v>
      </c>
      <c r="CX1083" s="15" t="s">
        <v>3336</v>
      </c>
    </row>
    <row r="1084" spans="1:102" s="15" customFormat="1" x14ac:dyDescent="0.3">
      <c r="A1084" s="11" t="s">
        <v>2349</v>
      </c>
      <c r="B1084" s="10" t="s">
        <v>3337</v>
      </c>
      <c r="C1084" s="12" t="s">
        <v>3338</v>
      </c>
      <c r="D1084" s="10">
        <v>12</v>
      </c>
      <c r="E1084" s="13">
        <v>5000000</v>
      </c>
      <c r="F1084" s="14" t="s">
        <v>210</v>
      </c>
      <c r="G1084" s="14" t="s">
        <v>210</v>
      </c>
      <c r="H1084" s="15" t="s">
        <v>312</v>
      </c>
      <c r="I1084" s="8"/>
      <c r="J1084" s="10"/>
      <c r="AV1084" s="15" t="s">
        <v>181</v>
      </c>
      <c r="AW1084" s="15" t="s">
        <v>182</v>
      </c>
      <c r="AX1084" s="15" t="s">
        <v>3293</v>
      </c>
      <c r="BH1084" s="15" t="s">
        <v>184</v>
      </c>
      <c r="BI1084" s="15" t="s">
        <v>185</v>
      </c>
      <c r="BJ1084" s="15" t="s">
        <v>2351</v>
      </c>
      <c r="BK1084" s="15" t="s">
        <v>2352</v>
      </c>
      <c r="BL1084" s="15" t="s">
        <v>2353</v>
      </c>
      <c r="BM1084" s="15" t="s">
        <v>2354</v>
      </c>
      <c r="BN1084" s="15" t="s">
        <v>2355</v>
      </c>
      <c r="BO1084" s="15" t="s">
        <v>2356</v>
      </c>
      <c r="BR1084" s="15" t="s">
        <v>192</v>
      </c>
      <c r="BS1084" s="15" t="s">
        <v>193</v>
      </c>
      <c r="BT1084" s="15" t="s">
        <v>194</v>
      </c>
      <c r="BU1084" s="15" t="s">
        <v>195</v>
      </c>
      <c r="BV1084" s="15" t="s">
        <v>196</v>
      </c>
      <c r="BW1084" s="15" t="s">
        <v>193</v>
      </c>
      <c r="CA1084" s="15" t="s">
        <v>2357</v>
      </c>
      <c r="CB1084" s="15" t="s">
        <v>78</v>
      </c>
      <c r="CC1084" s="15">
        <v>1</v>
      </c>
      <c r="CW1084" s="10">
        <v>2</v>
      </c>
      <c r="CX1084" s="15" t="s">
        <v>3339</v>
      </c>
    </row>
    <row r="1085" spans="1:102" s="15" customFormat="1" x14ac:dyDescent="0.3">
      <c r="A1085" s="11" t="s">
        <v>2349</v>
      </c>
      <c r="B1085" s="10" t="s">
        <v>3340</v>
      </c>
      <c r="C1085" s="12" t="s">
        <v>3382</v>
      </c>
      <c r="D1085" s="10">
        <v>12</v>
      </c>
      <c r="E1085" s="13">
        <v>5000000</v>
      </c>
      <c r="F1085" s="14"/>
      <c r="G1085" s="14"/>
      <c r="I1085" s="8"/>
      <c r="J1085" s="10"/>
      <c r="AV1085" s="15" t="s">
        <v>181</v>
      </c>
      <c r="AW1085" s="15" t="s">
        <v>182</v>
      </c>
      <c r="BH1085" s="15" t="s">
        <v>184</v>
      </c>
      <c r="BI1085" s="15" t="s">
        <v>185</v>
      </c>
      <c r="BJ1085" s="15" t="s">
        <v>2351</v>
      </c>
      <c r="BK1085" s="15" t="s">
        <v>2352</v>
      </c>
      <c r="BL1085" s="15" t="s">
        <v>2353</v>
      </c>
      <c r="BM1085" s="15" t="s">
        <v>2354</v>
      </c>
      <c r="BN1085" s="15" t="s">
        <v>2355</v>
      </c>
      <c r="BO1085" s="15" t="s">
        <v>2356</v>
      </c>
      <c r="BR1085" s="15" t="s">
        <v>192</v>
      </c>
      <c r="BS1085" s="15" t="s">
        <v>193</v>
      </c>
      <c r="BT1085" s="15" t="s">
        <v>194</v>
      </c>
      <c r="BU1085" s="15" t="s">
        <v>195</v>
      </c>
      <c r="BV1085" s="15" t="s">
        <v>196</v>
      </c>
      <c r="BW1085" s="15" t="s">
        <v>193</v>
      </c>
      <c r="CA1085" s="15" t="s">
        <v>2357</v>
      </c>
      <c r="CB1085" s="15" t="s">
        <v>78</v>
      </c>
      <c r="CC1085" s="15">
        <v>1</v>
      </c>
      <c r="CW1085" s="10">
        <v>2</v>
      </c>
    </row>
    <row r="1086" spans="1:102" s="15" customFormat="1" x14ac:dyDescent="0.3">
      <c r="A1086" s="11" t="s">
        <v>2349</v>
      </c>
      <c r="B1086" s="10" t="s">
        <v>3341</v>
      </c>
      <c r="C1086" s="12" t="s">
        <v>3384</v>
      </c>
      <c r="D1086" s="10">
        <v>12</v>
      </c>
      <c r="E1086" s="13">
        <v>5000000</v>
      </c>
      <c r="F1086" s="14" t="s">
        <v>3252</v>
      </c>
      <c r="G1086" s="14" t="s">
        <v>210</v>
      </c>
      <c r="H1086" s="15" t="s">
        <v>312</v>
      </c>
      <c r="I1086" s="8"/>
      <c r="J1086" s="10"/>
      <c r="AV1086" s="15" t="s">
        <v>212</v>
      </c>
      <c r="AW1086" s="15" t="s">
        <v>213</v>
      </c>
      <c r="AX1086" s="15" t="s">
        <v>3342</v>
      </c>
      <c r="BH1086" s="15" t="s">
        <v>184</v>
      </c>
      <c r="BI1086" s="15" t="s">
        <v>185</v>
      </c>
      <c r="BJ1086" s="15" t="s">
        <v>2351</v>
      </c>
      <c r="BK1086" s="15" t="s">
        <v>2352</v>
      </c>
      <c r="BL1086" s="15" t="s">
        <v>2353</v>
      </c>
      <c r="BM1086" s="15" t="s">
        <v>2354</v>
      </c>
      <c r="BN1086" s="15" t="s">
        <v>2355</v>
      </c>
      <c r="BO1086" s="15" t="s">
        <v>2356</v>
      </c>
      <c r="BR1086" s="15" t="s">
        <v>192</v>
      </c>
      <c r="BS1086" s="15" t="s">
        <v>193</v>
      </c>
      <c r="BT1086" s="15" t="s">
        <v>194</v>
      </c>
      <c r="BU1086" s="15" t="s">
        <v>195</v>
      </c>
      <c r="BV1086" s="15" t="s">
        <v>196</v>
      </c>
      <c r="BW1086" s="15" t="s">
        <v>193</v>
      </c>
      <c r="CA1086" s="15" t="s">
        <v>2357</v>
      </c>
      <c r="CB1086" s="15" t="s">
        <v>78</v>
      </c>
      <c r="CC1086" s="15">
        <v>1</v>
      </c>
      <c r="CN1086" s="15" t="s">
        <v>3254</v>
      </c>
      <c r="CW1086" s="10">
        <v>2</v>
      </c>
      <c r="CX1086" s="15" t="s">
        <v>3343</v>
      </c>
    </row>
    <row r="1087" spans="1:102" s="15" customFormat="1" x14ac:dyDescent="0.3">
      <c r="A1087" s="11" t="s">
        <v>2349</v>
      </c>
      <c r="B1087" s="10" t="s">
        <v>3344</v>
      </c>
      <c r="C1087" s="12" t="s">
        <v>3387</v>
      </c>
      <c r="D1087" s="10">
        <v>12</v>
      </c>
      <c r="E1087" s="13">
        <v>5000000</v>
      </c>
      <c r="F1087" s="14" t="s">
        <v>3252</v>
      </c>
      <c r="G1087" s="14" t="s">
        <v>210</v>
      </c>
      <c r="H1087" s="15" t="s">
        <v>312</v>
      </c>
      <c r="I1087" s="8"/>
      <c r="J1087" s="10"/>
      <c r="AV1087" s="15" t="s">
        <v>212</v>
      </c>
      <c r="AW1087" s="15" t="s">
        <v>213</v>
      </c>
      <c r="AX1087" s="15" t="s">
        <v>3345</v>
      </c>
      <c r="BH1087" s="15" t="s">
        <v>184</v>
      </c>
      <c r="BI1087" s="15" t="s">
        <v>185</v>
      </c>
      <c r="BJ1087" s="15" t="s">
        <v>2351</v>
      </c>
      <c r="BK1087" s="15" t="s">
        <v>2352</v>
      </c>
      <c r="BL1087" s="15" t="s">
        <v>2353</v>
      </c>
      <c r="BM1087" s="15" t="s">
        <v>2354</v>
      </c>
      <c r="BN1087" s="15" t="s">
        <v>2355</v>
      </c>
      <c r="BO1087" s="15" t="s">
        <v>2356</v>
      </c>
      <c r="BR1087" s="15" t="s">
        <v>192</v>
      </c>
      <c r="BS1087" s="15" t="s">
        <v>193</v>
      </c>
      <c r="BT1087" s="15" t="s">
        <v>194</v>
      </c>
      <c r="BU1087" s="15" t="s">
        <v>195</v>
      </c>
      <c r="BV1087" s="15" t="s">
        <v>196</v>
      </c>
      <c r="BW1087" s="15" t="s">
        <v>193</v>
      </c>
      <c r="CA1087" s="15" t="s">
        <v>2357</v>
      </c>
      <c r="CB1087" s="15" t="s">
        <v>78</v>
      </c>
      <c r="CC1087" s="15">
        <v>1</v>
      </c>
      <c r="CN1087" s="15" t="s">
        <v>3254</v>
      </c>
      <c r="CW1087" s="10">
        <v>2</v>
      </c>
      <c r="CX1087" s="15" t="s">
        <v>3346</v>
      </c>
    </row>
    <row r="1088" spans="1:102" s="15" customFormat="1" x14ac:dyDescent="0.3">
      <c r="A1088" s="11" t="s">
        <v>2349</v>
      </c>
      <c r="B1088" s="10" t="s">
        <v>3347</v>
      </c>
      <c r="C1088" s="12" t="s">
        <v>3390</v>
      </c>
      <c r="D1088" s="10">
        <v>12</v>
      </c>
      <c r="E1088" s="13">
        <v>5000000</v>
      </c>
      <c r="F1088" s="14" t="s">
        <v>3252</v>
      </c>
      <c r="G1088" s="14" t="s">
        <v>210</v>
      </c>
      <c r="H1088" s="15" t="s">
        <v>312</v>
      </c>
      <c r="I1088" s="8"/>
      <c r="J1088" s="10"/>
      <c r="AV1088" s="15" t="s">
        <v>212</v>
      </c>
      <c r="AW1088" s="15" t="s">
        <v>213</v>
      </c>
      <c r="AX1088" s="15" t="s">
        <v>3348</v>
      </c>
      <c r="BH1088" s="15" t="s">
        <v>184</v>
      </c>
      <c r="BI1088" s="15" t="s">
        <v>185</v>
      </c>
      <c r="BJ1088" s="15" t="s">
        <v>2351</v>
      </c>
      <c r="BK1088" s="15" t="s">
        <v>2352</v>
      </c>
      <c r="BL1088" s="15" t="s">
        <v>2353</v>
      </c>
      <c r="BM1088" s="15" t="s">
        <v>2354</v>
      </c>
      <c r="BN1088" s="15" t="s">
        <v>2355</v>
      </c>
      <c r="BO1088" s="15" t="s">
        <v>2356</v>
      </c>
      <c r="BR1088" s="15" t="s">
        <v>192</v>
      </c>
      <c r="BS1088" s="15" t="s">
        <v>193</v>
      </c>
      <c r="BT1088" s="15" t="s">
        <v>194</v>
      </c>
      <c r="BU1088" s="15" t="s">
        <v>195</v>
      </c>
      <c r="BV1088" s="15" t="s">
        <v>196</v>
      </c>
      <c r="BW1088" s="15" t="s">
        <v>193</v>
      </c>
      <c r="CA1088" s="15" t="s">
        <v>2357</v>
      </c>
      <c r="CB1088" s="15" t="s">
        <v>78</v>
      </c>
      <c r="CC1088" s="15">
        <v>1</v>
      </c>
      <c r="CN1088" s="15" t="s">
        <v>3254</v>
      </c>
      <c r="CW1088" s="10">
        <v>2</v>
      </c>
      <c r="CX1088" s="15" t="s">
        <v>3349</v>
      </c>
    </row>
    <row r="1089" spans="1:102" s="15" customFormat="1" x14ac:dyDescent="0.3">
      <c r="A1089" s="11" t="s">
        <v>2349</v>
      </c>
      <c r="B1089" s="10" t="s">
        <v>3350</v>
      </c>
      <c r="C1089" s="12" t="s">
        <v>3393</v>
      </c>
      <c r="D1089" s="10">
        <v>12</v>
      </c>
      <c r="E1089" s="13">
        <v>5000000</v>
      </c>
      <c r="F1089" s="14" t="s">
        <v>3252</v>
      </c>
      <c r="G1089" s="14" t="s">
        <v>210</v>
      </c>
      <c r="H1089" s="15" t="s">
        <v>312</v>
      </c>
      <c r="I1089" s="8"/>
      <c r="J1089" s="10"/>
      <c r="AV1089" s="15" t="s">
        <v>212</v>
      </c>
      <c r="AW1089" s="15" t="s">
        <v>213</v>
      </c>
      <c r="AX1089" s="15" t="s">
        <v>3351</v>
      </c>
      <c r="BH1089" s="15" t="s">
        <v>184</v>
      </c>
      <c r="BI1089" s="15" t="s">
        <v>185</v>
      </c>
      <c r="BJ1089" s="15" t="s">
        <v>2351</v>
      </c>
      <c r="BK1089" s="15" t="s">
        <v>2352</v>
      </c>
      <c r="BL1089" s="15" t="s">
        <v>2353</v>
      </c>
      <c r="BM1089" s="15" t="s">
        <v>2354</v>
      </c>
      <c r="BN1089" s="15" t="s">
        <v>2355</v>
      </c>
      <c r="BO1089" s="15" t="s">
        <v>2356</v>
      </c>
      <c r="BR1089" s="15" t="s">
        <v>192</v>
      </c>
      <c r="BS1089" s="15" t="s">
        <v>193</v>
      </c>
      <c r="BT1089" s="15" t="s">
        <v>194</v>
      </c>
      <c r="BU1089" s="15" t="s">
        <v>195</v>
      </c>
      <c r="BV1089" s="15" t="s">
        <v>196</v>
      </c>
      <c r="BW1089" s="15" t="s">
        <v>193</v>
      </c>
      <c r="CA1089" s="15" t="s">
        <v>2357</v>
      </c>
      <c r="CB1089" s="15" t="s">
        <v>78</v>
      </c>
      <c r="CC1089" s="15">
        <v>1</v>
      </c>
      <c r="CN1089" s="15" t="s">
        <v>3254</v>
      </c>
      <c r="CW1089" s="10">
        <v>2</v>
      </c>
      <c r="CX1089" s="15" t="s">
        <v>3352</v>
      </c>
    </row>
    <row r="1090" spans="1:102" s="15" customFormat="1" x14ac:dyDescent="0.3">
      <c r="A1090" s="11" t="s">
        <v>2349</v>
      </c>
      <c r="B1090" s="10" t="s">
        <v>3353</v>
      </c>
      <c r="C1090" s="12" t="s">
        <v>3396</v>
      </c>
      <c r="D1090" s="10">
        <v>12</v>
      </c>
      <c r="E1090" s="13">
        <v>5000000</v>
      </c>
      <c r="F1090" s="14" t="s">
        <v>3252</v>
      </c>
      <c r="G1090" s="14" t="s">
        <v>210</v>
      </c>
      <c r="H1090" s="15" t="s">
        <v>312</v>
      </c>
      <c r="I1090" s="8"/>
      <c r="J1090" s="10"/>
      <c r="AV1090" s="15" t="s">
        <v>212</v>
      </c>
      <c r="AW1090" s="15" t="s">
        <v>213</v>
      </c>
      <c r="AX1090" s="15" t="s">
        <v>3354</v>
      </c>
      <c r="BH1090" s="15" t="s">
        <v>184</v>
      </c>
      <c r="BI1090" s="15" t="s">
        <v>185</v>
      </c>
      <c r="BJ1090" s="15" t="s">
        <v>2351</v>
      </c>
      <c r="BK1090" s="15" t="s">
        <v>2352</v>
      </c>
      <c r="BL1090" s="15" t="s">
        <v>2353</v>
      </c>
      <c r="BM1090" s="15" t="s">
        <v>2354</v>
      </c>
      <c r="BN1090" s="15" t="s">
        <v>2355</v>
      </c>
      <c r="BO1090" s="15" t="s">
        <v>2356</v>
      </c>
      <c r="BR1090" s="15" t="s">
        <v>192</v>
      </c>
      <c r="BS1090" s="15" t="s">
        <v>193</v>
      </c>
      <c r="BT1090" s="15" t="s">
        <v>194</v>
      </c>
      <c r="BU1090" s="15" t="s">
        <v>195</v>
      </c>
      <c r="BV1090" s="15" t="s">
        <v>196</v>
      </c>
      <c r="BW1090" s="15" t="s">
        <v>193</v>
      </c>
      <c r="CA1090" s="15" t="s">
        <v>2357</v>
      </c>
      <c r="CB1090" s="15" t="s">
        <v>78</v>
      </c>
      <c r="CC1090" s="15">
        <v>1</v>
      </c>
      <c r="CN1090" s="15" t="s">
        <v>3254</v>
      </c>
      <c r="CW1090" s="10">
        <v>2</v>
      </c>
      <c r="CX1090" s="15" t="s">
        <v>3355</v>
      </c>
    </row>
    <row r="1091" spans="1:102" s="15" customFormat="1" x14ac:dyDescent="0.3">
      <c r="A1091" s="11" t="s">
        <v>2349</v>
      </c>
      <c r="B1091" s="10" t="s">
        <v>3356</v>
      </c>
      <c r="C1091" s="12" t="s">
        <v>3399</v>
      </c>
      <c r="D1091" s="10">
        <v>12</v>
      </c>
      <c r="E1091" s="13">
        <v>5000000</v>
      </c>
      <c r="F1091" s="14" t="s">
        <v>3252</v>
      </c>
      <c r="G1091" s="14" t="s">
        <v>210</v>
      </c>
      <c r="H1091" s="15" t="s">
        <v>312</v>
      </c>
      <c r="I1091" s="8"/>
      <c r="J1091" s="10"/>
      <c r="AV1091" s="15" t="s">
        <v>212</v>
      </c>
      <c r="AW1091" s="15" t="s">
        <v>213</v>
      </c>
      <c r="AX1091" s="15" t="s">
        <v>3357</v>
      </c>
      <c r="BH1091" s="15" t="s">
        <v>184</v>
      </c>
      <c r="BI1091" s="15" t="s">
        <v>185</v>
      </c>
      <c r="BJ1091" s="15" t="s">
        <v>2351</v>
      </c>
      <c r="BK1091" s="15" t="s">
        <v>2352</v>
      </c>
      <c r="BL1091" s="15" t="s">
        <v>2353</v>
      </c>
      <c r="BM1091" s="15" t="s">
        <v>2354</v>
      </c>
      <c r="BN1091" s="15" t="s">
        <v>2355</v>
      </c>
      <c r="BO1091" s="15" t="s">
        <v>2356</v>
      </c>
      <c r="BR1091" s="15" t="s">
        <v>192</v>
      </c>
      <c r="BS1091" s="15" t="s">
        <v>193</v>
      </c>
      <c r="BT1091" s="15" t="s">
        <v>194</v>
      </c>
      <c r="BU1091" s="15" t="s">
        <v>195</v>
      </c>
      <c r="BV1091" s="15" t="s">
        <v>196</v>
      </c>
      <c r="BW1091" s="15" t="s">
        <v>193</v>
      </c>
      <c r="CA1091" s="15" t="s">
        <v>2357</v>
      </c>
      <c r="CB1091" s="15" t="s">
        <v>78</v>
      </c>
      <c r="CC1091" s="15">
        <v>1</v>
      </c>
      <c r="CN1091" s="15" t="s">
        <v>3254</v>
      </c>
      <c r="CW1091" s="10">
        <v>2</v>
      </c>
      <c r="CX1091" s="15" t="s">
        <v>3358</v>
      </c>
    </row>
    <row r="1092" spans="1:102" s="15" customFormat="1" x14ac:dyDescent="0.3">
      <c r="A1092" s="11" t="s">
        <v>2349</v>
      </c>
      <c r="B1092" s="10" t="s">
        <v>3359</v>
      </c>
      <c r="C1092" s="12" t="s">
        <v>3402</v>
      </c>
      <c r="D1092" s="10">
        <v>12</v>
      </c>
      <c r="E1092" s="13">
        <v>5000000</v>
      </c>
      <c r="F1092" s="14" t="s">
        <v>3252</v>
      </c>
      <c r="G1092" s="14" t="s">
        <v>210</v>
      </c>
      <c r="H1092" s="15" t="s">
        <v>312</v>
      </c>
      <c r="I1092" s="8"/>
      <c r="J1092" s="10"/>
      <c r="AV1092" s="15" t="s">
        <v>212</v>
      </c>
      <c r="AW1092" s="15" t="s">
        <v>213</v>
      </c>
      <c r="AX1092" s="15" t="s">
        <v>3360</v>
      </c>
      <c r="BH1092" s="15" t="s">
        <v>184</v>
      </c>
      <c r="BI1092" s="15" t="s">
        <v>185</v>
      </c>
      <c r="BJ1092" s="15" t="s">
        <v>2351</v>
      </c>
      <c r="BK1092" s="15" t="s">
        <v>2352</v>
      </c>
      <c r="BL1092" s="15" t="s">
        <v>2353</v>
      </c>
      <c r="BM1092" s="15" t="s">
        <v>2354</v>
      </c>
      <c r="BN1092" s="15" t="s">
        <v>2355</v>
      </c>
      <c r="BO1092" s="15" t="s">
        <v>2356</v>
      </c>
      <c r="BR1092" s="15" t="s">
        <v>192</v>
      </c>
      <c r="BS1092" s="15" t="s">
        <v>193</v>
      </c>
      <c r="BT1092" s="15" t="s">
        <v>194</v>
      </c>
      <c r="BU1092" s="15" t="s">
        <v>195</v>
      </c>
      <c r="BV1092" s="15" t="s">
        <v>196</v>
      </c>
      <c r="BW1092" s="15" t="s">
        <v>193</v>
      </c>
      <c r="CA1092" s="15" t="s">
        <v>2357</v>
      </c>
      <c r="CB1092" s="15" t="s">
        <v>78</v>
      </c>
      <c r="CC1092" s="15">
        <v>1</v>
      </c>
      <c r="CN1092" s="15" t="s">
        <v>3254</v>
      </c>
      <c r="CW1092" s="10">
        <v>2</v>
      </c>
      <c r="CX1092" s="15" t="s">
        <v>3361</v>
      </c>
    </row>
    <row r="1093" spans="1:102" s="15" customFormat="1" x14ac:dyDescent="0.3">
      <c r="A1093" s="11" t="s">
        <v>2349</v>
      </c>
      <c r="B1093" s="10" t="s">
        <v>3362</v>
      </c>
      <c r="C1093" s="12" t="s">
        <v>3405</v>
      </c>
      <c r="D1093" s="10">
        <v>12</v>
      </c>
      <c r="E1093" s="13">
        <v>5000000</v>
      </c>
      <c r="F1093" s="14" t="s">
        <v>3252</v>
      </c>
      <c r="G1093" s="14" t="s">
        <v>210</v>
      </c>
      <c r="H1093" s="15" t="s">
        <v>312</v>
      </c>
      <c r="I1093" s="8"/>
      <c r="J1093" s="10"/>
      <c r="AV1093" s="15" t="s">
        <v>212</v>
      </c>
      <c r="AW1093" s="15" t="s">
        <v>213</v>
      </c>
      <c r="AX1093" s="15" t="s">
        <v>3278</v>
      </c>
      <c r="BH1093" s="15" t="s">
        <v>184</v>
      </c>
      <c r="BI1093" s="15" t="s">
        <v>185</v>
      </c>
      <c r="BJ1093" s="15" t="s">
        <v>2351</v>
      </c>
      <c r="BK1093" s="15" t="s">
        <v>2352</v>
      </c>
      <c r="BL1093" s="15" t="s">
        <v>2353</v>
      </c>
      <c r="BM1093" s="15" t="s">
        <v>2354</v>
      </c>
      <c r="BN1093" s="15" t="s">
        <v>2355</v>
      </c>
      <c r="BO1093" s="15" t="s">
        <v>2356</v>
      </c>
      <c r="BR1093" s="15" t="s">
        <v>192</v>
      </c>
      <c r="BS1093" s="15" t="s">
        <v>193</v>
      </c>
      <c r="BT1093" s="15" t="s">
        <v>194</v>
      </c>
      <c r="BU1093" s="15" t="s">
        <v>195</v>
      </c>
      <c r="BV1093" s="15" t="s">
        <v>196</v>
      </c>
      <c r="BW1093" s="15" t="s">
        <v>193</v>
      </c>
      <c r="CA1093" s="15" t="s">
        <v>2357</v>
      </c>
      <c r="CB1093" s="15" t="s">
        <v>78</v>
      </c>
      <c r="CC1093" s="15">
        <v>1</v>
      </c>
      <c r="CN1093" s="15" t="s">
        <v>3254</v>
      </c>
      <c r="CW1093" s="10">
        <v>2</v>
      </c>
      <c r="CX1093" s="15" t="s">
        <v>3363</v>
      </c>
    </row>
    <row r="1094" spans="1:102" s="15" customFormat="1" x14ac:dyDescent="0.3">
      <c r="A1094" s="11" t="s">
        <v>2349</v>
      </c>
      <c r="B1094" s="10" t="s">
        <v>3364</v>
      </c>
      <c r="C1094" s="12" t="s">
        <v>3408</v>
      </c>
      <c r="D1094" s="10">
        <v>12</v>
      </c>
      <c r="E1094" s="13">
        <v>5000000</v>
      </c>
      <c r="F1094" s="14" t="s">
        <v>3252</v>
      </c>
      <c r="G1094" s="14" t="s">
        <v>210</v>
      </c>
      <c r="H1094" s="15" t="s">
        <v>312</v>
      </c>
      <c r="I1094" s="8"/>
      <c r="J1094" s="10"/>
      <c r="AV1094" s="15" t="s">
        <v>212</v>
      </c>
      <c r="AW1094" s="15" t="s">
        <v>213</v>
      </c>
      <c r="AX1094" s="15" t="s">
        <v>3281</v>
      </c>
      <c r="BH1094" s="15" t="s">
        <v>184</v>
      </c>
      <c r="BI1094" s="15" t="s">
        <v>185</v>
      </c>
      <c r="BJ1094" s="15" t="s">
        <v>2351</v>
      </c>
      <c r="BK1094" s="15" t="s">
        <v>2352</v>
      </c>
      <c r="BL1094" s="15" t="s">
        <v>2353</v>
      </c>
      <c r="BM1094" s="15" t="s">
        <v>2354</v>
      </c>
      <c r="BN1094" s="15" t="s">
        <v>2355</v>
      </c>
      <c r="BO1094" s="15" t="s">
        <v>2356</v>
      </c>
      <c r="BR1094" s="15" t="s">
        <v>192</v>
      </c>
      <c r="BS1094" s="15" t="s">
        <v>193</v>
      </c>
      <c r="BT1094" s="15" t="s">
        <v>194</v>
      </c>
      <c r="BU1094" s="15" t="s">
        <v>195</v>
      </c>
      <c r="BV1094" s="15" t="s">
        <v>196</v>
      </c>
      <c r="BW1094" s="15" t="s">
        <v>193</v>
      </c>
      <c r="CA1094" s="15" t="s">
        <v>2357</v>
      </c>
      <c r="CB1094" s="15" t="s">
        <v>78</v>
      </c>
      <c r="CC1094" s="15">
        <v>1</v>
      </c>
      <c r="CN1094" s="15" t="s">
        <v>3254</v>
      </c>
      <c r="CW1094" s="10">
        <v>2</v>
      </c>
      <c r="CX1094" s="15" t="s">
        <v>3365</v>
      </c>
    </row>
    <row r="1095" spans="1:102" s="15" customFormat="1" x14ac:dyDescent="0.3">
      <c r="A1095" s="11" t="s">
        <v>2349</v>
      </c>
      <c r="B1095" s="10" t="s">
        <v>3366</v>
      </c>
      <c r="C1095" s="12" t="s">
        <v>3411</v>
      </c>
      <c r="D1095" s="10">
        <v>12</v>
      </c>
      <c r="E1095" s="13">
        <v>5000000</v>
      </c>
      <c r="F1095" s="14" t="s">
        <v>3252</v>
      </c>
      <c r="G1095" s="14" t="s">
        <v>210</v>
      </c>
      <c r="H1095" s="15" t="s">
        <v>312</v>
      </c>
      <c r="I1095" s="8"/>
      <c r="J1095" s="10"/>
      <c r="AV1095" s="15" t="s">
        <v>212</v>
      </c>
      <c r="AW1095" s="15" t="s">
        <v>213</v>
      </c>
      <c r="AX1095" s="15" t="s">
        <v>3367</v>
      </c>
      <c r="BH1095" s="15" t="s">
        <v>184</v>
      </c>
      <c r="BI1095" s="15" t="s">
        <v>185</v>
      </c>
      <c r="BJ1095" s="15" t="s">
        <v>2351</v>
      </c>
      <c r="BK1095" s="15" t="s">
        <v>2352</v>
      </c>
      <c r="BL1095" s="15" t="s">
        <v>2353</v>
      </c>
      <c r="BM1095" s="15" t="s">
        <v>2354</v>
      </c>
      <c r="BN1095" s="15" t="s">
        <v>2355</v>
      </c>
      <c r="BO1095" s="15" t="s">
        <v>2356</v>
      </c>
      <c r="BR1095" s="15" t="s">
        <v>192</v>
      </c>
      <c r="BS1095" s="15" t="s">
        <v>193</v>
      </c>
      <c r="BT1095" s="15" t="s">
        <v>194</v>
      </c>
      <c r="BU1095" s="15" t="s">
        <v>195</v>
      </c>
      <c r="BV1095" s="15" t="s">
        <v>196</v>
      </c>
      <c r="BW1095" s="15" t="s">
        <v>193</v>
      </c>
      <c r="CA1095" s="15" t="s">
        <v>2357</v>
      </c>
      <c r="CB1095" s="15" t="s">
        <v>78</v>
      </c>
      <c r="CC1095" s="15">
        <v>1</v>
      </c>
      <c r="CN1095" s="15" t="s">
        <v>3254</v>
      </c>
      <c r="CW1095" s="10">
        <v>2</v>
      </c>
      <c r="CX1095" s="15" t="s">
        <v>3368</v>
      </c>
    </row>
    <row r="1096" spans="1:102" s="15" customFormat="1" x14ac:dyDescent="0.3">
      <c r="A1096" s="11" t="s">
        <v>2349</v>
      </c>
      <c r="B1096" s="10" t="s">
        <v>3369</v>
      </c>
      <c r="C1096" s="12" t="s">
        <v>3414</v>
      </c>
      <c r="D1096" s="10">
        <v>12</v>
      </c>
      <c r="E1096" s="13">
        <v>5000000</v>
      </c>
      <c r="F1096" s="14" t="s">
        <v>3252</v>
      </c>
      <c r="G1096" s="14" t="s">
        <v>210</v>
      </c>
      <c r="H1096" s="15" t="s">
        <v>312</v>
      </c>
      <c r="I1096" s="8"/>
      <c r="J1096" s="10"/>
      <c r="AV1096" s="15" t="s">
        <v>212</v>
      </c>
      <c r="AW1096" s="15" t="s">
        <v>213</v>
      </c>
      <c r="AX1096" s="15" t="s">
        <v>3370</v>
      </c>
      <c r="BH1096" s="15" t="s">
        <v>184</v>
      </c>
      <c r="BI1096" s="15" t="s">
        <v>185</v>
      </c>
      <c r="BJ1096" s="15" t="s">
        <v>2351</v>
      </c>
      <c r="BK1096" s="15" t="s">
        <v>2352</v>
      </c>
      <c r="BL1096" s="15" t="s">
        <v>2353</v>
      </c>
      <c r="BM1096" s="15" t="s">
        <v>2354</v>
      </c>
      <c r="BN1096" s="15" t="s">
        <v>2355</v>
      </c>
      <c r="BO1096" s="15" t="s">
        <v>2356</v>
      </c>
      <c r="BR1096" s="15" t="s">
        <v>192</v>
      </c>
      <c r="BS1096" s="15" t="s">
        <v>193</v>
      </c>
      <c r="BT1096" s="15" t="s">
        <v>194</v>
      </c>
      <c r="BU1096" s="15" t="s">
        <v>195</v>
      </c>
      <c r="BV1096" s="15" t="s">
        <v>196</v>
      </c>
      <c r="BW1096" s="15" t="s">
        <v>193</v>
      </c>
      <c r="CA1096" s="15" t="s">
        <v>2357</v>
      </c>
      <c r="CB1096" s="15" t="s">
        <v>78</v>
      </c>
      <c r="CC1096" s="15">
        <v>1</v>
      </c>
      <c r="CN1096" s="15" t="s">
        <v>3254</v>
      </c>
      <c r="CW1096" s="10">
        <v>2</v>
      </c>
      <c r="CX1096" s="15" t="s">
        <v>3371</v>
      </c>
    </row>
    <row r="1097" spans="1:102" s="15" customFormat="1" x14ac:dyDescent="0.3">
      <c r="A1097" s="11" t="s">
        <v>2349</v>
      </c>
      <c r="B1097" s="10" t="s">
        <v>3372</v>
      </c>
      <c r="C1097" s="12" t="s">
        <v>3417</v>
      </c>
      <c r="D1097" s="10">
        <v>12</v>
      </c>
      <c r="E1097" s="13">
        <v>5000000</v>
      </c>
      <c r="F1097" s="14" t="s">
        <v>3252</v>
      </c>
      <c r="G1097" s="14" t="s">
        <v>210</v>
      </c>
      <c r="H1097" s="15" t="s">
        <v>312</v>
      </c>
      <c r="I1097" s="8"/>
      <c r="J1097" s="10"/>
      <c r="AV1097" s="15" t="s">
        <v>212</v>
      </c>
      <c r="AW1097" s="15" t="s">
        <v>213</v>
      </c>
      <c r="AX1097" s="15" t="s">
        <v>3373</v>
      </c>
      <c r="BH1097" s="15" t="s">
        <v>184</v>
      </c>
      <c r="BI1097" s="15" t="s">
        <v>185</v>
      </c>
      <c r="BJ1097" s="15" t="s">
        <v>2351</v>
      </c>
      <c r="BK1097" s="15" t="s">
        <v>2352</v>
      </c>
      <c r="BL1097" s="15" t="s">
        <v>2353</v>
      </c>
      <c r="BM1097" s="15" t="s">
        <v>2354</v>
      </c>
      <c r="BN1097" s="15" t="s">
        <v>2355</v>
      </c>
      <c r="BO1097" s="15" t="s">
        <v>2356</v>
      </c>
      <c r="BR1097" s="15" t="s">
        <v>192</v>
      </c>
      <c r="BS1097" s="15" t="s">
        <v>193</v>
      </c>
      <c r="BT1097" s="15" t="s">
        <v>194</v>
      </c>
      <c r="BU1097" s="15" t="s">
        <v>195</v>
      </c>
      <c r="BV1097" s="15" t="s">
        <v>196</v>
      </c>
      <c r="BW1097" s="15" t="s">
        <v>193</v>
      </c>
      <c r="CA1097" s="15" t="s">
        <v>2357</v>
      </c>
      <c r="CB1097" s="15" t="s">
        <v>78</v>
      </c>
      <c r="CC1097" s="15">
        <v>1</v>
      </c>
      <c r="CN1097" s="15" t="s">
        <v>3254</v>
      </c>
      <c r="CW1097" s="10">
        <v>2</v>
      </c>
      <c r="CX1097" s="15" t="s">
        <v>3374</v>
      </c>
    </row>
    <row r="1098" spans="1:102" s="15" customFormat="1" x14ac:dyDescent="0.3">
      <c r="A1098" s="11" t="s">
        <v>2349</v>
      </c>
      <c r="B1098" s="10" t="s">
        <v>3375</v>
      </c>
      <c r="C1098" s="12" t="s">
        <v>3420</v>
      </c>
      <c r="D1098" s="10">
        <v>12</v>
      </c>
      <c r="E1098" s="13">
        <v>5000000</v>
      </c>
      <c r="F1098" s="14" t="s">
        <v>3252</v>
      </c>
      <c r="G1098" s="14" t="s">
        <v>210</v>
      </c>
      <c r="H1098" s="15" t="s">
        <v>312</v>
      </c>
      <c r="I1098" s="8"/>
      <c r="J1098" s="10"/>
      <c r="AV1098" s="15" t="s">
        <v>212</v>
      </c>
      <c r="AW1098" s="15" t="s">
        <v>213</v>
      </c>
      <c r="AX1098" s="15" t="s">
        <v>3376</v>
      </c>
      <c r="BH1098" s="15" t="s">
        <v>184</v>
      </c>
      <c r="BI1098" s="15" t="s">
        <v>185</v>
      </c>
      <c r="BJ1098" s="15" t="s">
        <v>2351</v>
      </c>
      <c r="BK1098" s="15" t="s">
        <v>2352</v>
      </c>
      <c r="BL1098" s="15" t="s">
        <v>2353</v>
      </c>
      <c r="BM1098" s="15" t="s">
        <v>2354</v>
      </c>
      <c r="BN1098" s="15" t="s">
        <v>2355</v>
      </c>
      <c r="BO1098" s="15" t="s">
        <v>2356</v>
      </c>
      <c r="BR1098" s="15" t="s">
        <v>192</v>
      </c>
      <c r="BS1098" s="15" t="s">
        <v>193</v>
      </c>
      <c r="BT1098" s="15" t="s">
        <v>194</v>
      </c>
      <c r="BU1098" s="15" t="s">
        <v>195</v>
      </c>
      <c r="BV1098" s="15" t="s">
        <v>196</v>
      </c>
      <c r="BW1098" s="15" t="s">
        <v>193</v>
      </c>
      <c r="CA1098" s="15" t="s">
        <v>2357</v>
      </c>
      <c r="CB1098" s="15" t="s">
        <v>78</v>
      </c>
      <c r="CC1098" s="15">
        <v>1</v>
      </c>
      <c r="CN1098" s="15" t="s">
        <v>3254</v>
      </c>
      <c r="CW1098" s="10">
        <v>2</v>
      </c>
      <c r="CX1098" s="15" t="s">
        <v>3377</v>
      </c>
    </row>
    <row r="1099" spans="1:102" s="15" customFormat="1" x14ac:dyDescent="0.3">
      <c r="A1099" s="11" t="s">
        <v>2349</v>
      </c>
      <c r="B1099" s="10" t="s">
        <v>3378</v>
      </c>
      <c r="C1099" s="12" t="s">
        <v>3423</v>
      </c>
      <c r="D1099" s="10">
        <v>12</v>
      </c>
      <c r="E1099" s="13">
        <v>5000000</v>
      </c>
      <c r="F1099" s="14" t="s">
        <v>3252</v>
      </c>
      <c r="G1099" s="14" t="s">
        <v>210</v>
      </c>
      <c r="H1099" s="15" t="s">
        <v>312</v>
      </c>
      <c r="I1099" s="8"/>
      <c r="J1099" s="10"/>
      <c r="AV1099" s="15" t="s">
        <v>212</v>
      </c>
      <c r="AW1099" s="15" t="s">
        <v>213</v>
      </c>
      <c r="AX1099" s="15" t="s">
        <v>3379</v>
      </c>
      <c r="BH1099" s="15" t="s">
        <v>184</v>
      </c>
      <c r="BI1099" s="15" t="s">
        <v>185</v>
      </c>
      <c r="BJ1099" s="15" t="s">
        <v>2351</v>
      </c>
      <c r="BK1099" s="15" t="s">
        <v>2352</v>
      </c>
      <c r="BL1099" s="15" t="s">
        <v>2353</v>
      </c>
      <c r="BM1099" s="15" t="s">
        <v>2354</v>
      </c>
      <c r="BN1099" s="15" t="s">
        <v>2355</v>
      </c>
      <c r="BO1099" s="15" t="s">
        <v>2356</v>
      </c>
      <c r="BR1099" s="15" t="s">
        <v>192</v>
      </c>
      <c r="BS1099" s="15" t="s">
        <v>193</v>
      </c>
      <c r="BT1099" s="15" t="s">
        <v>194</v>
      </c>
      <c r="BU1099" s="15" t="s">
        <v>195</v>
      </c>
      <c r="BV1099" s="15" t="s">
        <v>196</v>
      </c>
      <c r="BW1099" s="15" t="s">
        <v>193</v>
      </c>
      <c r="CA1099" s="15" t="s">
        <v>2357</v>
      </c>
      <c r="CB1099" s="15" t="s">
        <v>78</v>
      </c>
      <c r="CC1099" s="15">
        <v>1</v>
      </c>
      <c r="CN1099" s="15" t="s">
        <v>3254</v>
      </c>
      <c r="CW1099" s="10">
        <v>2</v>
      </c>
      <c r="CX1099" s="15" t="s">
        <v>3380</v>
      </c>
    </row>
    <row r="1100" spans="1:102" s="15" customFormat="1" x14ac:dyDescent="0.3">
      <c r="A1100" s="11" t="s">
        <v>2349</v>
      </c>
      <c r="B1100" s="10" t="s">
        <v>3381</v>
      </c>
      <c r="C1100" s="12" t="s">
        <v>3382</v>
      </c>
      <c r="D1100" s="10">
        <v>12</v>
      </c>
      <c r="E1100" s="13">
        <v>5000000</v>
      </c>
      <c r="F1100" s="14"/>
      <c r="G1100" s="14"/>
      <c r="I1100" s="8"/>
      <c r="J1100" s="10"/>
      <c r="AV1100" s="15" t="s">
        <v>181</v>
      </c>
      <c r="AW1100" s="15" t="s">
        <v>182</v>
      </c>
      <c r="BH1100" s="15" t="s">
        <v>184</v>
      </c>
      <c r="BI1100" s="15" t="s">
        <v>185</v>
      </c>
      <c r="BJ1100" s="15" t="s">
        <v>2351</v>
      </c>
      <c r="BK1100" s="15" t="s">
        <v>2352</v>
      </c>
      <c r="BL1100" s="15" t="s">
        <v>2353</v>
      </c>
      <c r="BM1100" s="15" t="s">
        <v>2354</v>
      </c>
      <c r="BN1100" s="15" t="s">
        <v>2355</v>
      </c>
      <c r="BO1100" s="15" t="s">
        <v>2356</v>
      </c>
      <c r="BR1100" s="15" t="s">
        <v>192</v>
      </c>
      <c r="BS1100" s="15" t="s">
        <v>193</v>
      </c>
      <c r="BT1100" s="15" t="s">
        <v>194</v>
      </c>
      <c r="BU1100" s="15" t="s">
        <v>195</v>
      </c>
      <c r="BV1100" s="15" t="s">
        <v>196</v>
      </c>
      <c r="BW1100" s="15" t="s">
        <v>193</v>
      </c>
      <c r="CA1100" s="15" t="s">
        <v>2357</v>
      </c>
      <c r="CB1100" s="15" t="s">
        <v>78</v>
      </c>
      <c r="CC1100" s="15">
        <v>1</v>
      </c>
      <c r="CW1100" s="10">
        <v>2</v>
      </c>
    </row>
    <row r="1101" spans="1:102" s="15" customFormat="1" x14ac:dyDescent="0.3">
      <c r="A1101" s="11" t="s">
        <v>2349</v>
      </c>
      <c r="B1101" s="10" t="s">
        <v>3383</v>
      </c>
      <c r="C1101" s="12" t="s">
        <v>3384</v>
      </c>
      <c r="D1101" s="10">
        <v>12</v>
      </c>
      <c r="E1101" s="13">
        <v>5000000</v>
      </c>
      <c r="F1101" s="14" t="s">
        <v>210</v>
      </c>
      <c r="G1101" s="14" t="s">
        <v>210</v>
      </c>
      <c r="H1101" s="15" t="s">
        <v>312</v>
      </c>
      <c r="I1101" s="8"/>
      <c r="J1101" s="10"/>
      <c r="AV1101" s="15" t="s">
        <v>181</v>
      </c>
      <c r="AW1101" s="15" t="s">
        <v>182</v>
      </c>
      <c r="AX1101" s="15" t="s">
        <v>3342</v>
      </c>
      <c r="BH1101" s="15" t="s">
        <v>184</v>
      </c>
      <c r="BI1101" s="15" t="s">
        <v>185</v>
      </c>
      <c r="BJ1101" s="15" t="s">
        <v>2351</v>
      </c>
      <c r="BK1101" s="15" t="s">
        <v>2352</v>
      </c>
      <c r="BL1101" s="15" t="s">
        <v>2353</v>
      </c>
      <c r="BM1101" s="15" t="s">
        <v>2354</v>
      </c>
      <c r="BN1101" s="15" t="s">
        <v>2355</v>
      </c>
      <c r="BO1101" s="15" t="s">
        <v>2356</v>
      </c>
      <c r="BR1101" s="15" t="s">
        <v>192</v>
      </c>
      <c r="BS1101" s="15" t="s">
        <v>193</v>
      </c>
      <c r="BT1101" s="15" t="s">
        <v>194</v>
      </c>
      <c r="BU1101" s="15" t="s">
        <v>195</v>
      </c>
      <c r="BV1101" s="15" t="s">
        <v>196</v>
      </c>
      <c r="BW1101" s="15" t="s">
        <v>193</v>
      </c>
      <c r="CA1101" s="15" t="s">
        <v>2357</v>
      </c>
      <c r="CB1101" s="15" t="s">
        <v>78</v>
      </c>
      <c r="CC1101" s="15">
        <v>1</v>
      </c>
      <c r="CW1101" s="10">
        <v>2</v>
      </c>
      <c r="CX1101" s="15" t="s">
        <v>3385</v>
      </c>
    </row>
    <row r="1102" spans="1:102" s="15" customFormat="1" x14ac:dyDescent="0.3">
      <c r="A1102" s="11" t="s">
        <v>2349</v>
      </c>
      <c r="B1102" s="10" t="s">
        <v>3386</v>
      </c>
      <c r="C1102" s="12" t="s">
        <v>3387</v>
      </c>
      <c r="D1102" s="10">
        <v>12</v>
      </c>
      <c r="E1102" s="13">
        <v>5000000</v>
      </c>
      <c r="F1102" s="14" t="s">
        <v>210</v>
      </c>
      <c r="G1102" s="14" t="s">
        <v>210</v>
      </c>
      <c r="H1102" s="15" t="s">
        <v>312</v>
      </c>
      <c r="I1102" s="8"/>
      <c r="J1102" s="10"/>
      <c r="AV1102" s="15" t="s">
        <v>181</v>
      </c>
      <c r="AW1102" s="15" t="s">
        <v>182</v>
      </c>
      <c r="AX1102" s="15" t="s">
        <v>3345</v>
      </c>
      <c r="BH1102" s="15" t="s">
        <v>184</v>
      </c>
      <c r="BI1102" s="15" t="s">
        <v>185</v>
      </c>
      <c r="BJ1102" s="15" t="s">
        <v>2351</v>
      </c>
      <c r="BK1102" s="15" t="s">
        <v>2352</v>
      </c>
      <c r="BL1102" s="15" t="s">
        <v>2353</v>
      </c>
      <c r="BM1102" s="15" t="s">
        <v>2354</v>
      </c>
      <c r="BN1102" s="15" t="s">
        <v>2355</v>
      </c>
      <c r="BO1102" s="15" t="s">
        <v>2356</v>
      </c>
      <c r="BR1102" s="15" t="s">
        <v>192</v>
      </c>
      <c r="BS1102" s="15" t="s">
        <v>193</v>
      </c>
      <c r="BT1102" s="15" t="s">
        <v>194</v>
      </c>
      <c r="BU1102" s="15" t="s">
        <v>195</v>
      </c>
      <c r="BV1102" s="15" t="s">
        <v>196</v>
      </c>
      <c r="BW1102" s="15" t="s">
        <v>193</v>
      </c>
      <c r="CA1102" s="15" t="s">
        <v>2357</v>
      </c>
      <c r="CB1102" s="15" t="s">
        <v>78</v>
      </c>
      <c r="CC1102" s="15">
        <v>1</v>
      </c>
      <c r="CW1102" s="10">
        <v>2</v>
      </c>
      <c r="CX1102" s="15" t="s">
        <v>3388</v>
      </c>
    </row>
    <row r="1103" spans="1:102" s="15" customFormat="1" x14ac:dyDescent="0.3">
      <c r="A1103" s="11" t="s">
        <v>2349</v>
      </c>
      <c r="B1103" s="10" t="s">
        <v>3389</v>
      </c>
      <c r="C1103" s="12" t="s">
        <v>3390</v>
      </c>
      <c r="D1103" s="10">
        <v>12</v>
      </c>
      <c r="E1103" s="13">
        <v>5000000</v>
      </c>
      <c r="F1103" s="14" t="s">
        <v>210</v>
      </c>
      <c r="G1103" s="14" t="s">
        <v>210</v>
      </c>
      <c r="H1103" s="15" t="s">
        <v>312</v>
      </c>
      <c r="I1103" s="8"/>
      <c r="J1103" s="10"/>
      <c r="AV1103" s="15" t="s">
        <v>181</v>
      </c>
      <c r="AW1103" s="15" t="s">
        <v>182</v>
      </c>
      <c r="AX1103" s="15" t="s">
        <v>3348</v>
      </c>
      <c r="BH1103" s="15" t="s">
        <v>184</v>
      </c>
      <c r="BI1103" s="15" t="s">
        <v>185</v>
      </c>
      <c r="BJ1103" s="15" t="s">
        <v>2351</v>
      </c>
      <c r="BK1103" s="15" t="s">
        <v>2352</v>
      </c>
      <c r="BL1103" s="15" t="s">
        <v>2353</v>
      </c>
      <c r="BM1103" s="15" t="s">
        <v>2354</v>
      </c>
      <c r="BN1103" s="15" t="s">
        <v>2355</v>
      </c>
      <c r="BO1103" s="15" t="s">
        <v>2356</v>
      </c>
      <c r="BR1103" s="15" t="s">
        <v>192</v>
      </c>
      <c r="BS1103" s="15" t="s">
        <v>193</v>
      </c>
      <c r="BT1103" s="15" t="s">
        <v>194</v>
      </c>
      <c r="BU1103" s="15" t="s">
        <v>195</v>
      </c>
      <c r="BV1103" s="15" t="s">
        <v>196</v>
      </c>
      <c r="BW1103" s="15" t="s">
        <v>193</v>
      </c>
      <c r="CA1103" s="15" t="s">
        <v>2357</v>
      </c>
      <c r="CB1103" s="15" t="s">
        <v>78</v>
      </c>
      <c r="CC1103" s="15">
        <v>1</v>
      </c>
      <c r="CW1103" s="10">
        <v>2</v>
      </c>
      <c r="CX1103" s="15" t="s">
        <v>3391</v>
      </c>
    </row>
    <row r="1104" spans="1:102" s="15" customFormat="1" x14ac:dyDescent="0.3">
      <c r="A1104" s="11" t="s">
        <v>2349</v>
      </c>
      <c r="B1104" s="10" t="s">
        <v>3392</v>
      </c>
      <c r="C1104" s="12" t="s">
        <v>3393</v>
      </c>
      <c r="D1104" s="10">
        <v>12</v>
      </c>
      <c r="E1104" s="13">
        <v>5000000</v>
      </c>
      <c r="F1104" s="14" t="s">
        <v>210</v>
      </c>
      <c r="G1104" s="14" t="s">
        <v>210</v>
      </c>
      <c r="H1104" s="15" t="s">
        <v>312</v>
      </c>
      <c r="I1104" s="8"/>
      <c r="J1104" s="10"/>
      <c r="AV1104" s="15" t="s">
        <v>181</v>
      </c>
      <c r="AW1104" s="15" t="s">
        <v>182</v>
      </c>
      <c r="AX1104" s="15" t="s">
        <v>3351</v>
      </c>
      <c r="BH1104" s="15" t="s">
        <v>184</v>
      </c>
      <c r="BI1104" s="15" t="s">
        <v>185</v>
      </c>
      <c r="BJ1104" s="15" t="s">
        <v>2351</v>
      </c>
      <c r="BK1104" s="15" t="s">
        <v>2352</v>
      </c>
      <c r="BL1104" s="15" t="s">
        <v>2353</v>
      </c>
      <c r="BM1104" s="15" t="s">
        <v>2354</v>
      </c>
      <c r="BN1104" s="15" t="s">
        <v>2355</v>
      </c>
      <c r="BO1104" s="15" t="s">
        <v>2356</v>
      </c>
      <c r="BR1104" s="15" t="s">
        <v>192</v>
      </c>
      <c r="BS1104" s="15" t="s">
        <v>193</v>
      </c>
      <c r="BT1104" s="15" t="s">
        <v>194</v>
      </c>
      <c r="BU1104" s="15" t="s">
        <v>195</v>
      </c>
      <c r="BV1104" s="15" t="s">
        <v>196</v>
      </c>
      <c r="BW1104" s="15" t="s">
        <v>193</v>
      </c>
      <c r="CA1104" s="15" t="s">
        <v>2357</v>
      </c>
      <c r="CB1104" s="15" t="s">
        <v>78</v>
      </c>
      <c r="CC1104" s="15">
        <v>1</v>
      </c>
      <c r="CW1104" s="10">
        <v>2</v>
      </c>
      <c r="CX1104" s="15" t="s">
        <v>3394</v>
      </c>
    </row>
    <row r="1105" spans="1:102" s="15" customFormat="1" x14ac:dyDescent="0.3">
      <c r="A1105" s="11" t="s">
        <v>2349</v>
      </c>
      <c r="B1105" s="10" t="s">
        <v>3395</v>
      </c>
      <c r="C1105" s="12" t="s">
        <v>3396</v>
      </c>
      <c r="D1105" s="10">
        <v>12</v>
      </c>
      <c r="E1105" s="13">
        <v>5000000</v>
      </c>
      <c r="F1105" s="14" t="s">
        <v>210</v>
      </c>
      <c r="G1105" s="14" t="s">
        <v>210</v>
      </c>
      <c r="H1105" s="15" t="s">
        <v>312</v>
      </c>
      <c r="I1105" s="8"/>
      <c r="J1105" s="10"/>
      <c r="AV1105" s="15" t="s">
        <v>181</v>
      </c>
      <c r="AW1105" s="15" t="s">
        <v>182</v>
      </c>
      <c r="AX1105" s="15" t="s">
        <v>3354</v>
      </c>
      <c r="BH1105" s="15" t="s">
        <v>184</v>
      </c>
      <c r="BI1105" s="15" t="s">
        <v>185</v>
      </c>
      <c r="BJ1105" s="15" t="s">
        <v>2351</v>
      </c>
      <c r="BK1105" s="15" t="s">
        <v>2352</v>
      </c>
      <c r="BL1105" s="15" t="s">
        <v>2353</v>
      </c>
      <c r="BM1105" s="15" t="s">
        <v>2354</v>
      </c>
      <c r="BN1105" s="15" t="s">
        <v>2355</v>
      </c>
      <c r="BO1105" s="15" t="s">
        <v>2356</v>
      </c>
      <c r="BR1105" s="15" t="s">
        <v>192</v>
      </c>
      <c r="BS1105" s="15" t="s">
        <v>193</v>
      </c>
      <c r="BT1105" s="15" t="s">
        <v>194</v>
      </c>
      <c r="BU1105" s="15" t="s">
        <v>195</v>
      </c>
      <c r="BV1105" s="15" t="s">
        <v>196</v>
      </c>
      <c r="BW1105" s="15" t="s">
        <v>193</v>
      </c>
      <c r="CA1105" s="15" t="s">
        <v>2357</v>
      </c>
      <c r="CB1105" s="15" t="s">
        <v>78</v>
      </c>
      <c r="CC1105" s="15">
        <v>1</v>
      </c>
      <c r="CW1105" s="10">
        <v>2</v>
      </c>
      <c r="CX1105" s="15" t="s">
        <v>3397</v>
      </c>
    </row>
    <row r="1106" spans="1:102" s="15" customFormat="1" x14ac:dyDescent="0.3">
      <c r="A1106" s="11" t="s">
        <v>2349</v>
      </c>
      <c r="B1106" s="10" t="s">
        <v>3398</v>
      </c>
      <c r="C1106" s="12" t="s">
        <v>3399</v>
      </c>
      <c r="D1106" s="10">
        <v>12</v>
      </c>
      <c r="E1106" s="13">
        <v>5000000</v>
      </c>
      <c r="F1106" s="14" t="s">
        <v>210</v>
      </c>
      <c r="G1106" s="14" t="s">
        <v>210</v>
      </c>
      <c r="H1106" s="15" t="s">
        <v>312</v>
      </c>
      <c r="I1106" s="8"/>
      <c r="J1106" s="10"/>
      <c r="AV1106" s="15" t="s">
        <v>181</v>
      </c>
      <c r="AW1106" s="15" t="s">
        <v>182</v>
      </c>
      <c r="AX1106" s="15" t="s">
        <v>3357</v>
      </c>
      <c r="BH1106" s="15" t="s">
        <v>184</v>
      </c>
      <c r="BI1106" s="15" t="s">
        <v>185</v>
      </c>
      <c r="BJ1106" s="15" t="s">
        <v>2351</v>
      </c>
      <c r="BK1106" s="15" t="s">
        <v>2352</v>
      </c>
      <c r="BL1106" s="15" t="s">
        <v>2353</v>
      </c>
      <c r="BM1106" s="15" t="s">
        <v>2354</v>
      </c>
      <c r="BN1106" s="15" t="s">
        <v>2355</v>
      </c>
      <c r="BO1106" s="15" t="s">
        <v>2356</v>
      </c>
      <c r="BR1106" s="15" t="s">
        <v>192</v>
      </c>
      <c r="BS1106" s="15" t="s">
        <v>193</v>
      </c>
      <c r="BT1106" s="15" t="s">
        <v>194</v>
      </c>
      <c r="BU1106" s="15" t="s">
        <v>195</v>
      </c>
      <c r="BV1106" s="15" t="s">
        <v>196</v>
      </c>
      <c r="BW1106" s="15" t="s">
        <v>193</v>
      </c>
      <c r="CA1106" s="15" t="s">
        <v>2357</v>
      </c>
      <c r="CB1106" s="15" t="s">
        <v>78</v>
      </c>
      <c r="CC1106" s="15">
        <v>1</v>
      </c>
      <c r="CW1106" s="10">
        <v>2</v>
      </c>
      <c r="CX1106" s="15" t="s">
        <v>3400</v>
      </c>
    </row>
    <row r="1107" spans="1:102" s="15" customFormat="1" x14ac:dyDescent="0.3">
      <c r="A1107" s="11" t="s">
        <v>2349</v>
      </c>
      <c r="B1107" s="10" t="s">
        <v>3401</v>
      </c>
      <c r="C1107" s="12" t="s">
        <v>3402</v>
      </c>
      <c r="D1107" s="10">
        <v>12</v>
      </c>
      <c r="E1107" s="13">
        <v>5000000</v>
      </c>
      <c r="F1107" s="14" t="s">
        <v>210</v>
      </c>
      <c r="G1107" s="14" t="s">
        <v>210</v>
      </c>
      <c r="H1107" s="15" t="s">
        <v>312</v>
      </c>
      <c r="I1107" s="8"/>
      <c r="J1107" s="10"/>
      <c r="AV1107" s="15" t="s">
        <v>181</v>
      </c>
      <c r="AW1107" s="15" t="s">
        <v>182</v>
      </c>
      <c r="AX1107" s="15" t="s">
        <v>3360</v>
      </c>
      <c r="BH1107" s="15" t="s">
        <v>184</v>
      </c>
      <c r="BI1107" s="15" t="s">
        <v>185</v>
      </c>
      <c r="BJ1107" s="15" t="s">
        <v>2351</v>
      </c>
      <c r="BK1107" s="15" t="s">
        <v>2352</v>
      </c>
      <c r="BL1107" s="15" t="s">
        <v>2353</v>
      </c>
      <c r="BM1107" s="15" t="s">
        <v>2354</v>
      </c>
      <c r="BN1107" s="15" t="s">
        <v>2355</v>
      </c>
      <c r="BO1107" s="15" t="s">
        <v>2356</v>
      </c>
      <c r="BR1107" s="15" t="s">
        <v>192</v>
      </c>
      <c r="BS1107" s="15" t="s">
        <v>193</v>
      </c>
      <c r="BT1107" s="15" t="s">
        <v>194</v>
      </c>
      <c r="BU1107" s="15" t="s">
        <v>195</v>
      </c>
      <c r="BV1107" s="15" t="s">
        <v>196</v>
      </c>
      <c r="BW1107" s="15" t="s">
        <v>193</v>
      </c>
      <c r="CA1107" s="15" t="s">
        <v>2357</v>
      </c>
      <c r="CB1107" s="15" t="s">
        <v>78</v>
      </c>
      <c r="CC1107" s="15">
        <v>1</v>
      </c>
      <c r="CW1107" s="10">
        <v>2</v>
      </c>
      <c r="CX1107" s="15" t="s">
        <v>3403</v>
      </c>
    </row>
    <row r="1108" spans="1:102" s="15" customFormat="1" x14ac:dyDescent="0.3">
      <c r="A1108" s="11" t="s">
        <v>2349</v>
      </c>
      <c r="B1108" s="10" t="s">
        <v>3404</v>
      </c>
      <c r="C1108" s="12" t="s">
        <v>3405</v>
      </c>
      <c r="D1108" s="10">
        <v>12</v>
      </c>
      <c r="E1108" s="13">
        <v>5000000</v>
      </c>
      <c r="F1108" s="14" t="s">
        <v>210</v>
      </c>
      <c r="G1108" s="14" t="s">
        <v>210</v>
      </c>
      <c r="H1108" s="15" t="s">
        <v>312</v>
      </c>
      <c r="I1108" s="8"/>
      <c r="J1108" s="10"/>
      <c r="AV1108" s="15" t="s">
        <v>181</v>
      </c>
      <c r="AW1108" s="15" t="s">
        <v>182</v>
      </c>
      <c r="AX1108" s="15" t="s">
        <v>3278</v>
      </c>
      <c r="BH1108" s="15" t="s">
        <v>184</v>
      </c>
      <c r="BI1108" s="15" t="s">
        <v>185</v>
      </c>
      <c r="BJ1108" s="15" t="s">
        <v>2351</v>
      </c>
      <c r="BK1108" s="15" t="s">
        <v>2352</v>
      </c>
      <c r="BL1108" s="15" t="s">
        <v>2353</v>
      </c>
      <c r="BM1108" s="15" t="s">
        <v>2354</v>
      </c>
      <c r="BN1108" s="15" t="s">
        <v>2355</v>
      </c>
      <c r="BO1108" s="15" t="s">
        <v>2356</v>
      </c>
      <c r="BR1108" s="15" t="s">
        <v>192</v>
      </c>
      <c r="BS1108" s="15" t="s">
        <v>193</v>
      </c>
      <c r="BT1108" s="15" t="s">
        <v>194</v>
      </c>
      <c r="BU1108" s="15" t="s">
        <v>195</v>
      </c>
      <c r="BV1108" s="15" t="s">
        <v>196</v>
      </c>
      <c r="BW1108" s="15" t="s">
        <v>193</v>
      </c>
      <c r="CA1108" s="15" t="s">
        <v>2357</v>
      </c>
      <c r="CB1108" s="15" t="s">
        <v>78</v>
      </c>
      <c r="CC1108" s="15">
        <v>1</v>
      </c>
      <c r="CW1108" s="10">
        <v>2</v>
      </c>
      <c r="CX1108" s="15" t="s">
        <v>3406</v>
      </c>
    </row>
    <row r="1109" spans="1:102" s="15" customFormat="1" x14ac:dyDescent="0.3">
      <c r="A1109" s="11" t="s">
        <v>2349</v>
      </c>
      <c r="B1109" s="10" t="s">
        <v>3407</v>
      </c>
      <c r="C1109" s="12" t="s">
        <v>3408</v>
      </c>
      <c r="D1109" s="10">
        <v>12</v>
      </c>
      <c r="E1109" s="13">
        <v>5000000</v>
      </c>
      <c r="F1109" s="14" t="s">
        <v>210</v>
      </c>
      <c r="G1109" s="14" t="s">
        <v>210</v>
      </c>
      <c r="H1109" s="15" t="s">
        <v>312</v>
      </c>
      <c r="I1109" s="8"/>
      <c r="J1109" s="10"/>
      <c r="AV1109" s="15" t="s">
        <v>181</v>
      </c>
      <c r="AW1109" s="15" t="s">
        <v>182</v>
      </c>
      <c r="AX1109" s="15" t="s">
        <v>3281</v>
      </c>
      <c r="BH1109" s="15" t="s">
        <v>184</v>
      </c>
      <c r="BI1109" s="15" t="s">
        <v>185</v>
      </c>
      <c r="BJ1109" s="15" t="s">
        <v>2351</v>
      </c>
      <c r="BK1109" s="15" t="s">
        <v>2352</v>
      </c>
      <c r="BL1109" s="15" t="s">
        <v>2353</v>
      </c>
      <c r="BM1109" s="15" t="s">
        <v>2354</v>
      </c>
      <c r="BN1109" s="15" t="s">
        <v>2355</v>
      </c>
      <c r="BO1109" s="15" t="s">
        <v>2356</v>
      </c>
      <c r="BR1109" s="15" t="s">
        <v>192</v>
      </c>
      <c r="BS1109" s="15" t="s">
        <v>193</v>
      </c>
      <c r="BT1109" s="15" t="s">
        <v>194</v>
      </c>
      <c r="BU1109" s="15" t="s">
        <v>195</v>
      </c>
      <c r="BV1109" s="15" t="s">
        <v>196</v>
      </c>
      <c r="BW1109" s="15" t="s">
        <v>193</v>
      </c>
      <c r="CA1109" s="15" t="s">
        <v>2357</v>
      </c>
      <c r="CB1109" s="15" t="s">
        <v>78</v>
      </c>
      <c r="CC1109" s="15">
        <v>1</v>
      </c>
      <c r="CW1109" s="10">
        <v>2</v>
      </c>
      <c r="CX1109" s="15" t="s">
        <v>3409</v>
      </c>
    </row>
    <row r="1110" spans="1:102" s="15" customFormat="1" x14ac:dyDescent="0.3">
      <c r="A1110" s="11" t="s">
        <v>2349</v>
      </c>
      <c r="B1110" s="10" t="s">
        <v>3410</v>
      </c>
      <c r="C1110" s="12" t="s">
        <v>3411</v>
      </c>
      <c r="D1110" s="10">
        <v>12</v>
      </c>
      <c r="E1110" s="13">
        <v>5000000</v>
      </c>
      <c r="F1110" s="14" t="s">
        <v>210</v>
      </c>
      <c r="G1110" s="14" t="s">
        <v>210</v>
      </c>
      <c r="H1110" s="15" t="s">
        <v>312</v>
      </c>
      <c r="I1110" s="8"/>
      <c r="J1110" s="10"/>
      <c r="AV1110" s="15" t="s">
        <v>181</v>
      </c>
      <c r="AW1110" s="15" t="s">
        <v>182</v>
      </c>
      <c r="AX1110" s="15" t="s">
        <v>3367</v>
      </c>
      <c r="BH1110" s="15" t="s">
        <v>184</v>
      </c>
      <c r="BI1110" s="15" t="s">
        <v>185</v>
      </c>
      <c r="BJ1110" s="15" t="s">
        <v>2351</v>
      </c>
      <c r="BK1110" s="15" t="s">
        <v>2352</v>
      </c>
      <c r="BL1110" s="15" t="s">
        <v>2353</v>
      </c>
      <c r="BM1110" s="15" t="s">
        <v>2354</v>
      </c>
      <c r="BN1110" s="15" t="s">
        <v>2355</v>
      </c>
      <c r="BO1110" s="15" t="s">
        <v>2356</v>
      </c>
      <c r="BR1110" s="15" t="s">
        <v>192</v>
      </c>
      <c r="BS1110" s="15" t="s">
        <v>193</v>
      </c>
      <c r="BT1110" s="15" t="s">
        <v>194</v>
      </c>
      <c r="BU1110" s="15" t="s">
        <v>195</v>
      </c>
      <c r="BV1110" s="15" t="s">
        <v>196</v>
      </c>
      <c r="BW1110" s="15" t="s">
        <v>193</v>
      </c>
      <c r="CA1110" s="15" t="s">
        <v>2357</v>
      </c>
      <c r="CB1110" s="15" t="s">
        <v>78</v>
      </c>
      <c r="CC1110" s="15">
        <v>1</v>
      </c>
      <c r="CW1110" s="10">
        <v>2</v>
      </c>
      <c r="CX1110" s="15" t="s">
        <v>3412</v>
      </c>
    </row>
    <row r="1111" spans="1:102" s="15" customFormat="1" x14ac:dyDescent="0.3">
      <c r="A1111" s="11" t="s">
        <v>2349</v>
      </c>
      <c r="B1111" s="10" t="s">
        <v>3413</v>
      </c>
      <c r="C1111" s="12" t="s">
        <v>3414</v>
      </c>
      <c r="D1111" s="10">
        <v>12</v>
      </c>
      <c r="E1111" s="13">
        <v>5000000</v>
      </c>
      <c r="F1111" s="14" t="s">
        <v>210</v>
      </c>
      <c r="G1111" s="14" t="s">
        <v>210</v>
      </c>
      <c r="H1111" s="15" t="s">
        <v>312</v>
      </c>
      <c r="I1111" s="8"/>
      <c r="J1111" s="10"/>
      <c r="AV1111" s="15" t="s">
        <v>181</v>
      </c>
      <c r="AW1111" s="15" t="s">
        <v>182</v>
      </c>
      <c r="AX1111" s="15" t="s">
        <v>3370</v>
      </c>
      <c r="BH1111" s="15" t="s">
        <v>184</v>
      </c>
      <c r="BI1111" s="15" t="s">
        <v>185</v>
      </c>
      <c r="BJ1111" s="15" t="s">
        <v>2351</v>
      </c>
      <c r="BK1111" s="15" t="s">
        <v>2352</v>
      </c>
      <c r="BL1111" s="15" t="s">
        <v>2353</v>
      </c>
      <c r="BM1111" s="15" t="s">
        <v>2354</v>
      </c>
      <c r="BN1111" s="15" t="s">
        <v>2355</v>
      </c>
      <c r="BO1111" s="15" t="s">
        <v>2356</v>
      </c>
      <c r="BR1111" s="15" t="s">
        <v>192</v>
      </c>
      <c r="BS1111" s="15" t="s">
        <v>193</v>
      </c>
      <c r="BT1111" s="15" t="s">
        <v>194</v>
      </c>
      <c r="BU1111" s="15" t="s">
        <v>195</v>
      </c>
      <c r="BV1111" s="15" t="s">
        <v>196</v>
      </c>
      <c r="BW1111" s="15" t="s">
        <v>193</v>
      </c>
      <c r="CA1111" s="15" t="s">
        <v>2357</v>
      </c>
      <c r="CB1111" s="15" t="s">
        <v>78</v>
      </c>
      <c r="CC1111" s="15">
        <v>1</v>
      </c>
      <c r="CW1111" s="10">
        <v>2</v>
      </c>
      <c r="CX1111" s="15" t="s">
        <v>3415</v>
      </c>
    </row>
    <row r="1112" spans="1:102" s="15" customFormat="1" x14ac:dyDescent="0.3">
      <c r="A1112" s="11" t="s">
        <v>2349</v>
      </c>
      <c r="B1112" s="10" t="s">
        <v>3416</v>
      </c>
      <c r="C1112" s="12" t="s">
        <v>3417</v>
      </c>
      <c r="D1112" s="10">
        <v>12</v>
      </c>
      <c r="E1112" s="13">
        <v>5000000</v>
      </c>
      <c r="F1112" s="14" t="s">
        <v>210</v>
      </c>
      <c r="G1112" s="14" t="s">
        <v>210</v>
      </c>
      <c r="H1112" s="15" t="s">
        <v>312</v>
      </c>
      <c r="I1112" s="8"/>
      <c r="J1112" s="10"/>
      <c r="AV1112" s="15" t="s">
        <v>181</v>
      </c>
      <c r="AW1112" s="15" t="s">
        <v>182</v>
      </c>
      <c r="AX1112" s="15" t="s">
        <v>3373</v>
      </c>
      <c r="BH1112" s="15" t="s">
        <v>184</v>
      </c>
      <c r="BI1112" s="15" t="s">
        <v>185</v>
      </c>
      <c r="BJ1112" s="15" t="s">
        <v>2351</v>
      </c>
      <c r="BK1112" s="15" t="s">
        <v>2352</v>
      </c>
      <c r="BL1112" s="15" t="s">
        <v>2353</v>
      </c>
      <c r="BM1112" s="15" t="s">
        <v>2354</v>
      </c>
      <c r="BN1112" s="15" t="s">
        <v>2355</v>
      </c>
      <c r="BO1112" s="15" t="s">
        <v>2356</v>
      </c>
      <c r="BR1112" s="15" t="s">
        <v>192</v>
      </c>
      <c r="BS1112" s="15" t="s">
        <v>193</v>
      </c>
      <c r="BT1112" s="15" t="s">
        <v>194</v>
      </c>
      <c r="BU1112" s="15" t="s">
        <v>195</v>
      </c>
      <c r="BV1112" s="15" t="s">
        <v>196</v>
      </c>
      <c r="BW1112" s="15" t="s">
        <v>193</v>
      </c>
      <c r="CA1112" s="15" t="s">
        <v>2357</v>
      </c>
      <c r="CB1112" s="15" t="s">
        <v>78</v>
      </c>
      <c r="CC1112" s="15">
        <v>1</v>
      </c>
      <c r="CW1112" s="10">
        <v>2</v>
      </c>
      <c r="CX1112" s="15" t="s">
        <v>3418</v>
      </c>
    </row>
    <row r="1113" spans="1:102" s="15" customFormat="1" x14ac:dyDescent="0.3">
      <c r="A1113" s="11" t="s">
        <v>2349</v>
      </c>
      <c r="B1113" s="10" t="s">
        <v>3419</v>
      </c>
      <c r="C1113" s="12" t="s">
        <v>3420</v>
      </c>
      <c r="D1113" s="10">
        <v>12</v>
      </c>
      <c r="E1113" s="13">
        <v>5000000</v>
      </c>
      <c r="F1113" s="14" t="s">
        <v>210</v>
      </c>
      <c r="G1113" s="14" t="s">
        <v>210</v>
      </c>
      <c r="H1113" s="15" t="s">
        <v>312</v>
      </c>
      <c r="I1113" s="8"/>
      <c r="J1113" s="10"/>
      <c r="AV1113" s="15" t="s">
        <v>181</v>
      </c>
      <c r="AW1113" s="15" t="s">
        <v>182</v>
      </c>
      <c r="AX1113" s="15" t="s">
        <v>3376</v>
      </c>
      <c r="BH1113" s="15" t="s">
        <v>184</v>
      </c>
      <c r="BI1113" s="15" t="s">
        <v>185</v>
      </c>
      <c r="BJ1113" s="15" t="s">
        <v>2351</v>
      </c>
      <c r="BK1113" s="15" t="s">
        <v>2352</v>
      </c>
      <c r="BL1113" s="15" t="s">
        <v>2353</v>
      </c>
      <c r="BM1113" s="15" t="s">
        <v>2354</v>
      </c>
      <c r="BN1113" s="15" t="s">
        <v>2355</v>
      </c>
      <c r="BO1113" s="15" t="s">
        <v>2356</v>
      </c>
      <c r="BR1113" s="15" t="s">
        <v>192</v>
      </c>
      <c r="BS1113" s="15" t="s">
        <v>193</v>
      </c>
      <c r="BT1113" s="15" t="s">
        <v>194</v>
      </c>
      <c r="BU1113" s="15" t="s">
        <v>195</v>
      </c>
      <c r="BV1113" s="15" t="s">
        <v>196</v>
      </c>
      <c r="BW1113" s="15" t="s">
        <v>193</v>
      </c>
      <c r="CA1113" s="15" t="s">
        <v>2357</v>
      </c>
      <c r="CB1113" s="15" t="s">
        <v>78</v>
      </c>
      <c r="CC1113" s="15">
        <v>1</v>
      </c>
      <c r="CW1113" s="10">
        <v>2</v>
      </c>
      <c r="CX1113" s="15" t="s">
        <v>3421</v>
      </c>
    </row>
    <row r="1114" spans="1:102" s="15" customFormat="1" x14ac:dyDescent="0.3">
      <c r="A1114" s="11" t="s">
        <v>2349</v>
      </c>
      <c r="B1114" s="10" t="s">
        <v>3422</v>
      </c>
      <c r="C1114" s="12" t="s">
        <v>3423</v>
      </c>
      <c r="D1114" s="10">
        <v>12</v>
      </c>
      <c r="E1114" s="13">
        <v>5000000</v>
      </c>
      <c r="F1114" s="14" t="s">
        <v>210</v>
      </c>
      <c r="G1114" s="14" t="s">
        <v>210</v>
      </c>
      <c r="H1114" s="15" t="s">
        <v>312</v>
      </c>
      <c r="I1114" s="8"/>
      <c r="J1114" s="10"/>
      <c r="AV1114" s="15" t="s">
        <v>181</v>
      </c>
      <c r="AW1114" s="15" t="s">
        <v>182</v>
      </c>
      <c r="AX1114" s="15" t="s">
        <v>3379</v>
      </c>
      <c r="BH1114" s="15" t="s">
        <v>184</v>
      </c>
      <c r="BI1114" s="15" t="s">
        <v>185</v>
      </c>
      <c r="BJ1114" s="15" t="s">
        <v>2351</v>
      </c>
      <c r="BK1114" s="15" t="s">
        <v>2352</v>
      </c>
      <c r="BL1114" s="15" t="s">
        <v>2353</v>
      </c>
      <c r="BM1114" s="15" t="s">
        <v>2354</v>
      </c>
      <c r="BN1114" s="15" t="s">
        <v>2355</v>
      </c>
      <c r="BO1114" s="15" t="s">
        <v>2356</v>
      </c>
      <c r="BR1114" s="15" t="s">
        <v>192</v>
      </c>
      <c r="BS1114" s="15" t="s">
        <v>193</v>
      </c>
      <c r="BT1114" s="15" t="s">
        <v>194</v>
      </c>
      <c r="BU1114" s="15" t="s">
        <v>195</v>
      </c>
      <c r="BV1114" s="15" t="s">
        <v>196</v>
      </c>
      <c r="BW1114" s="15" t="s">
        <v>193</v>
      </c>
      <c r="CA1114" s="15" t="s">
        <v>2357</v>
      </c>
      <c r="CB1114" s="15" t="s">
        <v>78</v>
      </c>
      <c r="CC1114" s="15">
        <v>1</v>
      </c>
      <c r="CW1114" s="10">
        <v>2</v>
      </c>
      <c r="CX1114" s="15" t="s">
        <v>3424</v>
      </c>
    </row>
    <row r="1115" spans="1:102" s="15" customFormat="1" x14ac:dyDescent="0.3">
      <c r="A1115" s="11" t="s">
        <v>2349</v>
      </c>
      <c r="B1115" s="10" t="s">
        <v>3425</v>
      </c>
      <c r="C1115" s="12" t="s">
        <v>3470</v>
      </c>
      <c r="D1115" s="10">
        <v>12</v>
      </c>
      <c r="E1115" s="13">
        <v>2000000</v>
      </c>
      <c r="F1115" s="14"/>
      <c r="G1115" s="14"/>
      <c r="I1115" s="8"/>
      <c r="J1115" s="10"/>
      <c r="AV1115" s="15" t="s">
        <v>181</v>
      </c>
      <c r="AW1115" s="15" t="s">
        <v>182</v>
      </c>
      <c r="BH1115" s="15" t="s">
        <v>184</v>
      </c>
      <c r="BI1115" s="15" t="s">
        <v>185</v>
      </c>
      <c r="BJ1115" s="15" t="s">
        <v>2351</v>
      </c>
      <c r="BK1115" s="15" t="s">
        <v>2352</v>
      </c>
      <c r="BL1115" s="15" t="s">
        <v>2353</v>
      </c>
      <c r="BM1115" s="15" t="s">
        <v>2354</v>
      </c>
      <c r="BN1115" s="15" t="s">
        <v>2355</v>
      </c>
      <c r="BO1115" s="15" t="s">
        <v>2356</v>
      </c>
      <c r="BR1115" s="15" t="s">
        <v>192</v>
      </c>
      <c r="BS1115" s="15" t="s">
        <v>193</v>
      </c>
      <c r="BT1115" s="15" t="s">
        <v>194</v>
      </c>
      <c r="BU1115" s="15" t="s">
        <v>195</v>
      </c>
      <c r="BV1115" s="15" t="s">
        <v>196</v>
      </c>
      <c r="BW1115" s="15" t="s">
        <v>251</v>
      </c>
      <c r="CA1115" s="15" t="s">
        <v>2357</v>
      </c>
      <c r="CB1115" s="15" t="s">
        <v>78</v>
      </c>
      <c r="CC1115" s="15">
        <v>1</v>
      </c>
      <c r="CW1115" s="10">
        <v>2</v>
      </c>
    </row>
    <row r="1116" spans="1:102" s="15" customFormat="1" x14ac:dyDescent="0.3">
      <c r="A1116" s="11" t="s">
        <v>2349</v>
      </c>
      <c r="B1116" s="10" t="s">
        <v>3426</v>
      </c>
      <c r="C1116" s="12" t="s">
        <v>3472</v>
      </c>
      <c r="D1116" s="10">
        <v>12</v>
      </c>
      <c r="E1116" s="13">
        <v>2000000</v>
      </c>
      <c r="F1116" s="14" t="s">
        <v>3252</v>
      </c>
      <c r="G1116" s="14" t="s">
        <v>210</v>
      </c>
      <c r="H1116" s="15" t="s">
        <v>270</v>
      </c>
      <c r="I1116" s="8"/>
      <c r="J1116" s="10"/>
      <c r="AV1116" s="15" t="s">
        <v>212</v>
      </c>
      <c r="AW1116" s="15" t="s">
        <v>213</v>
      </c>
      <c r="AX1116" s="15" t="s">
        <v>3427</v>
      </c>
      <c r="AY1116" s="15" t="s">
        <v>3342</v>
      </c>
      <c r="BH1116" s="15" t="s">
        <v>184</v>
      </c>
      <c r="BI1116" s="15" t="s">
        <v>185</v>
      </c>
      <c r="BJ1116" s="15" t="s">
        <v>2351</v>
      </c>
      <c r="BK1116" s="15" t="s">
        <v>2352</v>
      </c>
      <c r="BL1116" s="15" t="s">
        <v>2353</v>
      </c>
      <c r="BM1116" s="15" t="s">
        <v>2354</v>
      </c>
      <c r="BN1116" s="15" t="s">
        <v>2355</v>
      </c>
      <c r="BO1116" s="15" t="s">
        <v>2356</v>
      </c>
      <c r="BR1116" s="15" t="s">
        <v>192</v>
      </c>
      <c r="BS1116" s="15" t="s">
        <v>193</v>
      </c>
      <c r="BT1116" s="15" t="s">
        <v>194</v>
      </c>
      <c r="BU1116" s="15" t="s">
        <v>195</v>
      </c>
      <c r="BV1116" s="15" t="s">
        <v>196</v>
      </c>
      <c r="BW1116" s="15" t="s">
        <v>272</v>
      </c>
      <c r="CA1116" s="15" t="s">
        <v>2357</v>
      </c>
      <c r="CB1116" s="15" t="s">
        <v>78</v>
      </c>
      <c r="CC1116" s="15">
        <v>1</v>
      </c>
      <c r="CN1116" s="15" t="s">
        <v>3428</v>
      </c>
      <c r="CW1116" s="10">
        <v>2</v>
      </c>
      <c r="CX1116" s="15" t="s">
        <v>3429</v>
      </c>
    </row>
    <row r="1117" spans="1:102" s="15" customFormat="1" x14ac:dyDescent="0.3">
      <c r="A1117" s="11" t="s">
        <v>2349</v>
      </c>
      <c r="B1117" s="10" t="s">
        <v>3430</v>
      </c>
      <c r="C1117" s="12" t="s">
        <v>3475</v>
      </c>
      <c r="D1117" s="10">
        <v>12</v>
      </c>
      <c r="E1117" s="13">
        <v>2000000</v>
      </c>
      <c r="F1117" s="14" t="s">
        <v>3252</v>
      </c>
      <c r="G1117" s="14" t="s">
        <v>210</v>
      </c>
      <c r="H1117" s="15" t="s">
        <v>270</v>
      </c>
      <c r="I1117" s="8"/>
      <c r="J1117" s="10"/>
      <c r="AV1117" s="15" t="s">
        <v>212</v>
      </c>
      <c r="AW1117" s="15" t="s">
        <v>213</v>
      </c>
      <c r="AX1117" s="15" t="s">
        <v>3431</v>
      </c>
      <c r="AY1117" s="15" t="s">
        <v>3345</v>
      </c>
      <c r="BH1117" s="15" t="s">
        <v>184</v>
      </c>
      <c r="BI1117" s="15" t="s">
        <v>185</v>
      </c>
      <c r="BJ1117" s="15" t="s">
        <v>2351</v>
      </c>
      <c r="BK1117" s="15" t="s">
        <v>2352</v>
      </c>
      <c r="BL1117" s="15" t="s">
        <v>2353</v>
      </c>
      <c r="BM1117" s="15" t="s">
        <v>2354</v>
      </c>
      <c r="BN1117" s="15" t="s">
        <v>2355</v>
      </c>
      <c r="BO1117" s="15" t="s">
        <v>2356</v>
      </c>
      <c r="BR1117" s="15" t="s">
        <v>192</v>
      </c>
      <c r="BS1117" s="15" t="s">
        <v>193</v>
      </c>
      <c r="BT1117" s="15" t="s">
        <v>194</v>
      </c>
      <c r="BU1117" s="15" t="s">
        <v>195</v>
      </c>
      <c r="BV1117" s="15" t="s">
        <v>196</v>
      </c>
      <c r="BW1117" s="15" t="s">
        <v>272</v>
      </c>
      <c r="CA1117" s="15" t="s">
        <v>2357</v>
      </c>
      <c r="CB1117" s="15" t="s">
        <v>78</v>
      </c>
      <c r="CC1117" s="15">
        <v>1</v>
      </c>
      <c r="CN1117" s="15" t="s">
        <v>3428</v>
      </c>
      <c r="CW1117" s="10">
        <v>2</v>
      </c>
      <c r="CX1117" s="15" t="s">
        <v>3432</v>
      </c>
    </row>
    <row r="1118" spans="1:102" s="15" customFormat="1" x14ac:dyDescent="0.3">
      <c r="A1118" s="11" t="s">
        <v>2349</v>
      </c>
      <c r="B1118" s="10" t="s">
        <v>3433</v>
      </c>
      <c r="C1118" s="12" t="s">
        <v>3478</v>
      </c>
      <c r="D1118" s="10">
        <v>12</v>
      </c>
      <c r="E1118" s="13">
        <v>2000000</v>
      </c>
      <c r="F1118" s="14" t="s">
        <v>3252</v>
      </c>
      <c r="G1118" s="14" t="s">
        <v>210</v>
      </c>
      <c r="H1118" s="15" t="s">
        <v>270</v>
      </c>
      <c r="I1118" s="8"/>
      <c r="J1118" s="10"/>
      <c r="AV1118" s="15" t="s">
        <v>212</v>
      </c>
      <c r="AW1118" s="15" t="s">
        <v>213</v>
      </c>
      <c r="AX1118" s="15" t="s">
        <v>3434</v>
      </c>
      <c r="AY1118" s="15" t="s">
        <v>3348</v>
      </c>
      <c r="BH1118" s="15" t="s">
        <v>184</v>
      </c>
      <c r="BI1118" s="15" t="s">
        <v>185</v>
      </c>
      <c r="BJ1118" s="15" t="s">
        <v>2351</v>
      </c>
      <c r="BK1118" s="15" t="s">
        <v>2352</v>
      </c>
      <c r="BL1118" s="15" t="s">
        <v>2353</v>
      </c>
      <c r="BM1118" s="15" t="s">
        <v>2354</v>
      </c>
      <c r="BN1118" s="15" t="s">
        <v>2355</v>
      </c>
      <c r="BO1118" s="15" t="s">
        <v>2356</v>
      </c>
      <c r="BR1118" s="15" t="s">
        <v>192</v>
      </c>
      <c r="BS1118" s="15" t="s">
        <v>193</v>
      </c>
      <c r="BT1118" s="15" t="s">
        <v>194</v>
      </c>
      <c r="BU1118" s="15" t="s">
        <v>195</v>
      </c>
      <c r="BV1118" s="15" t="s">
        <v>196</v>
      </c>
      <c r="BW1118" s="15" t="s">
        <v>272</v>
      </c>
      <c r="CA1118" s="15" t="s">
        <v>2357</v>
      </c>
      <c r="CB1118" s="15" t="s">
        <v>78</v>
      </c>
      <c r="CC1118" s="15">
        <v>1</v>
      </c>
      <c r="CN1118" s="15" t="s">
        <v>3428</v>
      </c>
      <c r="CW1118" s="10">
        <v>2</v>
      </c>
      <c r="CX1118" s="15" t="s">
        <v>3435</v>
      </c>
    </row>
    <row r="1119" spans="1:102" s="15" customFormat="1" x14ac:dyDescent="0.3">
      <c r="A1119" s="11" t="s">
        <v>2349</v>
      </c>
      <c r="B1119" s="10" t="s">
        <v>3436</v>
      </c>
      <c r="C1119" s="12" t="s">
        <v>3481</v>
      </c>
      <c r="D1119" s="10">
        <v>12</v>
      </c>
      <c r="E1119" s="13">
        <v>2000000</v>
      </c>
      <c r="F1119" s="14" t="s">
        <v>3252</v>
      </c>
      <c r="G1119" s="14" t="s">
        <v>210</v>
      </c>
      <c r="H1119" s="15" t="s">
        <v>270</v>
      </c>
      <c r="I1119" s="8"/>
      <c r="J1119" s="10"/>
      <c r="AV1119" s="15" t="s">
        <v>212</v>
      </c>
      <c r="AW1119" s="15" t="s">
        <v>213</v>
      </c>
      <c r="AX1119" s="15" t="s">
        <v>3437</v>
      </c>
      <c r="AY1119" s="15" t="s">
        <v>3351</v>
      </c>
      <c r="BH1119" s="15" t="s">
        <v>184</v>
      </c>
      <c r="BI1119" s="15" t="s">
        <v>185</v>
      </c>
      <c r="BJ1119" s="15" t="s">
        <v>2351</v>
      </c>
      <c r="BK1119" s="15" t="s">
        <v>2352</v>
      </c>
      <c r="BL1119" s="15" t="s">
        <v>2353</v>
      </c>
      <c r="BM1119" s="15" t="s">
        <v>2354</v>
      </c>
      <c r="BN1119" s="15" t="s">
        <v>2355</v>
      </c>
      <c r="BO1119" s="15" t="s">
        <v>2356</v>
      </c>
      <c r="BR1119" s="15" t="s">
        <v>192</v>
      </c>
      <c r="BS1119" s="15" t="s">
        <v>193</v>
      </c>
      <c r="BT1119" s="15" t="s">
        <v>194</v>
      </c>
      <c r="BU1119" s="15" t="s">
        <v>195</v>
      </c>
      <c r="BV1119" s="15" t="s">
        <v>196</v>
      </c>
      <c r="BW1119" s="15" t="s">
        <v>272</v>
      </c>
      <c r="CA1119" s="15" t="s">
        <v>2357</v>
      </c>
      <c r="CB1119" s="15" t="s">
        <v>78</v>
      </c>
      <c r="CC1119" s="15">
        <v>1</v>
      </c>
      <c r="CN1119" s="15" t="s">
        <v>3428</v>
      </c>
      <c r="CW1119" s="10">
        <v>2</v>
      </c>
      <c r="CX1119" s="15" t="s">
        <v>3438</v>
      </c>
    </row>
    <row r="1120" spans="1:102" s="15" customFormat="1" x14ac:dyDescent="0.3">
      <c r="A1120" s="11" t="s">
        <v>2349</v>
      </c>
      <c r="B1120" s="10" t="s">
        <v>3439</v>
      </c>
      <c r="C1120" s="12" t="s">
        <v>3484</v>
      </c>
      <c r="D1120" s="10">
        <v>12</v>
      </c>
      <c r="E1120" s="13">
        <v>2000000</v>
      </c>
      <c r="F1120" s="14" t="s">
        <v>3252</v>
      </c>
      <c r="G1120" s="14" t="s">
        <v>210</v>
      </c>
      <c r="H1120" s="15" t="s">
        <v>270</v>
      </c>
      <c r="I1120" s="8"/>
      <c r="J1120" s="10"/>
      <c r="AV1120" s="15" t="s">
        <v>212</v>
      </c>
      <c r="AW1120" s="15" t="s">
        <v>213</v>
      </c>
      <c r="AX1120" s="15" t="s">
        <v>3440</v>
      </c>
      <c r="AY1120" s="15" t="s">
        <v>3354</v>
      </c>
      <c r="BH1120" s="15" t="s">
        <v>184</v>
      </c>
      <c r="BI1120" s="15" t="s">
        <v>185</v>
      </c>
      <c r="BJ1120" s="15" t="s">
        <v>2351</v>
      </c>
      <c r="BK1120" s="15" t="s">
        <v>2352</v>
      </c>
      <c r="BL1120" s="15" t="s">
        <v>2353</v>
      </c>
      <c r="BM1120" s="15" t="s">
        <v>2354</v>
      </c>
      <c r="BN1120" s="15" t="s">
        <v>2355</v>
      </c>
      <c r="BO1120" s="15" t="s">
        <v>2356</v>
      </c>
      <c r="BR1120" s="15" t="s">
        <v>192</v>
      </c>
      <c r="BS1120" s="15" t="s">
        <v>193</v>
      </c>
      <c r="BT1120" s="15" t="s">
        <v>194</v>
      </c>
      <c r="BU1120" s="15" t="s">
        <v>195</v>
      </c>
      <c r="BV1120" s="15" t="s">
        <v>196</v>
      </c>
      <c r="BW1120" s="15" t="s">
        <v>272</v>
      </c>
      <c r="CA1120" s="15" t="s">
        <v>2357</v>
      </c>
      <c r="CB1120" s="15" t="s">
        <v>78</v>
      </c>
      <c r="CC1120" s="15">
        <v>1</v>
      </c>
      <c r="CN1120" s="15" t="s">
        <v>3428</v>
      </c>
      <c r="CW1120" s="10">
        <v>2</v>
      </c>
      <c r="CX1120" s="15" t="s">
        <v>3441</v>
      </c>
    </row>
    <row r="1121" spans="1:102" s="15" customFormat="1" x14ac:dyDescent="0.3">
      <c r="A1121" s="11" t="s">
        <v>2349</v>
      </c>
      <c r="B1121" s="10" t="s">
        <v>3442</v>
      </c>
      <c r="C1121" s="12" t="s">
        <v>3487</v>
      </c>
      <c r="D1121" s="10">
        <v>12</v>
      </c>
      <c r="E1121" s="13">
        <v>2000000</v>
      </c>
      <c r="F1121" s="14" t="s">
        <v>3252</v>
      </c>
      <c r="G1121" s="14" t="s">
        <v>210</v>
      </c>
      <c r="H1121" s="15" t="s">
        <v>270</v>
      </c>
      <c r="I1121" s="8"/>
      <c r="J1121" s="10"/>
      <c r="AV1121" s="15" t="s">
        <v>212</v>
      </c>
      <c r="AW1121" s="15" t="s">
        <v>213</v>
      </c>
      <c r="AX1121" s="15" t="s">
        <v>3443</v>
      </c>
      <c r="AY1121" s="15" t="s">
        <v>3357</v>
      </c>
      <c r="BH1121" s="15" t="s">
        <v>184</v>
      </c>
      <c r="BI1121" s="15" t="s">
        <v>185</v>
      </c>
      <c r="BJ1121" s="15" t="s">
        <v>2351</v>
      </c>
      <c r="BK1121" s="15" t="s">
        <v>2352</v>
      </c>
      <c r="BL1121" s="15" t="s">
        <v>2353</v>
      </c>
      <c r="BM1121" s="15" t="s">
        <v>2354</v>
      </c>
      <c r="BN1121" s="15" t="s">
        <v>2355</v>
      </c>
      <c r="BO1121" s="15" t="s">
        <v>2356</v>
      </c>
      <c r="BR1121" s="15" t="s">
        <v>192</v>
      </c>
      <c r="BS1121" s="15" t="s">
        <v>193</v>
      </c>
      <c r="BT1121" s="15" t="s">
        <v>194</v>
      </c>
      <c r="BU1121" s="15" t="s">
        <v>195</v>
      </c>
      <c r="BV1121" s="15" t="s">
        <v>196</v>
      </c>
      <c r="BW1121" s="15" t="s">
        <v>272</v>
      </c>
      <c r="CA1121" s="15" t="s">
        <v>2357</v>
      </c>
      <c r="CB1121" s="15" t="s">
        <v>78</v>
      </c>
      <c r="CC1121" s="15">
        <v>1</v>
      </c>
      <c r="CN1121" s="15" t="s">
        <v>3428</v>
      </c>
      <c r="CW1121" s="10">
        <v>2</v>
      </c>
      <c r="CX1121" s="15" t="s">
        <v>3444</v>
      </c>
    </row>
    <row r="1122" spans="1:102" s="15" customFormat="1" x14ac:dyDescent="0.3">
      <c r="A1122" s="11" t="s">
        <v>2349</v>
      </c>
      <c r="B1122" s="10" t="s">
        <v>3445</v>
      </c>
      <c r="C1122" s="12" t="s">
        <v>3490</v>
      </c>
      <c r="D1122" s="10">
        <v>12</v>
      </c>
      <c r="E1122" s="13">
        <v>2000000</v>
      </c>
      <c r="F1122" s="14" t="s">
        <v>3252</v>
      </c>
      <c r="G1122" s="14" t="s">
        <v>210</v>
      </c>
      <c r="H1122" s="15" t="s">
        <v>270</v>
      </c>
      <c r="I1122" s="8"/>
      <c r="J1122" s="10"/>
      <c r="AV1122" s="15" t="s">
        <v>212</v>
      </c>
      <c r="AW1122" s="15" t="s">
        <v>213</v>
      </c>
      <c r="AX1122" s="15" t="s">
        <v>3446</v>
      </c>
      <c r="AY1122" s="15" t="s">
        <v>3360</v>
      </c>
      <c r="BH1122" s="15" t="s">
        <v>184</v>
      </c>
      <c r="BI1122" s="15" t="s">
        <v>185</v>
      </c>
      <c r="BJ1122" s="15" t="s">
        <v>2351</v>
      </c>
      <c r="BK1122" s="15" t="s">
        <v>2352</v>
      </c>
      <c r="BL1122" s="15" t="s">
        <v>2353</v>
      </c>
      <c r="BM1122" s="15" t="s">
        <v>2354</v>
      </c>
      <c r="BN1122" s="15" t="s">
        <v>2355</v>
      </c>
      <c r="BO1122" s="15" t="s">
        <v>2356</v>
      </c>
      <c r="BR1122" s="15" t="s">
        <v>192</v>
      </c>
      <c r="BS1122" s="15" t="s">
        <v>193</v>
      </c>
      <c r="BT1122" s="15" t="s">
        <v>194</v>
      </c>
      <c r="BU1122" s="15" t="s">
        <v>195</v>
      </c>
      <c r="BV1122" s="15" t="s">
        <v>196</v>
      </c>
      <c r="BW1122" s="15" t="s">
        <v>272</v>
      </c>
      <c r="CA1122" s="15" t="s">
        <v>2357</v>
      </c>
      <c r="CB1122" s="15" t="s">
        <v>78</v>
      </c>
      <c r="CC1122" s="15">
        <v>1</v>
      </c>
      <c r="CN1122" s="15" t="s">
        <v>3428</v>
      </c>
      <c r="CW1122" s="10">
        <v>2</v>
      </c>
      <c r="CX1122" s="15" t="s">
        <v>3447</v>
      </c>
    </row>
    <row r="1123" spans="1:102" s="15" customFormat="1" x14ac:dyDescent="0.3">
      <c r="A1123" s="11" t="s">
        <v>2349</v>
      </c>
      <c r="B1123" s="10" t="s">
        <v>3448</v>
      </c>
      <c r="C1123" s="12" t="s">
        <v>3493</v>
      </c>
      <c r="D1123" s="10">
        <v>12</v>
      </c>
      <c r="E1123" s="13">
        <v>2000000</v>
      </c>
      <c r="F1123" s="14" t="s">
        <v>3252</v>
      </c>
      <c r="G1123" s="14" t="s">
        <v>210</v>
      </c>
      <c r="H1123" s="15" t="s">
        <v>270</v>
      </c>
      <c r="I1123" s="8"/>
      <c r="J1123" s="10"/>
      <c r="AV1123" s="15" t="s">
        <v>212</v>
      </c>
      <c r="AW1123" s="15" t="s">
        <v>213</v>
      </c>
      <c r="AX1123" s="15" t="s">
        <v>3449</v>
      </c>
      <c r="AY1123" s="15" t="s">
        <v>3278</v>
      </c>
      <c r="BH1123" s="15" t="s">
        <v>184</v>
      </c>
      <c r="BI1123" s="15" t="s">
        <v>185</v>
      </c>
      <c r="BJ1123" s="15" t="s">
        <v>2351</v>
      </c>
      <c r="BK1123" s="15" t="s">
        <v>2352</v>
      </c>
      <c r="BL1123" s="15" t="s">
        <v>2353</v>
      </c>
      <c r="BM1123" s="15" t="s">
        <v>2354</v>
      </c>
      <c r="BN1123" s="15" t="s">
        <v>2355</v>
      </c>
      <c r="BO1123" s="15" t="s">
        <v>2356</v>
      </c>
      <c r="BR1123" s="15" t="s">
        <v>192</v>
      </c>
      <c r="BS1123" s="15" t="s">
        <v>193</v>
      </c>
      <c r="BT1123" s="15" t="s">
        <v>194</v>
      </c>
      <c r="BU1123" s="15" t="s">
        <v>195</v>
      </c>
      <c r="BV1123" s="15" t="s">
        <v>196</v>
      </c>
      <c r="BW1123" s="15" t="s">
        <v>272</v>
      </c>
      <c r="CA1123" s="15" t="s">
        <v>2357</v>
      </c>
      <c r="CB1123" s="15" t="s">
        <v>78</v>
      </c>
      <c r="CC1123" s="15">
        <v>1</v>
      </c>
      <c r="CN1123" s="15" t="s">
        <v>3428</v>
      </c>
      <c r="CW1123" s="10">
        <v>2</v>
      </c>
      <c r="CX1123" s="15" t="s">
        <v>3450</v>
      </c>
    </row>
    <row r="1124" spans="1:102" s="15" customFormat="1" x14ac:dyDescent="0.3">
      <c r="A1124" s="11" t="s">
        <v>2349</v>
      </c>
      <c r="B1124" s="10" t="s">
        <v>3451</v>
      </c>
      <c r="C1124" s="12" t="s">
        <v>3496</v>
      </c>
      <c r="D1124" s="10">
        <v>12</v>
      </c>
      <c r="E1124" s="13">
        <v>2000000</v>
      </c>
      <c r="F1124" s="14" t="s">
        <v>3252</v>
      </c>
      <c r="G1124" s="14" t="s">
        <v>210</v>
      </c>
      <c r="H1124" s="15" t="s">
        <v>270</v>
      </c>
      <c r="I1124" s="8"/>
      <c r="J1124" s="10"/>
      <c r="AV1124" s="15" t="s">
        <v>212</v>
      </c>
      <c r="AW1124" s="15" t="s">
        <v>213</v>
      </c>
      <c r="AX1124" s="15" t="s">
        <v>3452</v>
      </c>
      <c r="AY1124" s="15" t="s">
        <v>3281</v>
      </c>
      <c r="BH1124" s="15" t="s">
        <v>184</v>
      </c>
      <c r="BI1124" s="15" t="s">
        <v>185</v>
      </c>
      <c r="BJ1124" s="15" t="s">
        <v>2351</v>
      </c>
      <c r="BK1124" s="15" t="s">
        <v>2352</v>
      </c>
      <c r="BL1124" s="15" t="s">
        <v>2353</v>
      </c>
      <c r="BM1124" s="15" t="s">
        <v>2354</v>
      </c>
      <c r="BN1124" s="15" t="s">
        <v>2355</v>
      </c>
      <c r="BO1124" s="15" t="s">
        <v>2356</v>
      </c>
      <c r="BR1124" s="15" t="s">
        <v>192</v>
      </c>
      <c r="BS1124" s="15" t="s">
        <v>193</v>
      </c>
      <c r="BT1124" s="15" t="s">
        <v>194</v>
      </c>
      <c r="BU1124" s="15" t="s">
        <v>195</v>
      </c>
      <c r="BV1124" s="15" t="s">
        <v>196</v>
      </c>
      <c r="BW1124" s="15" t="s">
        <v>272</v>
      </c>
      <c r="CA1124" s="15" t="s">
        <v>2357</v>
      </c>
      <c r="CB1124" s="15" t="s">
        <v>78</v>
      </c>
      <c r="CC1124" s="15">
        <v>1</v>
      </c>
      <c r="CN1124" s="15" t="s">
        <v>3428</v>
      </c>
      <c r="CW1124" s="10">
        <v>2</v>
      </c>
      <c r="CX1124" s="15" t="s">
        <v>3453</v>
      </c>
    </row>
    <row r="1125" spans="1:102" s="15" customFormat="1" x14ac:dyDescent="0.3">
      <c r="A1125" s="11" t="s">
        <v>2349</v>
      </c>
      <c r="B1125" s="10" t="s">
        <v>3454</v>
      </c>
      <c r="C1125" s="12" t="s">
        <v>3499</v>
      </c>
      <c r="D1125" s="10">
        <v>12</v>
      </c>
      <c r="E1125" s="13">
        <v>2000000</v>
      </c>
      <c r="F1125" s="14" t="s">
        <v>3252</v>
      </c>
      <c r="G1125" s="14" t="s">
        <v>210</v>
      </c>
      <c r="H1125" s="15" t="s">
        <v>270</v>
      </c>
      <c r="I1125" s="8"/>
      <c r="J1125" s="10"/>
      <c r="AV1125" s="15" t="s">
        <v>212</v>
      </c>
      <c r="AW1125" s="15" t="s">
        <v>213</v>
      </c>
      <c r="AX1125" s="15" t="s">
        <v>3455</v>
      </c>
      <c r="AY1125" s="15" t="s">
        <v>3367</v>
      </c>
      <c r="BH1125" s="15" t="s">
        <v>184</v>
      </c>
      <c r="BI1125" s="15" t="s">
        <v>185</v>
      </c>
      <c r="BJ1125" s="15" t="s">
        <v>2351</v>
      </c>
      <c r="BK1125" s="15" t="s">
        <v>2352</v>
      </c>
      <c r="BL1125" s="15" t="s">
        <v>2353</v>
      </c>
      <c r="BM1125" s="15" t="s">
        <v>2354</v>
      </c>
      <c r="BN1125" s="15" t="s">
        <v>2355</v>
      </c>
      <c r="BO1125" s="15" t="s">
        <v>2356</v>
      </c>
      <c r="BR1125" s="15" t="s">
        <v>192</v>
      </c>
      <c r="BS1125" s="15" t="s">
        <v>193</v>
      </c>
      <c r="BT1125" s="15" t="s">
        <v>194</v>
      </c>
      <c r="BU1125" s="15" t="s">
        <v>195</v>
      </c>
      <c r="BV1125" s="15" t="s">
        <v>196</v>
      </c>
      <c r="BW1125" s="15" t="s">
        <v>272</v>
      </c>
      <c r="CA1125" s="15" t="s">
        <v>2357</v>
      </c>
      <c r="CB1125" s="15" t="s">
        <v>78</v>
      </c>
      <c r="CC1125" s="15">
        <v>1</v>
      </c>
      <c r="CN1125" s="15" t="s">
        <v>3428</v>
      </c>
      <c r="CW1125" s="10">
        <v>2</v>
      </c>
      <c r="CX1125" s="15" t="s">
        <v>3456</v>
      </c>
    </row>
    <row r="1126" spans="1:102" s="15" customFormat="1" x14ac:dyDescent="0.3">
      <c r="A1126" s="11" t="s">
        <v>2349</v>
      </c>
      <c r="B1126" s="10" t="s">
        <v>3457</v>
      </c>
      <c r="C1126" s="12" t="s">
        <v>3502</v>
      </c>
      <c r="D1126" s="10">
        <v>12</v>
      </c>
      <c r="E1126" s="13">
        <v>2000000</v>
      </c>
      <c r="F1126" s="14" t="s">
        <v>3252</v>
      </c>
      <c r="G1126" s="14" t="s">
        <v>210</v>
      </c>
      <c r="H1126" s="15" t="s">
        <v>270</v>
      </c>
      <c r="I1126" s="8"/>
      <c r="J1126" s="10"/>
      <c r="AV1126" s="15" t="s">
        <v>212</v>
      </c>
      <c r="AW1126" s="15" t="s">
        <v>213</v>
      </c>
      <c r="AX1126" s="15" t="s">
        <v>3458</v>
      </c>
      <c r="AY1126" s="15" t="s">
        <v>3370</v>
      </c>
      <c r="BH1126" s="15" t="s">
        <v>184</v>
      </c>
      <c r="BI1126" s="15" t="s">
        <v>185</v>
      </c>
      <c r="BJ1126" s="15" t="s">
        <v>2351</v>
      </c>
      <c r="BK1126" s="15" t="s">
        <v>2352</v>
      </c>
      <c r="BL1126" s="15" t="s">
        <v>2353</v>
      </c>
      <c r="BM1126" s="15" t="s">
        <v>2354</v>
      </c>
      <c r="BN1126" s="15" t="s">
        <v>2355</v>
      </c>
      <c r="BO1126" s="15" t="s">
        <v>2356</v>
      </c>
      <c r="BR1126" s="15" t="s">
        <v>192</v>
      </c>
      <c r="BS1126" s="15" t="s">
        <v>193</v>
      </c>
      <c r="BT1126" s="15" t="s">
        <v>194</v>
      </c>
      <c r="BU1126" s="15" t="s">
        <v>195</v>
      </c>
      <c r="BV1126" s="15" t="s">
        <v>196</v>
      </c>
      <c r="BW1126" s="15" t="s">
        <v>272</v>
      </c>
      <c r="CA1126" s="15" t="s">
        <v>2357</v>
      </c>
      <c r="CB1126" s="15" t="s">
        <v>78</v>
      </c>
      <c r="CC1126" s="15">
        <v>1</v>
      </c>
      <c r="CN1126" s="15" t="s">
        <v>3428</v>
      </c>
      <c r="CW1126" s="10">
        <v>2</v>
      </c>
      <c r="CX1126" s="15" t="s">
        <v>3459</v>
      </c>
    </row>
    <row r="1127" spans="1:102" s="15" customFormat="1" x14ac:dyDescent="0.3">
      <c r="A1127" s="11" t="s">
        <v>2349</v>
      </c>
      <c r="B1127" s="10" t="s">
        <v>3460</v>
      </c>
      <c r="C1127" s="12" t="s">
        <v>3505</v>
      </c>
      <c r="D1127" s="10">
        <v>12</v>
      </c>
      <c r="E1127" s="13">
        <v>2000000</v>
      </c>
      <c r="F1127" s="14" t="s">
        <v>3252</v>
      </c>
      <c r="G1127" s="14" t="s">
        <v>210</v>
      </c>
      <c r="H1127" s="15" t="s">
        <v>270</v>
      </c>
      <c r="I1127" s="8"/>
      <c r="J1127" s="10"/>
      <c r="AV1127" s="15" t="s">
        <v>212</v>
      </c>
      <c r="AW1127" s="15" t="s">
        <v>213</v>
      </c>
      <c r="AX1127" s="15" t="s">
        <v>3461</v>
      </c>
      <c r="AY1127" s="15" t="s">
        <v>3373</v>
      </c>
      <c r="BH1127" s="15" t="s">
        <v>184</v>
      </c>
      <c r="BI1127" s="15" t="s">
        <v>185</v>
      </c>
      <c r="BJ1127" s="15" t="s">
        <v>2351</v>
      </c>
      <c r="BK1127" s="15" t="s">
        <v>2352</v>
      </c>
      <c r="BL1127" s="15" t="s">
        <v>2353</v>
      </c>
      <c r="BM1127" s="15" t="s">
        <v>2354</v>
      </c>
      <c r="BN1127" s="15" t="s">
        <v>2355</v>
      </c>
      <c r="BO1127" s="15" t="s">
        <v>2356</v>
      </c>
      <c r="BR1127" s="15" t="s">
        <v>192</v>
      </c>
      <c r="BS1127" s="15" t="s">
        <v>193</v>
      </c>
      <c r="BT1127" s="15" t="s">
        <v>194</v>
      </c>
      <c r="BU1127" s="15" t="s">
        <v>195</v>
      </c>
      <c r="BV1127" s="15" t="s">
        <v>196</v>
      </c>
      <c r="BW1127" s="15" t="s">
        <v>272</v>
      </c>
      <c r="CA1127" s="15" t="s">
        <v>2357</v>
      </c>
      <c r="CB1127" s="15" t="s">
        <v>78</v>
      </c>
      <c r="CC1127" s="15">
        <v>1</v>
      </c>
      <c r="CN1127" s="15" t="s">
        <v>3428</v>
      </c>
      <c r="CW1127" s="10">
        <v>2</v>
      </c>
      <c r="CX1127" s="15" t="s">
        <v>3462</v>
      </c>
    </row>
    <row r="1128" spans="1:102" s="15" customFormat="1" x14ac:dyDescent="0.3">
      <c r="A1128" s="11" t="s">
        <v>2349</v>
      </c>
      <c r="B1128" s="10" t="s">
        <v>3463</v>
      </c>
      <c r="C1128" s="12" t="s">
        <v>3508</v>
      </c>
      <c r="D1128" s="10">
        <v>12</v>
      </c>
      <c r="E1128" s="13">
        <v>2000000</v>
      </c>
      <c r="F1128" s="14" t="s">
        <v>3252</v>
      </c>
      <c r="G1128" s="14" t="s">
        <v>210</v>
      </c>
      <c r="H1128" s="15" t="s">
        <v>270</v>
      </c>
      <c r="I1128" s="8"/>
      <c r="J1128" s="10"/>
      <c r="AV1128" s="15" t="s">
        <v>212</v>
      </c>
      <c r="AW1128" s="15" t="s">
        <v>213</v>
      </c>
      <c r="AX1128" s="15" t="s">
        <v>3464</v>
      </c>
      <c r="AY1128" s="15" t="s">
        <v>3376</v>
      </c>
      <c r="BH1128" s="15" t="s">
        <v>184</v>
      </c>
      <c r="BI1128" s="15" t="s">
        <v>185</v>
      </c>
      <c r="BJ1128" s="15" t="s">
        <v>2351</v>
      </c>
      <c r="BK1128" s="15" t="s">
        <v>2352</v>
      </c>
      <c r="BL1128" s="15" t="s">
        <v>2353</v>
      </c>
      <c r="BM1128" s="15" t="s">
        <v>2354</v>
      </c>
      <c r="BN1128" s="15" t="s">
        <v>2355</v>
      </c>
      <c r="BO1128" s="15" t="s">
        <v>2356</v>
      </c>
      <c r="BR1128" s="15" t="s">
        <v>192</v>
      </c>
      <c r="BS1128" s="15" t="s">
        <v>193</v>
      </c>
      <c r="BT1128" s="15" t="s">
        <v>194</v>
      </c>
      <c r="BU1128" s="15" t="s">
        <v>195</v>
      </c>
      <c r="BV1128" s="15" t="s">
        <v>196</v>
      </c>
      <c r="BW1128" s="15" t="s">
        <v>272</v>
      </c>
      <c r="CA1128" s="15" t="s">
        <v>2357</v>
      </c>
      <c r="CB1128" s="15" t="s">
        <v>78</v>
      </c>
      <c r="CC1128" s="15">
        <v>1</v>
      </c>
      <c r="CN1128" s="15" t="s">
        <v>3428</v>
      </c>
      <c r="CW1128" s="10">
        <v>2</v>
      </c>
      <c r="CX1128" s="15" t="s">
        <v>3465</v>
      </c>
    </row>
    <row r="1129" spans="1:102" s="15" customFormat="1" x14ac:dyDescent="0.3">
      <c r="A1129" s="11" t="s">
        <v>2349</v>
      </c>
      <c r="B1129" s="10" t="s">
        <v>3466</v>
      </c>
      <c r="C1129" s="12" t="s">
        <v>3511</v>
      </c>
      <c r="D1129" s="10">
        <v>12</v>
      </c>
      <c r="E1129" s="13">
        <v>2000000</v>
      </c>
      <c r="F1129" s="14" t="s">
        <v>3252</v>
      </c>
      <c r="G1129" s="14" t="s">
        <v>210</v>
      </c>
      <c r="H1129" s="15" t="s">
        <v>270</v>
      </c>
      <c r="I1129" s="8"/>
      <c r="J1129" s="10"/>
      <c r="AV1129" s="15" t="s">
        <v>212</v>
      </c>
      <c r="AW1129" s="15" t="s">
        <v>213</v>
      </c>
      <c r="AX1129" s="15" t="s">
        <v>3467</v>
      </c>
      <c r="AY1129" s="15" t="s">
        <v>3379</v>
      </c>
      <c r="BH1129" s="15" t="s">
        <v>184</v>
      </c>
      <c r="BI1129" s="15" t="s">
        <v>185</v>
      </c>
      <c r="BJ1129" s="15" t="s">
        <v>2351</v>
      </c>
      <c r="BK1129" s="15" t="s">
        <v>2352</v>
      </c>
      <c r="BL1129" s="15" t="s">
        <v>2353</v>
      </c>
      <c r="BM1129" s="15" t="s">
        <v>2354</v>
      </c>
      <c r="BN1129" s="15" t="s">
        <v>2355</v>
      </c>
      <c r="BO1129" s="15" t="s">
        <v>2356</v>
      </c>
      <c r="BR1129" s="15" t="s">
        <v>192</v>
      </c>
      <c r="BS1129" s="15" t="s">
        <v>193</v>
      </c>
      <c r="BT1129" s="15" t="s">
        <v>194</v>
      </c>
      <c r="BU1129" s="15" t="s">
        <v>195</v>
      </c>
      <c r="BV1129" s="15" t="s">
        <v>196</v>
      </c>
      <c r="BW1129" s="15" t="s">
        <v>272</v>
      </c>
      <c r="CA1129" s="15" t="s">
        <v>2357</v>
      </c>
      <c r="CB1129" s="15" t="s">
        <v>78</v>
      </c>
      <c r="CC1129" s="15">
        <v>1</v>
      </c>
      <c r="CN1129" s="15" t="s">
        <v>3428</v>
      </c>
      <c r="CW1129" s="10">
        <v>2</v>
      </c>
      <c r="CX1129" s="15" t="s">
        <v>3468</v>
      </c>
    </row>
    <row r="1130" spans="1:102" s="15" customFormat="1" x14ac:dyDescent="0.3">
      <c r="A1130" s="11" t="s">
        <v>2349</v>
      </c>
      <c r="B1130" s="10" t="s">
        <v>3469</v>
      </c>
      <c r="C1130" s="12" t="s">
        <v>3470</v>
      </c>
      <c r="D1130" s="10">
        <v>12</v>
      </c>
      <c r="E1130" s="13">
        <v>2000000</v>
      </c>
      <c r="F1130" s="14"/>
      <c r="G1130" s="14"/>
      <c r="I1130" s="8"/>
      <c r="J1130" s="10"/>
      <c r="AV1130" s="15" t="s">
        <v>181</v>
      </c>
      <c r="AW1130" s="15" t="s">
        <v>182</v>
      </c>
      <c r="BH1130" s="15" t="s">
        <v>184</v>
      </c>
      <c r="BI1130" s="15" t="s">
        <v>185</v>
      </c>
      <c r="BJ1130" s="15" t="s">
        <v>2351</v>
      </c>
      <c r="BK1130" s="15" t="s">
        <v>2352</v>
      </c>
      <c r="BL1130" s="15" t="s">
        <v>2353</v>
      </c>
      <c r="BM1130" s="15" t="s">
        <v>2354</v>
      </c>
      <c r="BN1130" s="15" t="s">
        <v>2355</v>
      </c>
      <c r="BO1130" s="15" t="s">
        <v>2356</v>
      </c>
      <c r="BR1130" s="15" t="s">
        <v>192</v>
      </c>
      <c r="BS1130" s="15" t="s">
        <v>193</v>
      </c>
      <c r="BT1130" s="15" t="s">
        <v>194</v>
      </c>
      <c r="BU1130" s="15" t="s">
        <v>195</v>
      </c>
      <c r="BV1130" s="15" t="s">
        <v>196</v>
      </c>
      <c r="BW1130" s="15" t="s">
        <v>251</v>
      </c>
      <c r="CA1130" s="15" t="s">
        <v>2357</v>
      </c>
      <c r="CB1130" s="15" t="s">
        <v>78</v>
      </c>
      <c r="CC1130" s="15">
        <v>1</v>
      </c>
      <c r="CW1130" s="10">
        <v>2</v>
      </c>
    </row>
    <row r="1131" spans="1:102" s="15" customFormat="1" x14ac:dyDescent="0.3">
      <c r="A1131" s="11" t="s">
        <v>2349</v>
      </c>
      <c r="B1131" s="10" t="s">
        <v>3471</v>
      </c>
      <c r="C1131" s="12" t="s">
        <v>3472</v>
      </c>
      <c r="D1131" s="10">
        <v>12</v>
      </c>
      <c r="E1131" s="13">
        <v>2000000</v>
      </c>
      <c r="F1131" s="14" t="s">
        <v>210</v>
      </c>
      <c r="G1131" s="14" t="s">
        <v>210</v>
      </c>
      <c r="H1131" s="15" t="s">
        <v>270</v>
      </c>
      <c r="I1131" s="8"/>
      <c r="J1131" s="10"/>
      <c r="AV1131" s="15" t="s">
        <v>181</v>
      </c>
      <c r="AW1131" s="15" t="s">
        <v>182</v>
      </c>
      <c r="AX1131" s="15" t="s">
        <v>3427</v>
      </c>
      <c r="AY1131" s="15" t="s">
        <v>3342</v>
      </c>
      <c r="BH1131" s="15" t="s">
        <v>184</v>
      </c>
      <c r="BI1131" s="15" t="s">
        <v>185</v>
      </c>
      <c r="BJ1131" s="15" t="s">
        <v>2351</v>
      </c>
      <c r="BK1131" s="15" t="s">
        <v>2352</v>
      </c>
      <c r="BL1131" s="15" t="s">
        <v>2353</v>
      </c>
      <c r="BM1131" s="15" t="s">
        <v>2354</v>
      </c>
      <c r="BN1131" s="15" t="s">
        <v>2355</v>
      </c>
      <c r="BO1131" s="15" t="s">
        <v>2356</v>
      </c>
      <c r="BR1131" s="15" t="s">
        <v>192</v>
      </c>
      <c r="BS1131" s="15" t="s">
        <v>193</v>
      </c>
      <c r="BT1131" s="15" t="s">
        <v>194</v>
      </c>
      <c r="BU1131" s="15" t="s">
        <v>195</v>
      </c>
      <c r="BV1131" s="15" t="s">
        <v>196</v>
      </c>
      <c r="BW1131" s="15" t="s">
        <v>272</v>
      </c>
      <c r="CA1131" s="15" t="s">
        <v>2357</v>
      </c>
      <c r="CB1131" s="15" t="s">
        <v>78</v>
      </c>
      <c r="CC1131" s="15">
        <v>1</v>
      </c>
      <c r="CW1131" s="10">
        <v>2</v>
      </c>
      <c r="CX1131" s="15" t="s">
        <v>3473</v>
      </c>
    </row>
    <row r="1132" spans="1:102" s="15" customFormat="1" x14ac:dyDescent="0.3">
      <c r="A1132" s="11" t="s">
        <v>2349</v>
      </c>
      <c r="B1132" s="10" t="s">
        <v>3474</v>
      </c>
      <c r="C1132" s="12" t="s">
        <v>3475</v>
      </c>
      <c r="D1132" s="10">
        <v>12</v>
      </c>
      <c r="E1132" s="13">
        <v>2000000</v>
      </c>
      <c r="F1132" s="14" t="s">
        <v>210</v>
      </c>
      <c r="G1132" s="14" t="s">
        <v>210</v>
      </c>
      <c r="H1132" s="15" t="s">
        <v>270</v>
      </c>
      <c r="I1132" s="8"/>
      <c r="J1132" s="10"/>
      <c r="AV1132" s="15" t="s">
        <v>181</v>
      </c>
      <c r="AW1132" s="15" t="s">
        <v>182</v>
      </c>
      <c r="AX1132" s="15" t="s">
        <v>3431</v>
      </c>
      <c r="AY1132" s="15" t="s">
        <v>3345</v>
      </c>
      <c r="BH1132" s="15" t="s">
        <v>184</v>
      </c>
      <c r="BI1132" s="15" t="s">
        <v>185</v>
      </c>
      <c r="BJ1132" s="15" t="s">
        <v>2351</v>
      </c>
      <c r="BK1132" s="15" t="s">
        <v>2352</v>
      </c>
      <c r="BL1132" s="15" t="s">
        <v>2353</v>
      </c>
      <c r="BM1132" s="15" t="s">
        <v>2354</v>
      </c>
      <c r="BN1132" s="15" t="s">
        <v>2355</v>
      </c>
      <c r="BO1132" s="15" t="s">
        <v>2356</v>
      </c>
      <c r="BR1132" s="15" t="s">
        <v>192</v>
      </c>
      <c r="BS1132" s="15" t="s">
        <v>193</v>
      </c>
      <c r="BT1132" s="15" t="s">
        <v>194</v>
      </c>
      <c r="BU1132" s="15" t="s">
        <v>195</v>
      </c>
      <c r="BV1132" s="15" t="s">
        <v>196</v>
      </c>
      <c r="BW1132" s="15" t="s">
        <v>272</v>
      </c>
      <c r="CA1132" s="15" t="s">
        <v>2357</v>
      </c>
      <c r="CB1132" s="15" t="s">
        <v>78</v>
      </c>
      <c r="CC1132" s="15">
        <v>1</v>
      </c>
      <c r="CW1132" s="10">
        <v>2</v>
      </c>
      <c r="CX1132" s="15" t="s">
        <v>3476</v>
      </c>
    </row>
    <row r="1133" spans="1:102" s="15" customFormat="1" x14ac:dyDescent="0.3">
      <c r="A1133" s="11" t="s">
        <v>2349</v>
      </c>
      <c r="B1133" s="10" t="s">
        <v>3477</v>
      </c>
      <c r="C1133" s="12" t="s">
        <v>3478</v>
      </c>
      <c r="D1133" s="10">
        <v>12</v>
      </c>
      <c r="E1133" s="13">
        <v>2000000</v>
      </c>
      <c r="F1133" s="14" t="s">
        <v>210</v>
      </c>
      <c r="G1133" s="14" t="s">
        <v>210</v>
      </c>
      <c r="H1133" s="15" t="s">
        <v>270</v>
      </c>
      <c r="I1133" s="8"/>
      <c r="J1133" s="10"/>
      <c r="AV1133" s="15" t="s">
        <v>181</v>
      </c>
      <c r="AW1133" s="15" t="s">
        <v>182</v>
      </c>
      <c r="AX1133" s="15" t="s">
        <v>3434</v>
      </c>
      <c r="AY1133" s="15" t="s">
        <v>3348</v>
      </c>
      <c r="BH1133" s="15" t="s">
        <v>184</v>
      </c>
      <c r="BI1133" s="15" t="s">
        <v>185</v>
      </c>
      <c r="BJ1133" s="15" t="s">
        <v>2351</v>
      </c>
      <c r="BK1133" s="15" t="s">
        <v>2352</v>
      </c>
      <c r="BL1133" s="15" t="s">
        <v>2353</v>
      </c>
      <c r="BM1133" s="15" t="s">
        <v>2354</v>
      </c>
      <c r="BN1133" s="15" t="s">
        <v>2355</v>
      </c>
      <c r="BO1133" s="15" t="s">
        <v>2356</v>
      </c>
      <c r="BR1133" s="15" t="s">
        <v>192</v>
      </c>
      <c r="BS1133" s="15" t="s">
        <v>193</v>
      </c>
      <c r="BT1133" s="15" t="s">
        <v>194</v>
      </c>
      <c r="BU1133" s="15" t="s">
        <v>195</v>
      </c>
      <c r="BV1133" s="15" t="s">
        <v>196</v>
      </c>
      <c r="BW1133" s="15" t="s">
        <v>272</v>
      </c>
      <c r="CA1133" s="15" t="s">
        <v>2357</v>
      </c>
      <c r="CB1133" s="15" t="s">
        <v>78</v>
      </c>
      <c r="CC1133" s="15">
        <v>1</v>
      </c>
      <c r="CW1133" s="10">
        <v>2</v>
      </c>
      <c r="CX1133" s="15" t="s">
        <v>3479</v>
      </c>
    </row>
    <row r="1134" spans="1:102" s="15" customFormat="1" x14ac:dyDescent="0.3">
      <c r="A1134" s="11" t="s">
        <v>2349</v>
      </c>
      <c r="B1134" s="10" t="s">
        <v>3480</v>
      </c>
      <c r="C1134" s="12" t="s">
        <v>3481</v>
      </c>
      <c r="D1134" s="10">
        <v>12</v>
      </c>
      <c r="E1134" s="13">
        <v>2000000</v>
      </c>
      <c r="F1134" s="14" t="s">
        <v>210</v>
      </c>
      <c r="G1134" s="14" t="s">
        <v>210</v>
      </c>
      <c r="H1134" s="15" t="s">
        <v>270</v>
      </c>
      <c r="I1134" s="8"/>
      <c r="J1134" s="10"/>
      <c r="AV1134" s="15" t="s">
        <v>181</v>
      </c>
      <c r="AW1134" s="15" t="s">
        <v>182</v>
      </c>
      <c r="AX1134" s="15" t="s">
        <v>3437</v>
      </c>
      <c r="AY1134" s="15" t="s">
        <v>3351</v>
      </c>
      <c r="BH1134" s="15" t="s">
        <v>184</v>
      </c>
      <c r="BI1134" s="15" t="s">
        <v>185</v>
      </c>
      <c r="BJ1134" s="15" t="s">
        <v>2351</v>
      </c>
      <c r="BK1134" s="15" t="s">
        <v>2352</v>
      </c>
      <c r="BL1134" s="15" t="s">
        <v>2353</v>
      </c>
      <c r="BM1134" s="15" t="s">
        <v>2354</v>
      </c>
      <c r="BN1134" s="15" t="s">
        <v>2355</v>
      </c>
      <c r="BO1134" s="15" t="s">
        <v>2356</v>
      </c>
      <c r="BR1134" s="15" t="s">
        <v>192</v>
      </c>
      <c r="BS1134" s="15" t="s">
        <v>193</v>
      </c>
      <c r="BT1134" s="15" t="s">
        <v>194</v>
      </c>
      <c r="BU1134" s="15" t="s">
        <v>195</v>
      </c>
      <c r="BV1134" s="15" t="s">
        <v>196</v>
      </c>
      <c r="BW1134" s="15" t="s">
        <v>272</v>
      </c>
      <c r="CA1134" s="15" t="s">
        <v>2357</v>
      </c>
      <c r="CB1134" s="15" t="s">
        <v>78</v>
      </c>
      <c r="CC1134" s="15">
        <v>1</v>
      </c>
      <c r="CW1134" s="10">
        <v>2</v>
      </c>
      <c r="CX1134" s="15" t="s">
        <v>3482</v>
      </c>
    </row>
    <row r="1135" spans="1:102" s="15" customFormat="1" x14ac:dyDescent="0.3">
      <c r="A1135" s="11" t="s">
        <v>2349</v>
      </c>
      <c r="B1135" s="10" t="s">
        <v>3483</v>
      </c>
      <c r="C1135" s="12" t="s">
        <v>3484</v>
      </c>
      <c r="D1135" s="10">
        <v>12</v>
      </c>
      <c r="E1135" s="13">
        <v>2000000</v>
      </c>
      <c r="F1135" s="14" t="s">
        <v>210</v>
      </c>
      <c r="G1135" s="14" t="s">
        <v>210</v>
      </c>
      <c r="H1135" s="15" t="s">
        <v>270</v>
      </c>
      <c r="I1135" s="8"/>
      <c r="J1135" s="10"/>
      <c r="AV1135" s="15" t="s">
        <v>181</v>
      </c>
      <c r="AW1135" s="15" t="s">
        <v>182</v>
      </c>
      <c r="AX1135" s="15" t="s">
        <v>3440</v>
      </c>
      <c r="AY1135" s="15" t="s">
        <v>3354</v>
      </c>
      <c r="BH1135" s="15" t="s">
        <v>184</v>
      </c>
      <c r="BI1135" s="15" t="s">
        <v>185</v>
      </c>
      <c r="BJ1135" s="15" t="s">
        <v>2351</v>
      </c>
      <c r="BK1135" s="15" t="s">
        <v>2352</v>
      </c>
      <c r="BL1135" s="15" t="s">
        <v>2353</v>
      </c>
      <c r="BM1135" s="15" t="s">
        <v>2354</v>
      </c>
      <c r="BN1135" s="15" t="s">
        <v>2355</v>
      </c>
      <c r="BO1135" s="15" t="s">
        <v>2356</v>
      </c>
      <c r="BR1135" s="15" t="s">
        <v>192</v>
      </c>
      <c r="BS1135" s="15" t="s">
        <v>193</v>
      </c>
      <c r="BT1135" s="15" t="s">
        <v>194</v>
      </c>
      <c r="BU1135" s="15" t="s">
        <v>195</v>
      </c>
      <c r="BV1135" s="15" t="s">
        <v>196</v>
      </c>
      <c r="BW1135" s="15" t="s">
        <v>272</v>
      </c>
      <c r="CA1135" s="15" t="s">
        <v>2357</v>
      </c>
      <c r="CB1135" s="15" t="s">
        <v>78</v>
      </c>
      <c r="CC1135" s="15">
        <v>1</v>
      </c>
      <c r="CW1135" s="10">
        <v>2</v>
      </c>
      <c r="CX1135" s="15" t="s">
        <v>3485</v>
      </c>
    </row>
    <row r="1136" spans="1:102" s="15" customFormat="1" x14ac:dyDescent="0.3">
      <c r="A1136" s="11" t="s">
        <v>2349</v>
      </c>
      <c r="B1136" s="10" t="s">
        <v>3486</v>
      </c>
      <c r="C1136" s="12" t="s">
        <v>3487</v>
      </c>
      <c r="D1136" s="10">
        <v>12</v>
      </c>
      <c r="E1136" s="13">
        <v>2000000</v>
      </c>
      <c r="F1136" s="14" t="s">
        <v>210</v>
      </c>
      <c r="G1136" s="14" t="s">
        <v>210</v>
      </c>
      <c r="H1136" s="15" t="s">
        <v>270</v>
      </c>
      <c r="I1136" s="8"/>
      <c r="J1136" s="10"/>
      <c r="AV1136" s="15" t="s">
        <v>181</v>
      </c>
      <c r="AW1136" s="15" t="s">
        <v>182</v>
      </c>
      <c r="AX1136" s="15" t="s">
        <v>3443</v>
      </c>
      <c r="AY1136" s="15" t="s">
        <v>3357</v>
      </c>
      <c r="BH1136" s="15" t="s">
        <v>184</v>
      </c>
      <c r="BI1136" s="15" t="s">
        <v>185</v>
      </c>
      <c r="BJ1136" s="15" t="s">
        <v>2351</v>
      </c>
      <c r="BK1136" s="15" t="s">
        <v>2352</v>
      </c>
      <c r="BL1136" s="15" t="s">
        <v>2353</v>
      </c>
      <c r="BM1136" s="15" t="s">
        <v>2354</v>
      </c>
      <c r="BN1136" s="15" t="s">
        <v>2355</v>
      </c>
      <c r="BO1136" s="15" t="s">
        <v>2356</v>
      </c>
      <c r="BR1136" s="15" t="s">
        <v>192</v>
      </c>
      <c r="BS1136" s="15" t="s">
        <v>193</v>
      </c>
      <c r="BT1136" s="15" t="s">
        <v>194</v>
      </c>
      <c r="BU1136" s="15" t="s">
        <v>195</v>
      </c>
      <c r="BV1136" s="15" t="s">
        <v>196</v>
      </c>
      <c r="BW1136" s="15" t="s">
        <v>272</v>
      </c>
      <c r="CA1136" s="15" t="s">
        <v>2357</v>
      </c>
      <c r="CB1136" s="15" t="s">
        <v>78</v>
      </c>
      <c r="CC1136" s="15">
        <v>1</v>
      </c>
      <c r="CW1136" s="10">
        <v>2</v>
      </c>
      <c r="CX1136" s="15" t="s">
        <v>3488</v>
      </c>
    </row>
    <row r="1137" spans="1:102" s="15" customFormat="1" x14ac:dyDescent="0.3">
      <c r="A1137" s="11" t="s">
        <v>2349</v>
      </c>
      <c r="B1137" s="10" t="s">
        <v>3489</v>
      </c>
      <c r="C1137" s="12" t="s">
        <v>3490</v>
      </c>
      <c r="D1137" s="10">
        <v>12</v>
      </c>
      <c r="E1137" s="13">
        <v>2000000</v>
      </c>
      <c r="F1137" s="14" t="s">
        <v>210</v>
      </c>
      <c r="G1137" s="14" t="s">
        <v>210</v>
      </c>
      <c r="H1137" s="15" t="s">
        <v>270</v>
      </c>
      <c r="I1137" s="8"/>
      <c r="J1137" s="10"/>
      <c r="AV1137" s="15" t="s">
        <v>181</v>
      </c>
      <c r="AW1137" s="15" t="s">
        <v>182</v>
      </c>
      <c r="AX1137" s="15" t="s">
        <v>3446</v>
      </c>
      <c r="AY1137" s="15" t="s">
        <v>3360</v>
      </c>
      <c r="BH1137" s="15" t="s">
        <v>184</v>
      </c>
      <c r="BI1137" s="15" t="s">
        <v>185</v>
      </c>
      <c r="BJ1137" s="15" t="s">
        <v>2351</v>
      </c>
      <c r="BK1137" s="15" t="s">
        <v>2352</v>
      </c>
      <c r="BL1137" s="15" t="s">
        <v>2353</v>
      </c>
      <c r="BM1137" s="15" t="s">
        <v>2354</v>
      </c>
      <c r="BN1137" s="15" t="s">
        <v>2355</v>
      </c>
      <c r="BO1137" s="15" t="s">
        <v>2356</v>
      </c>
      <c r="BR1137" s="15" t="s">
        <v>192</v>
      </c>
      <c r="BS1137" s="15" t="s">
        <v>193</v>
      </c>
      <c r="BT1137" s="15" t="s">
        <v>194</v>
      </c>
      <c r="BU1137" s="15" t="s">
        <v>195</v>
      </c>
      <c r="BV1137" s="15" t="s">
        <v>196</v>
      </c>
      <c r="BW1137" s="15" t="s">
        <v>272</v>
      </c>
      <c r="CA1137" s="15" t="s">
        <v>2357</v>
      </c>
      <c r="CB1137" s="15" t="s">
        <v>78</v>
      </c>
      <c r="CC1137" s="15">
        <v>1</v>
      </c>
      <c r="CW1137" s="10">
        <v>2</v>
      </c>
      <c r="CX1137" s="15" t="s">
        <v>3491</v>
      </c>
    </row>
    <row r="1138" spans="1:102" s="15" customFormat="1" x14ac:dyDescent="0.3">
      <c r="A1138" s="11" t="s">
        <v>2349</v>
      </c>
      <c r="B1138" s="10" t="s">
        <v>3492</v>
      </c>
      <c r="C1138" s="12" t="s">
        <v>3493</v>
      </c>
      <c r="D1138" s="10">
        <v>12</v>
      </c>
      <c r="E1138" s="13">
        <v>2000000</v>
      </c>
      <c r="F1138" s="14" t="s">
        <v>210</v>
      </c>
      <c r="G1138" s="14" t="s">
        <v>210</v>
      </c>
      <c r="H1138" s="15" t="s">
        <v>270</v>
      </c>
      <c r="I1138" s="8"/>
      <c r="J1138" s="10"/>
      <c r="AV1138" s="15" t="s">
        <v>181</v>
      </c>
      <c r="AW1138" s="15" t="s">
        <v>182</v>
      </c>
      <c r="AX1138" s="15" t="s">
        <v>3449</v>
      </c>
      <c r="AY1138" s="15" t="s">
        <v>3278</v>
      </c>
      <c r="BH1138" s="15" t="s">
        <v>184</v>
      </c>
      <c r="BI1138" s="15" t="s">
        <v>185</v>
      </c>
      <c r="BJ1138" s="15" t="s">
        <v>2351</v>
      </c>
      <c r="BK1138" s="15" t="s">
        <v>2352</v>
      </c>
      <c r="BL1138" s="15" t="s">
        <v>2353</v>
      </c>
      <c r="BM1138" s="15" t="s">
        <v>2354</v>
      </c>
      <c r="BN1138" s="15" t="s">
        <v>2355</v>
      </c>
      <c r="BO1138" s="15" t="s">
        <v>2356</v>
      </c>
      <c r="BR1138" s="15" t="s">
        <v>192</v>
      </c>
      <c r="BS1138" s="15" t="s">
        <v>193</v>
      </c>
      <c r="BT1138" s="15" t="s">
        <v>194</v>
      </c>
      <c r="BU1138" s="15" t="s">
        <v>195</v>
      </c>
      <c r="BV1138" s="15" t="s">
        <v>196</v>
      </c>
      <c r="BW1138" s="15" t="s">
        <v>272</v>
      </c>
      <c r="CA1138" s="15" t="s">
        <v>2357</v>
      </c>
      <c r="CB1138" s="15" t="s">
        <v>78</v>
      </c>
      <c r="CC1138" s="15">
        <v>1</v>
      </c>
      <c r="CW1138" s="10">
        <v>2</v>
      </c>
      <c r="CX1138" s="15" t="s">
        <v>3494</v>
      </c>
    </row>
    <row r="1139" spans="1:102" s="15" customFormat="1" x14ac:dyDescent="0.3">
      <c r="A1139" s="11" t="s">
        <v>2349</v>
      </c>
      <c r="B1139" s="10" t="s">
        <v>3495</v>
      </c>
      <c r="C1139" s="12" t="s">
        <v>3496</v>
      </c>
      <c r="D1139" s="10">
        <v>12</v>
      </c>
      <c r="E1139" s="13">
        <v>2000000</v>
      </c>
      <c r="F1139" s="14" t="s">
        <v>210</v>
      </c>
      <c r="G1139" s="14" t="s">
        <v>210</v>
      </c>
      <c r="H1139" s="15" t="s">
        <v>270</v>
      </c>
      <c r="I1139" s="8"/>
      <c r="J1139" s="10"/>
      <c r="AV1139" s="15" t="s">
        <v>181</v>
      </c>
      <c r="AW1139" s="15" t="s">
        <v>182</v>
      </c>
      <c r="AX1139" s="15" t="s">
        <v>3452</v>
      </c>
      <c r="AY1139" s="15" t="s">
        <v>3281</v>
      </c>
      <c r="BH1139" s="15" t="s">
        <v>184</v>
      </c>
      <c r="BI1139" s="15" t="s">
        <v>185</v>
      </c>
      <c r="BJ1139" s="15" t="s">
        <v>2351</v>
      </c>
      <c r="BK1139" s="15" t="s">
        <v>2352</v>
      </c>
      <c r="BL1139" s="15" t="s">
        <v>2353</v>
      </c>
      <c r="BM1139" s="15" t="s">
        <v>2354</v>
      </c>
      <c r="BN1139" s="15" t="s">
        <v>2355</v>
      </c>
      <c r="BO1139" s="15" t="s">
        <v>2356</v>
      </c>
      <c r="BR1139" s="15" t="s">
        <v>192</v>
      </c>
      <c r="BS1139" s="15" t="s">
        <v>193</v>
      </c>
      <c r="BT1139" s="15" t="s">
        <v>194</v>
      </c>
      <c r="BU1139" s="15" t="s">
        <v>195</v>
      </c>
      <c r="BV1139" s="15" t="s">
        <v>196</v>
      </c>
      <c r="BW1139" s="15" t="s">
        <v>272</v>
      </c>
      <c r="CA1139" s="15" t="s">
        <v>2357</v>
      </c>
      <c r="CB1139" s="15" t="s">
        <v>78</v>
      </c>
      <c r="CC1139" s="15">
        <v>1</v>
      </c>
      <c r="CW1139" s="10">
        <v>2</v>
      </c>
      <c r="CX1139" s="15" t="s">
        <v>3497</v>
      </c>
    </row>
    <row r="1140" spans="1:102" s="15" customFormat="1" x14ac:dyDescent="0.3">
      <c r="A1140" s="11" t="s">
        <v>2349</v>
      </c>
      <c r="B1140" s="10" t="s">
        <v>3498</v>
      </c>
      <c r="C1140" s="12" t="s">
        <v>3499</v>
      </c>
      <c r="D1140" s="10">
        <v>12</v>
      </c>
      <c r="E1140" s="13">
        <v>2000000</v>
      </c>
      <c r="F1140" s="14" t="s">
        <v>210</v>
      </c>
      <c r="G1140" s="14" t="s">
        <v>210</v>
      </c>
      <c r="H1140" s="15" t="s">
        <v>270</v>
      </c>
      <c r="I1140" s="8"/>
      <c r="J1140" s="10"/>
      <c r="AV1140" s="15" t="s">
        <v>181</v>
      </c>
      <c r="AW1140" s="15" t="s">
        <v>182</v>
      </c>
      <c r="AX1140" s="15" t="s">
        <v>3455</v>
      </c>
      <c r="AY1140" s="15" t="s">
        <v>3367</v>
      </c>
      <c r="BH1140" s="15" t="s">
        <v>184</v>
      </c>
      <c r="BI1140" s="15" t="s">
        <v>185</v>
      </c>
      <c r="BJ1140" s="15" t="s">
        <v>2351</v>
      </c>
      <c r="BK1140" s="15" t="s">
        <v>2352</v>
      </c>
      <c r="BL1140" s="15" t="s">
        <v>2353</v>
      </c>
      <c r="BM1140" s="15" t="s">
        <v>2354</v>
      </c>
      <c r="BN1140" s="15" t="s">
        <v>2355</v>
      </c>
      <c r="BO1140" s="15" t="s">
        <v>2356</v>
      </c>
      <c r="BR1140" s="15" t="s">
        <v>192</v>
      </c>
      <c r="BS1140" s="15" t="s">
        <v>193</v>
      </c>
      <c r="BT1140" s="15" t="s">
        <v>194</v>
      </c>
      <c r="BU1140" s="15" t="s">
        <v>195</v>
      </c>
      <c r="BV1140" s="15" t="s">
        <v>196</v>
      </c>
      <c r="BW1140" s="15" t="s">
        <v>272</v>
      </c>
      <c r="CA1140" s="15" t="s">
        <v>2357</v>
      </c>
      <c r="CB1140" s="15" t="s">
        <v>78</v>
      </c>
      <c r="CC1140" s="15">
        <v>1</v>
      </c>
      <c r="CW1140" s="10">
        <v>2</v>
      </c>
      <c r="CX1140" s="15" t="s">
        <v>3500</v>
      </c>
    </row>
    <row r="1141" spans="1:102" s="15" customFormat="1" x14ac:dyDescent="0.3">
      <c r="A1141" s="11" t="s">
        <v>2349</v>
      </c>
      <c r="B1141" s="10" t="s">
        <v>3501</v>
      </c>
      <c r="C1141" s="12" t="s">
        <v>3502</v>
      </c>
      <c r="D1141" s="10">
        <v>12</v>
      </c>
      <c r="E1141" s="13">
        <v>2000000</v>
      </c>
      <c r="F1141" s="14" t="s">
        <v>210</v>
      </c>
      <c r="G1141" s="14" t="s">
        <v>210</v>
      </c>
      <c r="H1141" s="15" t="s">
        <v>270</v>
      </c>
      <c r="I1141" s="8"/>
      <c r="J1141" s="10"/>
      <c r="AV1141" s="15" t="s">
        <v>181</v>
      </c>
      <c r="AW1141" s="15" t="s">
        <v>182</v>
      </c>
      <c r="AX1141" s="15" t="s">
        <v>3458</v>
      </c>
      <c r="AY1141" s="15" t="s">
        <v>3370</v>
      </c>
      <c r="BH1141" s="15" t="s">
        <v>184</v>
      </c>
      <c r="BI1141" s="15" t="s">
        <v>185</v>
      </c>
      <c r="BJ1141" s="15" t="s">
        <v>2351</v>
      </c>
      <c r="BK1141" s="15" t="s">
        <v>2352</v>
      </c>
      <c r="BL1141" s="15" t="s">
        <v>2353</v>
      </c>
      <c r="BM1141" s="15" t="s">
        <v>2354</v>
      </c>
      <c r="BN1141" s="15" t="s">
        <v>2355</v>
      </c>
      <c r="BO1141" s="15" t="s">
        <v>2356</v>
      </c>
      <c r="BR1141" s="15" t="s">
        <v>192</v>
      </c>
      <c r="BS1141" s="15" t="s">
        <v>193</v>
      </c>
      <c r="BT1141" s="15" t="s">
        <v>194</v>
      </c>
      <c r="BU1141" s="15" t="s">
        <v>195</v>
      </c>
      <c r="BV1141" s="15" t="s">
        <v>196</v>
      </c>
      <c r="BW1141" s="15" t="s">
        <v>272</v>
      </c>
      <c r="CA1141" s="15" t="s">
        <v>2357</v>
      </c>
      <c r="CB1141" s="15" t="s">
        <v>78</v>
      </c>
      <c r="CC1141" s="15">
        <v>1</v>
      </c>
      <c r="CW1141" s="10">
        <v>2</v>
      </c>
      <c r="CX1141" s="15" t="s">
        <v>3503</v>
      </c>
    </row>
    <row r="1142" spans="1:102" s="15" customFormat="1" x14ac:dyDescent="0.3">
      <c r="A1142" s="11" t="s">
        <v>2349</v>
      </c>
      <c r="B1142" s="10" t="s">
        <v>3504</v>
      </c>
      <c r="C1142" s="12" t="s">
        <v>3505</v>
      </c>
      <c r="D1142" s="10">
        <v>12</v>
      </c>
      <c r="E1142" s="13">
        <v>2000000</v>
      </c>
      <c r="F1142" s="14" t="s">
        <v>210</v>
      </c>
      <c r="G1142" s="14" t="s">
        <v>210</v>
      </c>
      <c r="H1142" s="15" t="s">
        <v>270</v>
      </c>
      <c r="I1142" s="8"/>
      <c r="J1142" s="10"/>
      <c r="AV1142" s="15" t="s">
        <v>181</v>
      </c>
      <c r="AW1142" s="15" t="s">
        <v>182</v>
      </c>
      <c r="AX1142" s="15" t="s">
        <v>3461</v>
      </c>
      <c r="AY1142" s="15" t="s">
        <v>3373</v>
      </c>
      <c r="BH1142" s="15" t="s">
        <v>184</v>
      </c>
      <c r="BI1142" s="15" t="s">
        <v>185</v>
      </c>
      <c r="BJ1142" s="15" t="s">
        <v>2351</v>
      </c>
      <c r="BK1142" s="15" t="s">
        <v>2352</v>
      </c>
      <c r="BL1142" s="15" t="s">
        <v>2353</v>
      </c>
      <c r="BM1142" s="15" t="s">
        <v>2354</v>
      </c>
      <c r="BN1142" s="15" t="s">
        <v>2355</v>
      </c>
      <c r="BO1142" s="15" t="s">
        <v>2356</v>
      </c>
      <c r="BR1142" s="15" t="s">
        <v>192</v>
      </c>
      <c r="BS1142" s="15" t="s">
        <v>193</v>
      </c>
      <c r="BT1142" s="15" t="s">
        <v>194</v>
      </c>
      <c r="BU1142" s="15" t="s">
        <v>195</v>
      </c>
      <c r="BV1142" s="15" t="s">
        <v>196</v>
      </c>
      <c r="BW1142" s="15" t="s">
        <v>272</v>
      </c>
      <c r="CA1142" s="15" t="s">
        <v>2357</v>
      </c>
      <c r="CB1142" s="15" t="s">
        <v>78</v>
      </c>
      <c r="CC1142" s="15">
        <v>1</v>
      </c>
      <c r="CW1142" s="10">
        <v>2</v>
      </c>
      <c r="CX1142" s="15" t="s">
        <v>3506</v>
      </c>
    </row>
    <row r="1143" spans="1:102" s="15" customFormat="1" x14ac:dyDescent="0.3">
      <c r="A1143" s="11" t="s">
        <v>2349</v>
      </c>
      <c r="B1143" s="10" t="s">
        <v>3507</v>
      </c>
      <c r="C1143" s="12" t="s">
        <v>3508</v>
      </c>
      <c r="D1143" s="10">
        <v>12</v>
      </c>
      <c r="E1143" s="13">
        <v>2000000</v>
      </c>
      <c r="F1143" s="14" t="s">
        <v>210</v>
      </c>
      <c r="G1143" s="14" t="s">
        <v>210</v>
      </c>
      <c r="H1143" s="15" t="s">
        <v>270</v>
      </c>
      <c r="I1143" s="8"/>
      <c r="J1143" s="10"/>
      <c r="AV1143" s="15" t="s">
        <v>181</v>
      </c>
      <c r="AW1143" s="15" t="s">
        <v>182</v>
      </c>
      <c r="AX1143" s="15" t="s">
        <v>3464</v>
      </c>
      <c r="AY1143" s="15" t="s">
        <v>3376</v>
      </c>
      <c r="BH1143" s="15" t="s">
        <v>184</v>
      </c>
      <c r="BI1143" s="15" t="s">
        <v>185</v>
      </c>
      <c r="BJ1143" s="15" t="s">
        <v>2351</v>
      </c>
      <c r="BK1143" s="15" t="s">
        <v>2352</v>
      </c>
      <c r="BL1143" s="15" t="s">
        <v>2353</v>
      </c>
      <c r="BM1143" s="15" t="s">
        <v>2354</v>
      </c>
      <c r="BN1143" s="15" t="s">
        <v>2355</v>
      </c>
      <c r="BO1143" s="15" t="s">
        <v>2356</v>
      </c>
      <c r="BR1143" s="15" t="s">
        <v>192</v>
      </c>
      <c r="BS1143" s="15" t="s">
        <v>193</v>
      </c>
      <c r="BT1143" s="15" t="s">
        <v>194</v>
      </c>
      <c r="BU1143" s="15" t="s">
        <v>195</v>
      </c>
      <c r="BV1143" s="15" t="s">
        <v>196</v>
      </c>
      <c r="BW1143" s="15" t="s">
        <v>272</v>
      </c>
      <c r="CA1143" s="15" t="s">
        <v>2357</v>
      </c>
      <c r="CB1143" s="15" t="s">
        <v>78</v>
      </c>
      <c r="CC1143" s="15">
        <v>1</v>
      </c>
      <c r="CW1143" s="10">
        <v>2</v>
      </c>
      <c r="CX1143" s="15" t="s">
        <v>3509</v>
      </c>
    </row>
    <row r="1144" spans="1:102" s="15" customFormat="1" x14ac:dyDescent="0.3">
      <c r="A1144" s="11" t="s">
        <v>2349</v>
      </c>
      <c r="B1144" s="10" t="s">
        <v>3510</v>
      </c>
      <c r="C1144" s="12" t="s">
        <v>3511</v>
      </c>
      <c r="D1144" s="10">
        <v>12</v>
      </c>
      <c r="E1144" s="13">
        <v>2000000</v>
      </c>
      <c r="F1144" s="14" t="s">
        <v>210</v>
      </c>
      <c r="G1144" s="14" t="s">
        <v>210</v>
      </c>
      <c r="H1144" s="15" t="s">
        <v>270</v>
      </c>
      <c r="I1144" s="8"/>
      <c r="J1144" s="10"/>
      <c r="AV1144" s="15" t="s">
        <v>181</v>
      </c>
      <c r="AW1144" s="15" t="s">
        <v>182</v>
      </c>
      <c r="AX1144" s="15" t="s">
        <v>3467</v>
      </c>
      <c r="AY1144" s="15" t="s">
        <v>3379</v>
      </c>
      <c r="BH1144" s="15" t="s">
        <v>184</v>
      </c>
      <c r="BI1144" s="15" t="s">
        <v>185</v>
      </c>
      <c r="BJ1144" s="15" t="s">
        <v>2351</v>
      </c>
      <c r="BK1144" s="15" t="s">
        <v>2352</v>
      </c>
      <c r="BL1144" s="15" t="s">
        <v>2353</v>
      </c>
      <c r="BM1144" s="15" t="s">
        <v>2354</v>
      </c>
      <c r="BN1144" s="15" t="s">
        <v>2355</v>
      </c>
      <c r="BO1144" s="15" t="s">
        <v>2356</v>
      </c>
      <c r="BR1144" s="15" t="s">
        <v>192</v>
      </c>
      <c r="BS1144" s="15" t="s">
        <v>193</v>
      </c>
      <c r="BT1144" s="15" t="s">
        <v>194</v>
      </c>
      <c r="BU1144" s="15" t="s">
        <v>195</v>
      </c>
      <c r="BV1144" s="15" t="s">
        <v>196</v>
      </c>
      <c r="BW1144" s="15" t="s">
        <v>272</v>
      </c>
      <c r="CA1144" s="15" t="s">
        <v>2357</v>
      </c>
      <c r="CB1144" s="15" t="s">
        <v>78</v>
      </c>
      <c r="CC1144" s="15">
        <v>1</v>
      </c>
      <c r="CW1144" s="10">
        <v>2</v>
      </c>
      <c r="CX1144" s="15" t="s">
        <v>3512</v>
      </c>
    </row>
    <row r="1145" spans="1:102" s="15" customFormat="1" x14ac:dyDescent="0.3">
      <c r="A1145" s="11" t="s">
        <v>2349</v>
      </c>
      <c r="B1145" s="10" t="s">
        <v>3513</v>
      </c>
      <c r="C1145" s="12" t="s">
        <v>3754</v>
      </c>
      <c r="D1145" s="10">
        <v>12</v>
      </c>
      <c r="E1145" s="13">
        <v>1000000</v>
      </c>
      <c r="F1145" s="14" t="s">
        <v>3514</v>
      </c>
      <c r="G1145" s="14" t="s">
        <v>3515</v>
      </c>
      <c r="H1145" s="15" t="s">
        <v>3516</v>
      </c>
      <c r="I1145" s="8"/>
      <c r="J1145" s="10"/>
      <c r="AV1145" s="15" t="s">
        <v>3517</v>
      </c>
      <c r="AW1145" s="15" t="s">
        <v>3518</v>
      </c>
      <c r="AY1145" s="15" t="s">
        <v>2526</v>
      </c>
      <c r="AZ1145" s="15" t="s">
        <v>2550</v>
      </c>
      <c r="BH1145" s="15" t="s">
        <v>3519</v>
      </c>
      <c r="BI1145" s="15" t="s">
        <v>185</v>
      </c>
      <c r="BJ1145" s="15" t="s">
        <v>2351</v>
      </c>
      <c r="BK1145" s="15" t="s">
        <v>2352</v>
      </c>
      <c r="BL1145" s="15" t="s">
        <v>2353</v>
      </c>
      <c r="BM1145" s="15" t="s">
        <v>2354</v>
      </c>
      <c r="BN1145" s="15" t="s">
        <v>2355</v>
      </c>
      <c r="BO1145" s="15" t="s">
        <v>2356</v>
      </c>
      <c r="BR1145" s="15" t="s">
        <v>192</v>
      </c>
      <c r="BS1145" s="15" t="s">
        <v>193</v>
      </c>
      <c r="BT1145" s="15" t="s">
        <v>194</v>
      </c>
      <c r="BU1145" s="15" t="s">
        <v>195</v>
      </c>
      <c r="BV1145" s="15" t="s">
        <v>196</v>
      </c>
      <c r="BW1145" s="15" t="s">
        <v>251</v>
      </c>
      <c r="BX1145" s="15" t="s">
        <v>272</v>
      </c>
      <c r="BY1145" s="15" t="s">
        <v>194</v>
      </c>
      <c r="CA1145" s="15" t="s">
        <v>2357</v>
      </c>
      <c r="CB1145" s="15" t="s">
        <v>78</v>
      </c>
      <c r="CC1145" s="15">
        <v>1</v>
      </c>
      <c r="CM1145" s="15" t="s">
        <v>3520</v>
      </c>
      <c r="CN1145" s="15" t="s">
        <v>3521</v>
      </c>
      <c r="CO1145" s="15" t="s">
        <v>3522</v>
      </c>
      <c r="CW1145" s="10">
        <v>2</v>
      </c>
      <c r="CX1145" s="15" t="s">
        <v>3523</v>
      </c>
    </row>
    <row r="1146" spans="1:102" s="15" customFormat="1" x14ac:dyDescent="0.3">
      <c r="A1146" s="11" t="s">
        <v>2349</v>
      </c>
      <c r="B1146" s="10" t="s">
        <v>3524</v>
      </c>
      <c r="C1146" s="12" t="s">
        <v>3758</v>
      </c>
      <c r="D1146" s="10">
        <v>1</v>
      </c>
      <c r="E1146" s="13">
        <v>1000000</v>
      </c>
      <c r="F1146" s="14">
        <v>1</v>
      </c>
      <c r="G1146" s="14">
        <v>1</v>
      </c>
      <c r="H1146" s="15" t="s">
        <v>3525</v>
      </c>
      <c r="I1146" s="8"/>
      <c r="J1146" s="10"/>
      <c r="AX1146" s="15" t="s">
        <v>3526</v>
      </c>
      <c r="AY1146" s="15" t="s">
        <v>2526</v>
      </c>
      <c r="AZ1146" s="15" t="s">
        <v>2550</v>
      </c>
      <c r="BH1146" s="15" t="s">
        <v>184</v>
      </c>
      <c r="BI1146" s="15" t="s">
        <v>185</v>
      </c>
      <c r="BJ1146" s="15" t="s">
        <v>2351</v>
      </c>
      <c r="BK1146" s="15" t="s">
        <v>2352</v>
      </c>
      <c r="BL1146" s="15" t="s">
        <v>2353</v>
      </c>
      <c r="BM1146" s="15" t="s">
        <v>2354</v>
      </c>
      <c r="BN1146" s="15" t="s">
        <v>2355</v>
      </c>
      <c r="BO1146" s="15" t="s">
        <v>2356</v>
      </c>
      <c r="BP1146" s="15" t="s">
        <v>3040</v>
      </c>
      <c r="BQ1146" s="15" t="s">
        <v>3040</v>
      </c>
      <c r="BR1146" s="15" t="s">
        <v>3040</v>
      </c>
      <c r="BS1146" s="15" t="s">
        <v>3040</v>
      </c>
      <c r="BT1146" s="15" t="s">
        <v>3040</v>
      </c>
      <c r="BU1146" s="15" t="s">
        <v>3040</v>
      </c>
      <c r="BV1146" s="15" t="s">
        <v>3040</v>
      </c>
      <c r="BW1146" s="15" t="s">
        <v>3040</v>
      </c>
      <c r="CA1146" s="15" t="s">
        <v>2357</v>
      </c>
      <c r="CB1146" s="15" t="s">
        <v>78</v>
      </c>
      <c r="CC1146" s="15">
        <v>1</v>
      </c>
      <c r="CN1146" s="15" t="s">
        <v>3527</v>
      </c>
      <c r="CW1146" s="10">
        <v>2</v>
      </c>
      <c r="CX1146" s="15" t="s">
        <v>3528</v>
      </c>
    </row>
    <row r="1147" spans="1:102" s="15" customFormat="1" x14ac:dyDescent="0.3">
      <c r="A1147" s="11" t="s">
        <v>2349</v>
      </c>
      <c r="B1147" s="10" t="s">
        <v>3529</v>
      </c>
      <c r="C1147" s="12" t="s">
        <v>3755</v>
      </c>
      <c r="D1147" s="10">
        <v>12</v>
      </c>
      <c r="E1147" s="13">
        <v>1000000</v>
      </c>
      <c r="F1147" s="14" t="s">
        <v>3514</v>
      </c>
      <c r="G1147" s="14" t="s">
        <v>3515</v>
      </c>
      <c r="H1147" s="15" t="s">
        <v>3516</v>
      </c>
      <c r="I1147" s="8"/>
      <c r="J1147" s="10"/>
      <c r="AV1147" s="15" t="s">
        <v>3517</v>
      </c>
      <c r="AW1147" s="15" t="s">
        <v>3518</v>
      </c>
      <c r="AY1147" s="15" t="s">
        <v>2526</v>
      </c>
      <c r="AZ1147" s="15" t="s">
        <v>2550</v>
      </c>
      <c r="BH1147" s="15" t="s">
        <v>3519</v>
      </c>
      <c r="BI1147" s="15" t="s">
        <v>185</v>
      </c>
      <c r="BJ1147" s="15" t="s">
        <v>2351</v>
      </c>
      <c r="BK1147" s="15" t="s">
        <v>2352</v>
      </c>
      <c r="BL1147" s="15" t="s">
        <v>2353</v>
      </c>
      <c r="BM1147" s="15" t="s">
        <v>2354</v>
      </c>
      <c r="BN1147" s="15" t="s">
        <v>2355</v>
      </c>
      <c r="BO1147" s="15" t="s">
        <v>2356</v>
      </c>
      <c r="BR1147" s="15" t="s">
        <v>192</v>
      </c>
      <c r="BS1147" s="15" t="s">
        <v>193</v>
      </c>
      <c r="BT1147" s="15" t="s">
        <v>194</v>
      </c>
      <c r="BU1147" s="15" t="s">
        <v>195</v>
      </c>
      <c r="BV1147" s="15" t="s">
        <v>196</v>
      </c>
      <c r="BW1147" s="15" t="s">
        <v>251</v>
      </c>
      <c r="BX1147" s="15" t="s">
        <v>272</v>
      </c>
      <c r="BY1147" s="15" t="s">
        <v>194</v>
      </c>
      <c r="CA1147" s="15" t="s">
        <v>2357</v>
      </c>
      <c r="CB1147" s="15" t="s">
        <v>78</v>
      </c>
      <c r="CC1147" s="15">
        <v>1</v>
      </c>
      <c r="CM1147" s="15" t="s">
        <v>3530</v>
      </c>
      <c r="CN1147" s="15" t="s">
        <v>3521</v>
      </c>
      <c r="CO1147" s="15" t="s">
        <v>3522</v>
      </c>
      <c r="CW1147" s="10">
        <v>2</v>
      </c>
      <c r="CX1147" s="15" t="s">
        <v>3531</v>
      </c>
    </row>
    <row r="1148" spans="1:102" s="15" customFormat="1" x14ac:dyDescent="0.3">
      <c r="A1148" s="11" t="s">
        <v>2349</v>
      </c>
      <c r="B1148" s="10" t="s">
        <v>3532</v>
      </c>
      <c r="C1148" s="12" t="s">
        <v>3759</v>
      </c>
      <c r="D1148" s="10">
        <v>1</v>
      </c>
      <c r="E1148" s="13">
        <v>1000000</v>
      </c>
      <c r="F1148" s="14">
        <v>1</v>
      </c>
      <c r="G1148" s="14">
        <v>1</v>
      </c>
      <c r="H1148" s="15" t="s">
        <v>3525</v>
      </c>
      <c r="I1148" s="8"/>
      <c r="J1148" s="10"/>
      <c r="AX1148" s="15" t="s">
        <v>3533</v>
      </c>
      <c r="AY1148" s="15" t="s">
        <v>2526</v>
      </c>
      <c r="AZ1148" s="15" t="s">
        <v>2550</v>
      </c>
      <c r="BH1148" s="15" t="s">
        <v>184</v>
      </c>
      <c r="BI1148" s="15" t="s">
        <v>185</v>
      </c>
      <c r="BJ1148" s="15" t="s">
        <v>2351</v>
      </c>
      <c r="BK1148" s="15" t="s">
        <v>2352</v>
      </c>
      <c r="BL1148" s="15" t="s">
        <v>2353</v>
      </c>
      <c r="BM1148" s="15" t="s">
        <v>2354</v>
      </c>
      <c r="BN1148" s="15" t="s">
        <v>2355</v>
      </c>
      <c r="BO1148" s="15" t="s">
        <v>2356</v>
      </c>
      <c r="BP1148" s="15" t="s">
        <v>3040</v>
      </c>
      <c r="BQ1148" s="15" t="s">
        <v>3040</v>
      </c>
      <c r="BR1148" s="15" t="s">
        <v>3040</v>
      </c>
      <c r="BS1148" s="15" t="s">
        <v>3040</v>
      </c>
      <c r="BT1148" s="15" t="s">
        <v>3040</v>
      </c>
      <c r="BU1148" s="15" t="s">
        <v>3040</v>
      </c>
      <c r="BV1148" s="15" t="s">
        <v>3040</v>
      </c>
      <c r="BW1148" s="15" t="s">
        <v>3040</v>
      </c>
      <c r="CA1148" s="15" t="s">
        <v>2357</v>
      </c>
      <c r="CB1148" s="15" t="s">
        <v>78</v>
      </c>
      <c r="CC1148" s="15">
        <v>1</v>
      </c>
      <c r="CN1148" s="15" t="s">
        <v>3527</v>
      </c>
      <c r="CW1148" s="10">
        <v>2</v>
      </c>
      <c r="CX1148" s="15" t="s">
        <v>3534</v>
      </c>
    </row>
    <row r="1149" spans="1:102" s="15" customFormat="1" x14ac:dyDescent="0.3">
      <c r="A1149" s="11" t="s">
        <v>2349</v>
      </c>
      <c r="B1149" s="10" t="s">
        <v>3535</v>
      </c>
      <c r="C1149" s="12" t="s">
        <v>4008</v>
      </c>
      <c r="D1149" s="10">
        <v>12</v>
      </c>
      <c r="E1149" s="13">
        <v>1000000</v>
      </c>
      <c r="F1149" s="14" t="s">
        <v>1876</v>
      </c>
      <c r="G1149" s="14" t="s">
        <v>1854</v>
      </c>
      <c r="H1149" s="15" t="s">
        <v>3028</v>
      </c>
      <c r="I1149" s="8"/>
      <c r="J1149" s="10"/>
      <c r="AV1149" s="15" t="s">
        <v>1857</v>
      </c>
      <c r="AW1149" s="15" t="s">
        <v>1858</v>
      </c>
      <c r="AX1149" s="15" t="s">
        <v>2356</v>
      </c>
      <c r="BH1149" s="15" t="s">
        <v>184</v>
      </c>
      <c r="BI1149" s="15" t="s">
        <v>185</v>
      </c>
      <c r="BJ1149" s="15" t="s">
        <v>2351</v>
      </c>
      <c r="BK1149" s="15" t="s">
        <v>2352</v>
      </c>
      <c r="BL1149" s="15" t="s">
        <v>2353</v>
      </c>
      <c r="BM1149" s="15" t="s">
        <v>2354</v>
      </c>
      <c r="BN1149" s="15" t="s">
        <v>2355</v>
      </c>
      <c r="BO1149" s="15" t="s">
        <v>2356</v>
      </c>
      <c r="BR1149" s="15" t="s">
        <v>192</v>
      </c>
      <c r="BS1149" s="15" t="s">
        <v>193</v>
      </c>
      <c r="BT1149" s="15" t="s">
        <v>194</v>
      </c>
      <c r="BU1149" s="15" t="s">
        <v>195</v>
      </c>
      <c r="BV1149" s="15" t="s">
        <v>196</v>
      </c>
      <c r="BW1149" s="15" t="s">
        <v>251</v>
      </c>
      <c r="CA1149" s="15" t="s">
        <v>2357</v>
      </c>
      <c r="CB1149" s="15" t="s">
        <v>78</v>
      </c>
      <c r="CC1149" s="15">
        <v>1</v>
      </c>
      <c r="CM1149" s="15" t="s">
        <v>3536</v>
      </c>
      <c r="CN1149" s="15" t="s">
        <v>2087</v>
      </c>
      <c r="CW1149" s="10">
        <v>2</v>
      </c>
      <c r="CX1149" s="15" t="s">
        <v>3537</v>
      </c>
    </row>
    <row r="1150" spans="1:102" s="15" customFormat="1" x14ac:dyDescent="0.3">
      <c r="A1150" s="11" t="s">
        <v>2349</v>
      </c>
      <c r="B1150" s="10" t="s">
        <v>3538</v>
      </c>
      <c r="C1150" s="12" t="s">
        <v>4009</v>
      </c>
      <c r="D1150" s="10">
        <v>1</v>
      </c>
      <c r="E1150" s="13">
        <v>1000000</v>
      </c>
      <c r="F1150" s="14">
        <v>1</v>
      </c>
      <c r="G1150" s="14">
        <v>1</v>
      </c>
      <c r="H1150" s="15" t="s">
        <v>3539</v>
      </c>
      <c r="I1150" s="8"/>
      <c r="J1150" s="10"/>
      <c r="AX1150" s="15" t="s">
        <v>3540</v>
      </c>
      <c r="AY1150" s="15" t="s">
        <v>2356</v>
      </c>
      <c r="BH1150" s="15" t="s">
        <v>184</v>
      </c>
      <c r="BI1150" s="15" t="s">
        <v>185</v>
      </c>
      <c r="BJ1150" s="15" t="s">
        <v>2351</v>
      </c>
      <c r="BK1150" s="15" t="s">
        <v>2352</v>
      </c>
      <c r="BL1150" s="15" t="s">
        <v>2353</v>
      </c>
      <c r="BM1150" s="15" t="s">
        <v>2354</v>
      </c>
      <c r="BN1150" s="15" t="s">
        <v>2355</v>
      </c>
      <c r="BO1150" s="15" t="s">
        <v>2356</v>
      </c>
      <c r="BR1150" s="15" t="s">
        <v>3040</v>
      </c>
      <c r="BS1150" s="15" t="s">
        <v>3040</v>
      </c>
      <c r="BT1150" s="15" t="s">
        <v>3040</v>
      </c>
      <c r="BU1150" s="15" t="s">
        <v>3040</v>
      </c>
      <c r="BV1150" s="15" t="s">
        <v>3040</v>
      </c>
      <c r="BW1150" s="15" t="s">
        <v>3040</v>
      </c>
      <c r="CA1150" s="15" t="s">
        <v>2357</v>
      </c>
      <c r="CB1150" s="15" t="s">
        <v>78</v>
      </c>
      <c r="CC1150" s="15">
        <v>1</v>
      </c>
      <c r="CW1150" s="10">
        <v>2</v>
      </c>
      <c r="CX1150" s="15" t="s">
        <v>3541</v>
      </c>
    </row>
    <row r="1151" spans="1:102" s="15" customFormat="1" x14ac:dyDescent="0.3">
      <c r="A1151" s="11" t="s">
        <v>2349</v>
      </c>
      <c r="B1151" s="10" t="s">
        <v>3542</v>
      </c>
      <c r="C1151" s="12" t="s">
        <v>4010</v>
      </c>
      <c r="D1151" s="10">
        <v>12</v>
      </c>
      <c r="E1151" s="13">
        <v>1000000</v>
      </c>
      <c r="F1151" s="14" t="s">
        <v>2276</v>
      </c>
      <c r="G1151" s="14" t="s">
        <v>2277</v>
      </c>
      <c r="H1151" s="15" t="s">
        <v>2278</v>
      </c>
      <c r="I1151" s="8"/>
      <c r="J1151" s="10"/>
      <c r="AV1151" s="15" t="s">
        <v>2279</v>
      </c>
      <c r="AW1151" s="15" t="s">
        <v>2280</v>
      </c>
      <c r="AX1151" s="15" t="s">
        <v>2356</v>
      </c>
      <c r="AY1151" s="15" t="s">
        <v>2479</v>
      </c>
      <c r="AZ1151" s="15" t="s">
        <v>2480</v>
      </c>
      <c r="BH1151" s="15" t="s">
        <v>184</v>
      </c>
      <c r="BI1151" s="15" t="s">
        <v>185</v>
      </c>
      <c r="BJ1151" s="15" t="s">
        <v>2351</v>
      </c>
      <c r="BK1151" s="15" t="s">
        <v>2352</v>
      </c>
      <c r="BL1151" s="15" t="s">
        <v>2353</v>
      </c>
      <c r="BM1151" s="15" t="s">
        <v>2354</v>
      </c>
      <c r="BN1151" s="15" t="s">
        <v>2355</v>
      </c>
      <c r="BO1151" s="15" t="s">
        <v>2356</v>
      </c>
      <c r="BR1151" s="15" t="s">
        <v>192</v>
      </c>
      <c r="BS1151" s="15" t="s">
        <v>193</v>
      </c>
      <c r="BT1151" s="15" t="s">
        <v>194</v>
      </c>
      <c r="BU1151" s="15" t="s">
        <v>195</v>
      </c>
      <c r="BV1151" s="15" t="s">
        <v>196</v>
      </c>
      <c r="BW1151" s="15" t="s">
        <v>251</v>
      </c>
      <c r="CA1151" s="15" t="s">
        <v>2357</v>
      </c>
      <c r="CB1151" s="15" t="s">
        <v>78</v>
      </c>
      <c r="CC1151" s="15">
        <v>1</v>
      </c>
      <c r="CM1151" s="15" t="s">
        <v>3543</v>
      </c>
      <c r="CN1151" s="15" t="s">
        <v>2282</v>
      </c>
      <c r="CW1151" s="10">
        <v>2</v>
      </c>
      <c r="CX1151" s="15" t="s">
        <v>3544</v>
      </c>
    </row>
    <row r="1152" spans="1:102" s="15" customFormat="1" x14ac:dyDescent="0.3">
      <c r="A1152" s="11" t="s">
        <v>2349</v>
      </c>
      <c r="B1152" s="10" t="s">
        <v>3545</v>
      </c>
      <c r="C1152" s="12" t="s">
        <v>4011</v>
      </c>
      <c r="D1152" s="10">
        <v>1</v>
      </c>
      <c r="E1152" s="13">
        <v>1000000</v>
      </c>
      <c r="F1152" s="14">
        <v>1</v>
      </c>
      <c r="G1152" s="14">
        <v>1</v>
      </c>
      <c r="H1152" s="15" t="s">
        <v>3043</v>
      </c>
      <c r="I1152" s="8"/>
      <c r="J1152" s="10"/>
      <c r="AX1152" s="15" t="s">
        <v>3546</v>
      </c>
      <c r="AY1152" s="15" t="s">
        <v>2479</v>
      </c>
      <c r="AZ1152" s="15" t="s">
        <v>2480</v>
      </c>
      <c r="BH1152" s="15" t="s">
        <v>184</v>
      </c>
      <c r="BI1152" s="15" t="s">
        <v>185</v>
      </c>
      <c r="BJ1152" s="15" t="s">
        <v>2351</v>
      </c>
      <c r="BK1152" s="15" t="s">
        <v>2352</v>
      </c>
      <c r="BL1152" s="15" t="s">
        <v>2353</v>
      </c>
      <c r="BM1152" s="15" t="s">
        <v>2354</v>
      </c>
      <c r="BN1152" s="15" t="s">
        <v>2355</v>
      </c>
      <c r="BO1152" s="15" t="s">
        <v>2356</v>
      </c>
      <c r="BR1152" s="15" t="s">
        <v>3040</v>
      </c>
      <c r="BS1152" s="15" t="s">
        <v>3040</v>
      </c>
      <c r="BT1152" s="15" t="s">
        <v>3040</v>
      </c>
      <c r="BU1152" s="15" t="s">
        <v>3040</v>
      </c>
      <c r="BV1152" s="15" t="s">
        <v>3040</v>
      </c>
      <c r="BW1152" s="15" t="s">
        <v>3040</v>
      </c>
      <c r="CA1152" s="15" t="s">
        <v>2357</v>
      </c>
      <c r="CB1152" s="15" t="s">
        <v>78</v>
      </c>
      <c r="CC1152" s="15">
        <v>1</v>
      </c>
      <c r="CW1152" s="10">
        <v>2</v>
      </c>
      <c r="CX1152" s="15" t="s">
        <v>3547</v>
      </c>
    </row>
    <row r="1153" spans="1:102" s="15" customFormat="1" x14ac:dyDescent="0.3">
      <c r="A1153" s="11" t="s">
        <v>3548</v>
      </c>
      <c r="B1153" s="10" t="s">
        <v>2307</v>
      </c>
      <c r="C1153" s="12" t="s">
        <v>3549</v>
      </c>
      <c r="D1153" s="10">
        <v>12</v>
      </c>
      <c r="E1153" s="13">
        <v>1</v>
      </c>
      <c r="F1153" s="14"/>
      <c r="G1153" s="14"/>
      <c r="I1153" s="8"/>
      <c r="J1153" s="10"/>
      <c r="AW1153" s="15" t="s">
        <v>128</v>
      </c>
      <c r="BH1153" s="15" t="s">
        <v>184</v>
      </c>
      <c r="BI1153" s="15" t="s">
        <v>185</v>
      </c>
      <c r="BJ1153" s="15" t="s">
        <v>2351</v>
      </c>
      <c r="BK1153" s="15" t="s">
        <v>2352</v>
      </c>
      <c r="BL1153" s="15" t="s">
        <v>2353</v>
      </c>
      <c r="BM1153" s="15" t="s">
        <v>2354</v>
      </c>
      <c r="BN1153" s="15" t="s">
        <v>2355</v>
      </c>
      <c r="BO1153" s="15" t="s">
        <v>2356</v>
      </c>
      <c r="BR1153" s="15" t="s">
        <v>192</v>
      </c>
      <c r="BS1153" s="15" t="s">
        <v>193</v>
      </c>
      <c r="BT1153" s="15" t="s">
        <v>194</v>
      </c>
      <c r="BU1153" s="15" t="s">
        <v>195</v>
      </c>
      <c r="BV1153" s="15" t="s">
        <v>196</v>
      </c>
      <c r="BW1153" s="15" t="s">
        <v>251</v>
      </c>
      <c r="CA1153" s="15" t="s">
        <v>2357</v>
      </c>
      <c r="CB1153" s="15" t="s">
        <v>78</v>
      </c>
      <c r="CC1153" s="15">
        <v>1</v>
      </c>
      <c r="CW1153" s="10">
        <v>2</v>
      </c>
      <c r="CX1153" s="15" t="s">
        <v>2309</v>
      </c>
    </row>
    <row r="1154" spans="1:102" s="15" customFormat="1" x14ac:dyDescent="0.3">
      <c r="A1154" s="11" t="s">
        <v>3548</v>
      </c>
      <c r="B1154" s="10" t="s">
        <v>2310</v>
      </c>
      <c r="C1154" s="12" t="s">
        <v>3550</v>
      </c>
      <c r="D1154" s="10">
        <v>12</v>
      </c>
      <c r="E1154" s="13">
        <v>1</v>
      </c>
      <c r="F1154" s="14"/>
      <c r="G1154" s="14"/>
      <c r="I1154" s="8"/>
      <c r="J1154" s="10"/>
      <c r="AW1154" s="15" t="s">
        <v>128</v>
      </c>
      <c r="BH1154" s="15" t="s">
        <v>184</v>
      </c>
      <c r="BI1154" s="15" t="s">
        <v>185</v>
      </c>
      <c r="BJ1154" s="15" t="s">
        <v>2351</v>
      </c>
      <c r="BK1154" s="15" t="s">
        <v>2352</v>
      </c>
      <c r="BL1154" s="15" t="s">
        <v>2353</v>
      </c>
      <c r="BM1154" s="15" t="s">
        <v>2354</v>
      </c>
      <c r="BN1154" s="15" t="s">
        <v>2355</v>
      </c>
      <c r="BO1154" s="15" t="s">
        <v>2356</v>
      </c>
      <c r="BR1154" s="15" t="s">
        <v>192</v>
      </c>
      <c r="BS1154" s="15" t="s">
        <v>193</v>
      </c>
      <c r="BT1154" s="15" t="s">
        <v>194</v>
      </c>
      <c r="BU1154" s="15" t="s">
        <v>195</v>
      </c>
      <c r="BV1154" s="15" t="s">
        <v>196</v>
      </c>
      <c r="BW1154" s="15" t="s">
        <v>251</v>
      </c>
      <c r="CA1154" s="15" t="s">
        <v>2357</v>
      </c>
      <c r="CB1154" s="15" t="s">
        <v>78</v>
      </c>
      <c r="CC1154" s="15">
        <v>1</v>
      </c>
      <c r="CW1154" s="10">
        <v>2</v>
      </c>
      <c r="CX1154" s="15" t="s">
        <v>2312</v>
      </c>
    </row>
    <row r="1155" spans="1:102" s="15" customFormat="1" x14ac:dyDescent="0.3">
      <c r="A1155" s="11" t="s">
        <v>3548</v>
      </c>
      <c r="B1155" s="10" t="s">
        <v>2313</v>
      </c>
      <c r="C1155" s="12" t="s">
        <v>3551</v>
      </c>
      <c r="D1155" s="10">
        <v>12</v>
      </c>
      <c r="E1155" s="13">
        <v>1</v>
      </c>
      <c r="F1155" s="14"/>
      <c r="G1155" s="14"/>
      <c r="I1155" s="8"/>
      <c r="J1155" s="10"/>
      <c r="AW1155" s="15" t="s">
        <v>128</v>
      </c>
      <c r="BH1155" s="15" t="s">
        <v>184</v>
      </c>
      <c r="BI1155" s="15" t="s">
        <v>185</v>
      </c>
      <c r="BJ1155" s="15" t="s">
        <v>2351</v>
      </c>
      <c r="BK1155" s="15" t="s">
        <v>2352</v>
      </c>
      <c r="BL1155" s="15" t="s">
        <v>2353</v>
      </c>
      <c r="BM1155" s="15" t="s">
        <v>2354</v>
      </c>
      <c r="BN1155" s="15" t="s">
        <v>2355</v>
      </c>
      <c r="BO1155" s="15" t="s">
        <v>2356</v>
      </c>
      <c r="BR1155" s="15" t="s">
        <v>192</v>
      </c>
      <c r="BS1155" s="15" t="s">
        <v>193</v>
      </c>
      <c r="BT1155" s="15" t="s">
        <v>194</v>
      </c>
      <c r="BU1155" s="15" t="s">
        <v>195</v>
      </c>
      <c r="BV1155" s="15" t="s">
        <v>196</v>
      </c>
      <c r="BW1155" s="15" t="s">
        <v>251</v>
      </c>
      <c r="CA1155" s="15" t="s">
        <v>2357</v>
      </c>
      <c r="CB1155" s="15" t="s">
        <v>78</v>
      </c>
      <c r="CC1155" s="15">
        <v>1</v>
      </c>
      <c r="CW1155" s="10">
        <v>2</v>
      </c>
      <c r="CX1155" s="15" t="s">
        <v>2315</v>
      </c>
    </row>
    <row r="1156" spans="1:102" s="15" customFormat="1" x14ac:dyDescent="0.3">
      <c r="A1156" s="11" t="s">
        <v>3548</v>
      </c>
      <c r="B1156" s="10" t="s">
        <v>2316</v>
      </c>
      <c r="C1156" s="12" t="s">
        <v>3552</v>
      </c>
      <c r="D1156" s="10">
        <v>12</v>
      </c>
      <c r="E1156" s="13">
        <v>10000</v>
      </c>
      <c r="F1156" s="14"/>
      <c r="G1156" s="14"/>
      <c r="I1156" s="8"/>
      <c r="J1156" s="10"/>
      <c r="AW1156" s="15" t="s">
        <v>128</v>
      </c>
      <c r="BH1156" s="15" t="s">
        <v>184</v>
      </c>
      <c r="BI1156" s="15" t="s">
        <v>185</v>
      </c>
      <c r="BJ1156" s="15" t="s">
        <v>2351</v>
      </c>
      <c r="BK1156" s="15" t="s">
        <v>2352</v>
      </c>
      <c r="BL1156" s="15" t="s">
        <v>2353</v>
      </c>
      <c r="BM1156" s="15" t="s">
        <v>2354</v>
      </c>
      <c r="BN1156" s="15" t="s">
        <v>2355</v>
      </c>
      <c r="BO1156" s="15" t="s">
        <v>2356</v>
      </c>
      <c r="BR1156" s="15" t="s">
        <v>192</v>
      </c>
      <c r="BS1156" s="15" t="s">
        <v>193</v>
      </c>
      <c r="BT1156" s="15" t="s">
        <v>194</v>
      </c>
      <c r="BU1156" s="15" t="s">
        <v>195</v>
      </c>
      <c r="BV1156" s="15" t="s">
        <v>196</v>
      </c>
      <c r="BW1156" s="15" t="s">
        <v>251</v>
      </c>
      <c r="CA1156" s="15" t="s">
        <v>2357</v>
      </c>
      <c r="CB1156" s="15" t="s">
        <v>78</v>
      </c>
      <c r="CC1156" s="15">
        <v>1</v>
      </c>
      <c r="CW1156" s="10">
        <v>2</v>
      </c>
      <c r="CX1156" s="15" t="s">
        <v>2318</v>
      </c>
    </row>
    <row r="1157" spans="1:102" s="15" customFormat="1" x14ac:dyDescent="0.3">
      <c r="A1157" s="11" t="s">
        <v>3548</v>
      </c>
      <c r="B1157" s="10" t="s">
        <v>2319</v>
      </c>
      <c r="C1157" s="12" t="s">
        <v>3553</v>
      </c>
      <c r="D1157" s="10">
        <v>12</v>
      </c>
      <c r="E1157" s="13">
        <v>1</v>
      </c>
      <c r="F1157" s="14"/>
      <c r="G1157" s="14"/>
      <c r="I1157" s="8"/>
      <c r="J1157" s="10"/>
      <c r="AW1157" s="15" t="s">
        <v>128</v>
      </c>
      <c r="BH1157" s="15" t="s">
        <v>184</v>
      </c>
      <c r="BI1157" s="15" t="s">
        <v>185</v>
      </c>
      <c r="BJ1157" s="15" t="s">
        <v>2351</v>
      </c>
      <c r="BK1157" s="15" t="s">
        <v>2352</v>
      </c>
      <c r="BL1157" s="15" t="s">
        <v>2353</v>
      </c>
      <c r="BM1157" s="15" t="s">
        <v>2354</v>
      </c>
      <c r="BN1157" s="15" t="s">
        <v>2355</v>
      </c>
      <c r="BO1157" s="15" t="s">
        <v>2356</v>
      </c>
      <c r="BR1157" s="15" t="s">
        <v>192</v>
      </c>
      <c r="BS1157" s="15" t="s">
        <v>193</v>
      </c>
      <c r="BT1157" s="15" t="s">
        <v>194</v>
      </c>
      <c r="BU1157" s="15" t="s">
        <v>195</v>
      </c>
      <c r="BV1157" s="15" t="s">
        <v>196</v>
      </c>
      <c r="BW1157" s="15" t="s">
        <v>251</v>
      </c>
      <c r="CA1157" s="15" t="s">
        <v>2357</v>
      </c>
      <c r="CB1157" s="15" t="s">
        <v>78</v>
      </c>
      <c r="CC1157" s="15">
        <v>1</v>
      </c>
      <c r="CW1157" s="10">
        <v>2</v>
      </c>
      <c r="CX1157" s="15" t="s">
        <v>2321</v>
      </c>
    </row>
    <row r="1158" spans="1:102" s="15" customFormat="1" x14ac:dyDescent="0.3">
      <c r="A1158" s="11" t="s">
        <v>3548</v>
      </c>
      <c r="B1158" s="10" t="s">
        <v>2322</v>
      </c>
      <c r="C1158" s="12" t="s">
        <v>3554</v>
      </c>
      <c r="D1158" s="10">
        <v>12</v>
      </c>
      <c r="E1158" s="13">
        <v>1</v>
      </c>
      <c r="F1158" s="14"/>
      <c r="G1158" s="14"/>
      <c r="I1158" s="8"/>
      <c r="J1158" s="10"/>
      <c r="AW1158" s="15" t="s">
        <v>128</v>
      </c>
      <c r="BH1158" s="15" t="s">
        <v>184</v>
      </c>
      <c r="BI1158" s="15" t="s">
        <v>185</v>
      </c>
      <c r="BJ1158" s="15" t="s">
        <v>2351</v>
      </c>
      <c r="BK1158" s="15" t="s">
        <v>2352</v>
      </c>
      <c r="BL1158" s="15" t="s">
        <v>2353</v>
      </c>
      <c r="BM1158" s="15" t="s">
        <v>2354</v>
      </c>
      <c r="BN1158" s="15" t="s">
        <v>2355</v>
      </c>
      <c r="BO1158" s="15" t="s">
        <v>2356</v>
      </c>
      <c r="BR1158" s="15" t="s">
        <v>192</v>
      </c>
      <c r="BS1158" s="15" t="s">
        <v>193</v>
      </c>
      <c r="BT1158" s="15" t="s">
        <v>194</v>
      </c>
      <c r="BU1158" s="15" t="s">
        <v>195</v>
      </c>
      <c r="BV1158" s="15" t="s">
        <v>196</v>
      </c>
      <c r="BW1158" s="15" t="s">
        <v>251</v>
      </c>
      <c r="CA1158" s="15" t="s">
        <v>2357</v>
      </c>
      <c r="CB1158" s="15" t="s">
        <v>78</v>
      </c>
      <c r="CC1158" s="15">
        <v>1</v>
      </c>
      <c r="CW1158" s="10">
        <v>2</v>
      </c>
      <c r="CX1158" s="15" t="s">
        <v>2324</v>
      </c>
    </row>
    <row r="1159" spans="1:102" s="15" customFormat="1" x14ac:dyDescent="0.3">
      <c r="A1159" s="11" t="s">
        <v>3548</v>
      </c>
      <c r="B1159" s="10" t="s">
        <v>2325</v>
      </c>
      <c r="C1159" s="12" t="s">
        <v>3555</v>
      </c>
      <c r="D1159" s="10">
        <v>12</v>
      </c>
      <c r="E1159" s="13">
        <v>1</v>
      </c>
      <c r="F1159" s="14"/>
      <c r="G1159" s="14"/>
      <c r="I1159" s="8"/>
      <c r="J1159" s="10"/>
      <c r="AW1159" s="15" t="s">
        <v>128</v>
      </c>
      <c r="BH1159" s="15" t="s">
        <v>184</v>
      </c>
      <c r="BI1159" s="15" t="s">
        <v>185</v>
      </c>
      <c r="BJ1159" s="15" t="s">
        <v>2351</v>
      </c>
      <c r="BK1159" s="15" t="s">
        <v>2352</v>
      </c>
      <c r="BL1159" s="15" t="s">
        <v>2353</v>
      </c>
      <c r="BM1159" s="15" t="s">
        <v>2354</v>
      </c>
      <c r="BN1159" s="15" t="s">
        <v>2355</v>
      </c>
      <c r="BO1159" s="15" t="s">
        <v>2356</v>
      </c>
      <c r="BR1159" s="15" t="s">
        <v>192</v>
      </c>
      <c r="BS1159" s="15" t="s">
        <v>193</v>
      </c>
      <c r="BT1159" s="15" t="s">
        <v>194</v>
      </c>
      <c r="BU1159" s="15" t="s">
        <v>195</v>
      </c>
      <c r="BV1159" s="15" t="s">
        <v>196</v>
      </c>
      <c r="BW1159" s="15" t="s">
        <v>251</v>
      </c>
      <c r="CA1159" s="15" t="s">
        <v>2357</v>
      </c>
      <c r="CB1159" s="15" t="s">
        <v>78</v>
      </c>
      <c r="CC1159" s="15">
        <v>1</v>
      </c>
      <c r="CW1159" s="10">
        <v>2</v>
      </c>
      <c r="CX1159" s="15" t="s">
        <v>2327</v>
      </c>
    </row>
    <row r="1160" spans="1:102" s="15" customFormat="1" x14ac:dyDescent="0.3">
      <c r="A1160" s="11" t="s">
        <v>3548</v>
      </c>
      <c r="B1160" s="10" t="s">
        <v>2328</v>
      </c>
      <c r="C1160" s="12" t="s">
        <v>3556</v>
      </c>
      <c r="D1160" s="10">
        <v>12</v>
      </c>
      <c r="E1160" s="13">
        <v>10000</v>
      </c>
      <c r="F1160" s="14"/>
      <c r="G1160" s="14"/>
      <c r="I1160" s="8"/>
      <c r="J1160" s="10"/>
      <c r="AW1160" s="15" t="s">
        <v>128</v>
      </c>
      <c r="BH1160" s="15" t="s">
        <v>184</v>
      </c>
      <c r="BI1160" s="15" t="s">
        <v>185</v>
      </c>
      <c r="BJ1160" s="15" t="s">
        <v>2351</v>
      </c>
      <c r="BK1160" s="15" t="s">
        <v>2352</v>
      </c>
      <c r="BL1160" s="15" t="s">
        <v>2353</v>
      </c>
      <c r="BM1160" s="15" t="s">
        <v>2354</v>
      </c>
      <c r="BN1160" s="15" t="s">
        <v>2355</v>
      </c>
      <c r="BO1160" s="15" t="s">
        <v>2356</v>
      </c>
      <c r="BR1160" s="15" t="s">
        <v>192</v>
      </c>
      <c r="BS1160" s="15" t="s">
        <v>193</v>
      </c>
      <c r="BT1160" s="15" t="s">
        <v>194</v>
      </c>
      <c r="BU1160" s="15" t="s">
        <v>195</v>
      </c>
      <c r="BV1160" s="15" t="s">
        <v>196</v>
      </c>
      <c r="BW1160" s="15" t="s">
        <v>251</v>
      </c>
      <c r="CA1160" s="15" t="s">
        <v>2357</v>
      </c>
      <c r="CB1160" s="15" t="s">
        <v>78</v>
      </c>
      <c r="CC1160" s="15">
        <v>1</v>
      </c>
      <c r="CW1160" s="10">
        <v>2</v>
      </c>
      <c r="CX1160" s="15" t="s">
        <v>2330</v>
      </c>
    </row>
    <row r="1161" spans="1:102" s="15" customFormat="1" x14ac:dyDescent="0.3">
      <c r="A1161" s="11" t="s">
        <v>3548</v>
      </c>
      <c r="B1161" s="10" t="s">
        <v>2331</v>
      </c>
      <c r="C1161" s="12" t="s">
        <v>3557</v>
      </c>
      <c r="D1161" s="10">
        <v>12</v>
      </c>
      <c r="E1161" s="13">
        <v>5000000</v>
      </c>
      <c r="F1161" s="14"/>
      <c r="G1161" s="14"/>
      <c r="I1161" s="8"/>
      <c r="J1161" s="10"/>
      <c r="AW1161" s="15" t="s">
        <v>128</v>
      </c>
      <c r="BH1161" s="15" t="s">
        <v>184</v>
      </c>
      <c r="BI1161" s="15" t="s">
        <v>185</v>
      </c>
      <c r="BJ1161" s="15" t="s">
        <v>2351</v>
      </c>
      <c r="BK1161" s="15" t="s">
        <v>2352</v>
      </c>
      <c r="BL1161" s="15" t="s">
        <v>2353</v>
      </c>
      <c r="BM1161" s="15" t="s">
        <v>2354</v>
      </c>
      <c r="BN1161" s="15" t="s">
        <v>2355</v>
      </c>
      <c r="BO1161" s="15" t="s">
        <v>2356</v>
      </c>
      <c r="BR1161" s="15" t="s">
        <v>192</v>
      </c>
      <c r="BS1161" s="15" t="s">
        <v>193</v>
      </c>
      <c r="BT1161" s="15" t="s">
        <v>194</v>
      </c>
      <c r="BU1161" s="15" t="s">
        <v>195</v>
      </c>
      <c r="BV1161" s="15" t="s">
        <v>196</v>
      </c>
      <c r="BW1161" s="15" t="s">
        <v>251</v>
      </c>
      <c r="CA1161" s="15" t="s">
        <v>2357</v>
      </c>
      <c r="CB1161" s="15" t="s">
        <v>78</v>
      </c>
      <c r="CC1161" s="15">
        <v>1</v>
      </c>
      <c r="CW1161" s="10">
        <v>2</v>
      </c>
      <c r="CX1161" s="15" t="s">
        <v>2333</v>
      </c>
    </row>
    <row r="1162" spans="1:102" s="15" customFormat="1" x14ac:dyDescent="0.3">
      <c r="A1162" s="11" t="s">
        <v>3548</v>
      </c>
      <c r="B1162" s="10" t="s">
        <v>2334</v>
      </c>
      <c r="C1162" s="12" t="s">
        <v>3558</v>
      </c>
      <c r="D1162" s="10">
        <v>12</v>
      </c>
      <c r="E1162" s="13">
        <v>5000000</v>
      </c>
      <c r="F1162" s="14"/>
      <c r="G1162" s="14"/>
      <c r="I1162" s="8"/>
      <c r="J1162" s="10"/>
      <c r="AW1162" s="15" t="s">
        <v>128</v>
      </c>
      <c r="BH1162" s="15" t="s">
        <v>184</v>
      </c>
      <c r="BI1162" s="15" t="s">
        <v>185</v>
      </c>
      <c r="BJ1162" s="15" t="s">
        <v>2351</v>
      </c>
      <c r="BK1162" s="15" t="s">
        <v>2352</v>
      </c>
      <c r="BL1162" s="15" t="s">
        <v>2353</v>
      </c>
      <c r="BM1162" s="15" t="s">
        <v>2354</v>
      </c>
      <c r="BN1162" s="15" t="s">
        <v>2355</v>
      </c>
      <c r="BO1162" s="15" t="s">
        <v>2356</v>
      </c>
      <c r="BR1162" s="15" t="s">
        <v>192</v>
      </c>
      <c r="BS1162" s="15" t="s">
        <v>193</v>
      </c>
      <c r="BT1162" s="15" t="s">
        <v>194</v>
      </c>
      <c r="BU1162" s="15" t="s">
        <v>195</v>
      </c>
      <c r="BV1162" s="15" t="s">
        <v>196</v>
      </c>
      <c r="BW1162" s="15" t="s">
        <v>251</v>
      </c>
      <c r="CA1162" s="15" t="s">
        <v>2357</v>
      </c>
      <c r="CB1162" s="15" t="s">
        <v>78</v>
      </c>
      <c r="CC1162" s="15">
        <v>1</v>
      </c>
      <c r="CW1162" s="10">
        <v>2</v>
      </c>
      <c r="CX1162" s="15" t="s">
        <v>2336</v>
      </c>
    </row>
    <row r="1163" spans="1:102" s="15" customFormat="1" x14ac:dyDescent="0.3">
      <c r="A1163" s="11" t="s">
        <v>3548</v>
      </c>
      <c r="B1163" s="10" t="s">
        <v>2337</v>
      </c>
      <c r="C1163" s="12" t="s">
        <v>3559</v>
      </c>
      <c r="D1163" s="10">
        <v>12</v>
      </c>
      <c r="E1163" s="13">
        <v>5000000</v>
      </c>
      <c r="F1163" s="14"/>
      <c r="G1163" s="14"/>
      <c r="I1163" s="8"/>
      <c r="J1163" s="10"/>
      <c r="AW1163" s="15" t="s">
        <v>128</v>
      </c>
      <c r="BH1163" s="15" t="s">
        <v>184</v>
      </c>
      <c r="BI1163" s="15" t="s">
        <v>185</v>
      </c>
      <c r="BJ1163" s="15" t="s">
        <v>2351</v>
      </c>
      <c r="BK1163" s="15" t="s">
        <v>2352</v>
      </c>
      <c r="BL1163" s="15" t="s">
        <v>2353</v>
      </c>
      <c r="BM1163" s="15" t="s">
        <v>2354</v>
      </c>
      <c r="BN1163" s="15" t="s">
        <v>2355</v>
      </c>
      <c r="BO1163" s="15" t="s">
        <v>2356</v>
      </c>
      <c r="BR1163" s="15" t="s">
        <v>192</v>
      </c>
      <c r="BS1163" s="15" t="s">
        <v>193</v>
      </c>
      <c r="BT1163" s="15" t="s">
        <v>194</v>
      </c>
      <c r="BU1163" s="15" t="s">
        <v>195</v>
      </c>
      <c r="BV1163" s="15" t="s">
        <v>196</v>
      </c>
      <c r="BW1163" s="15" t="s">
        <v>251</v>
      </c>
      <c r="CA1163" s="15" t="s">
        <v>2357</v>
      </c>
      <c r="CB1163" s="15" t="s">
        <v>78</v>
      </c>
      <c r="CC1163" s="15">
        <v>1</v>
      </c>
      <c r="CW1163" s="10">
        <v>2</v>
      </c>
      <c r="CX1163" s="15" t="s">
        <v>2339</v>
      </c>
    </row>
    <row r="1164" spans="1:102" s="15" customFormat="1" x14ac:dyDescent="0.3">
      <c r="A1164" s="11" t="s">
        <v>3548</v>
      </c>
      <c r="B1164" s="10" t="s">
        <v>2340</v>
      </c>
      <c r="C1164" s="12" t="s">
        <v>3560</v>
      </c>
      <c r="D1164" s="10">
        <v>12</v>
      </c>
      <c r="E1164" s="13">
        <v>5000000</v>
      </c>
      <c r="F1164" s="14"/>
      <c r="G1164" s="14"/>
      <c r="I1164" s="8"/>
      <c r="J1164" s="10"/>
      <c r="AW1164" s="15" t="s">
        <v>128</v>
      </c>
      <c r="BH1164" s="15" t="s">
        <v>184</v>
      </c>
      <c r="BI1164" s="15" t="s">
        <v>185</v>
      </c>
      <c r="BJ1164" s="15" t="s">
        <v>2351</v>
      </c>
      <c r="BK1164" s="15" t="s">
        <v>2352</v>
      </c>
      <c r="BL1164" s="15" t="s">
        <v>2353</v>
      </c>
      <c r="BM1164" s="15" t="s">
        <v>2354</v>
      </c>
      <c r="BN1164" s="15" t="s">
        <v>2355</v>
      </c>
      <c r="BO1164" s="15" t="s">
        <v>2356</v>
      </c>
      <c r="BR1164" s="15" t="s">
        <v>192</v>
      </c>
      <c r="BS1164" s="15" t="s">
        <v>193</v>
      </c>
      <c r="BT1164" s="15" t="s">
        <v>194</v>
      </c>
      <c r="BU1164" s="15" t="s">
        <v>195</v>
      </c>
      <c r="BV1164" s="15" t="s">
        <v>196</v>
      </c>
      <c r="BW1164" s="15" t="s">
        <v>251</v>
      </c>
      <c r="CA1164" s="15" t="s">
        <v>2357</v>
      </c>
      <c r="CB1164" s="15" t="s">
        <v>78</v>
      </c>
      <c r="CC1164" s="15">
        <v>1</v>
      </c>
      <c r="CW1164" s="10">
        <v>2</v>
      </c>
      <c r="CX1164" s="15" t="s">
        <v>2342</v>
      </c>
    </row>
    <row r="1165" spans="1:102" s="15" customFormat="1" x14ac:dyDescent="0.3">
      <c r="A1165" s="11" t="s">
        <v>3548</v>
      </c>
      <c r="B1165" s="10" t="s">
        <v>2343</v>
      </c>
      <c r="C1165" s="12" t="s">
        <v>3561</v>
      </c>
      <c r="D1165" s="10">
        <v>12</v>
      </c>
      <c r="E1165" s="13">
        <v>2000000</v>
      </c>
      <c r="F1165" s="14"/>
      <c r="G1165" s="14"/>
      <c r="I1165" s="8"/>
      <c r="J1165" s="10"/>
      <c r="AW1165" s="15" t="s">
        <v>128</v>
      </c>
      <c r="BH1165" s="15" t="s">
        <v>184</v>
      </c>
      <c r="BI1165" s="15" t="s">
        <v>185</v>
      </c>
      <c r="BJ1165" s="15" t="s">
        <v>2351</v>
      </c>
      <c r="BK1165" s="15" t="s">
        <v>2352</v>
      </c>
      <c r="BL1165" s="15" t="s">
        <v>2353</v>
      </c>
      <c r="BM1165" s="15" t="s">
        <v>2354</v>
      </c>
      <c r="BN1165" s="15" t="s">
        <v>2355</v>
      </c>
      <c r="BO1165" s="15" t="s">
        <v>2356</v>
      </c>
      <c r="BR1165" s="15" t="s">
        <v>192</v>
      </c>
      <c r="BS1165" s="15" t="s">
        <v>193</v>
      </c>
      <c r="BT1165" s="15" t="s">
        <v>194</v>
      </c>
      <c r="BU1165" s="15" t="s">
        <v>195</v>
      </c>
      <c r="BV1165" s="15" t="s">
        <v>196</v>
      </c>
      <c r="BW1165" s="15" t="s">
        <v>251</v>
      </c>
      <c r="CA1165" s="15" t="s">
        <v>2357</v>
      </c>
      <c r="CB1165" s="15" t="s">
        <v>78</v>
      </c>
      <c r="CC1165" s="15">
        <v>1</v>
      </c>
      <c r="CW1165" s="10">
        <v>2</v>
      </c>
      <c r="CX1165" s="15" t="s">
        <v>2345</v>
      </c>
    </row>
    <row r="1166" spans="1:102" s="15" customFormat="1" x14ac:dyDescent="0.3">
      <c r="A1166" s="11" t="s">
        <v>3548</v>
      </c>
      <c r="B1166" s="10" t="s">
        <v>2346</v>
      </c>
      <c r="C1166" s="12" t="s">
        <v>3562</v>
      </c>
      <c r="D1166" s="10">
        <v>12</v>
      </c>
      <c r="E1166" s="13">
        <v>2000000</v>
      </c>
      <c r="F1166" s="14"/>
      <c r="G1166" s="14"/>
      <c r="I1166" s="8"/>
      <c r="J1166" s="10"/>
      <c r="AW1166" s="15" t="s">
        <v>128</v>
      </c>
      <c r="BH1166" s="15" t="s">
        <v>184</v>
      </c>
      <c r="BI1166" s="15" t="s">
        <v>185</v>
      </c>
      <c r="BJ1166" s="15" t="s">
        <v>2351</v>
      </c>
      <c r="BK1166" s="15" t="s">
        <v>2352</v>
      </c>
      <c r="BL1166" s="15" t="s">
        <v>2353</v>
      </c>
      <c r="BM1166" s="15" t="s">
        <v>2354</v>
      </c>
      <c r="BN1166" s="15" t="s">
        <v>2355</v>
      </c>
      <c r="BO1166" s="15" t="s">
        <v>2356</v>
      </c>
      <c r="BR1166" s="15" t="s">
        <v>192</v>
      </c>
      <c r="BS1166" s="15" t="s">
        <v>193</v>
      </c>
      <c r="BT1166" s="15" t="s">
        <v>194</v>
      </c>
      <c r="BU1166" s="15" t="s">
        <v>195</v>
      </c>
      <c r="BV1166" s="15" t="s">
        <v>196</v>
      </c>
      <c r="BW1166" s="15" t="s">
        <v>251</v>
      </c>
      <c r="CA1166" s="15" t="s">
        <v>2357</v>
      </c>
      <c r="CB1166" s="15" t="s">
        <v>78</v>
      </c>
      <c r="CC1166" s="15">
        <v>1</v>
      </c>
      <c r="CW1166" s="10">
        <v>2</v>
      </c>
      <c r="CX1166" s="15" t="s">
        <v>2348</v>
      </c>
    </row>
    <row r="1167" spans="1:102" s="15" customFormat="1" x14ac:dyDescent="0.3">
      <c r="A1167" s="11" t="s">
        <v>3548</v>
      </c>
      <c r="B1167" s="10"/>
      <c r="C1167" s="12" t="s">
        <v>2304</v>
      </c>
      <c r="D1167" s="10">
        <v>12</v>
      </c>
      <c r="E1167" s="13">
        <v>100000000</v>
      </c>
      <c r="F1167" s="14"/>
      <c r="G1167" s="14"/>
      <c r="I1167" s="8"/>
      <c r="J1167" s="10"/>
      <c r="BH1167" s="15" t="s">
        <v>184</v>
      </c>
      <c r="BI1167" s="15" t="s">
        <v>185</v>
      </c>
      <c r="BJ1167" s="15" t="s">
        <v>2351</v>
      </c>
      <c r="BK1167" s="15" t="s">
        <v>2352</v>
      </c>
      <c r="BL1167" s="15" t="s">
        <v>2353</v>
      </c>
      <c r="BM1167" s="15" t="s">
        <v>2354</v>
      </c>
      <c r="BN1167" s="15" t="s">
        <v>2355</v>
      </c>
      <c r="BO1167" s="15" t="s">
        <v>2356</v>
      </c>
      <c r="BR1167" s="15" t="s">
        <v>192</v>
      </c>
      <c r="BS1167" s="15" t="s">
        <v>193</v>
      </c>
      <c r="BT1167" s="15" t="s">
        <v>194</v>
      </c>
      <c r="BU1167" s="15" t="s">
        <v>195</v>
      </c>
      <c r="BV1167" s="15" t="s">
        <v>196</v>
      </c>
      <c r="BW1167" s="15" t="s">
        <v>251</v>
      </c>
      <c r="CA1167" s="15" t="s">
        <v>2357</v>
      </c>
      <c r="CB1167" s="15" t="s">
        <v>78</v>
      </c>
      <c r="CC1167" s="15">
        <v>1</v>
      </c>
      <c r="CW1167" s="10"/>
    </row>
    <row r="1168" spans="1:102" s="15" customFormat="1" x14ac:dyDescent="0.3">
      <c r="A1168" s="11" t="s">
        <v>2349</v>
      </c>
      <c r="B1168" s="10" t="s">
        <v>3563</v>
      </c>
      <c r="C1168" s="12" t="s">
        <v>4012</v>
      </c>
      <c r="D1168" s="10">
        <v>12</v>
      </c>
      <c r="E1168" s="13">
        <v>1000000</v>
      </c>
      <c r="F1168" s="14" t="s">
        <v>823</v>
      </c>
      <c r="G1168" s="14" t="s">
        <v>179</v>
      </c>
      <c r="H1168" s="15" t="s">
        <v>180</v>
      </c>
      <c r="I1168" s="8"/>
      <c r="J1168" s="10"/>
      <c r="AV1168" s="15" t="s">
        <v>181</v>
      </c>
      <c r="AW1168" s="15" t="s">
        <v>182</v>
      </c>
      <c r="AX1168" s="15" t="s">
        <v>2350</v>
      </c>
      <c r="BH1168" s="15" t="s">
        <v>184</v>
      </c>
      <c r="BI1168" s="15" t="s">
        <v>185</v>
      </c>
      <c r="BJ1168" s="15" t="s">
        <v>2351</v>
      </c>
      <c r="BK1168" s="15" t="s">
        <v>2352</v>
      </c>
      <c r="BL1168" s="15" t="s">
        <v>2353</v>
      </c>
      <c r="BM1168" s="15" t="s">
        <v>2354</v>
      </c>
      <c r="BN1168" s="15" t="s">
        <v>2355</v>
      </c>
      <c r="BO1168" s="15" t="s">
        <v>2356</v>
      </c>
      <c r="BR1168" s="15" t="s">
        <v>192</v>
      </c>
      <c r="BS1168" s="15" t="s">
        <v>193</v>
      </c>
      <c r="BT1168" s="15" t="s">
        <v>194</v>
      </c>
      <c r="BU1168" s="15" t="s">
        <v>195</v>
      </c>
      <c r="BV1168" s="15" t="s">
        <v>196</v>
      </c>
      <c r="CA1168" s="15" t="s">
        <v>2357</v>
      </c>
      <c r="CB1168" s="15" t="s">
        <v>78</v>
      </c>
      <c r="CC1168" s="15" t="s">
        <v>197</v>
      </c>
      <c r="CN1168" s="15" t="s">
        <v>198</v>
      </c>
      <c r="CW1168" s="10">
        <v>2</v>
      </c>
      <c r="CX1168" s="15" t="s">
        <v>3564</v>
      </c>
    </row>
    <row r="1169" spans="1:102" s="15" customFormat="1" x14ac:dyDescent="0.3">
      <c r="A1169" s="11" t="s">
        <v>2349</v>
      </c>
      <c r="B1169" s="10" t="s">
        <v>3565</v>
      </c>
      <c r="C1169" s="12" t="s">
        <v>4013</v>
      </c>
      <c r="D1169" s="10">
        <v>12</v>
      </c>
      <c r="E1169" s="13">
        <v>1000000</v>
      </c>
      <c r="F1169" s="14" t="s">
        <v>723</v>
      </c>
      <c r="G1169" s="14" t="s">
        <v>724</v>
      </c>
      <c r="H1169" s="15" t="s">
        <v>725</v>
      </c>
      <c r="I1169" s="8"/>
      <c r="J1169" s="10"/>
      <c r="AV1169" s="15" t="s">
        <v>181</v>
      </c>
      <c r="AW1169" s="15" t="s">
        <v>182</v>
      </c>
      <c r="AX1169" s="15" t="s">
        <v>2464</v>
      </c>
      <c r="BH1169" s="15" t="s">
        <v>184</v>
      </c>
      <c r="BI1169" s="15" t="s">
        <v>185</v>
      </c>
      <c r="BJ1169" s="15" t="s">
        <v>2351</v>
      </c>
      <c r="BK1169" s="15" t="s">
        <v>2352</v>
      </c>
      <c r="BL1169" s="15" t="s">
        <v>2353</v>
      </c>
      <c r="BM1169" s="15" t="s">
        <v>2354</v>
      </c>
      <c r="BN1169" s="15" t="s">
        <v>2355</v>
      </c>
      <c r="BO1169" s="15" t="s">
        <v>2356</v>
      </c>
      <c r="BR1169" s="15" t="s">
        <v>192</v>
      </c>
      <c r="BS1169" s="15" t="s">
        <v>193</v>
      </c>
      <c r="BT1169" s="15" t="s">
        <v>194</v>
      </c>
      <c r="BU1169" s="15" t="s">
        <v>195</v>
      </c>
      <c r="BV1169" s="15" t="s">
        <v>196</v>
      </c>
      <c r="CA1169" s="15" t="s">
        <v>2357</v>
      </c>
      <c r="CB1169" s="15" t="s">
        <v>78</v>
      </c>
      <c r="CC1169" s="15" t="s">
        <v>197</v>
      </c>
      <c r="CN1169" s="15" t="s">
        <v>198</v>
      </c>
      <c r="CW1169" s="10">
        <v>2</v>
      </c>
      <c r="CX1169" s="15" t="s">
        <v>3566</v>
      </c>
    </row>
    <row r="1170" spans="1:102" s="15" customFormat="1" x14ac:dyDescent="0.3">
      <c r="A1170" s="11" t="s">
        <v>2349</v>
      </c>
      <c r="B1170" s="10" t="s">
        <v>761</v>
      </c>
      <c r="C1170" s="12" t="s">
        <v>975</v>
      </c>
      <c r="D1170" s="10">
        <v>12</v>
      </c>
      <c r="E1170" s="13">
        <v>500000</v>
      </c>
      <c r="F1170" s="14" t="s">
        <v>243</v>
      </c>
      <c r="G1170" s="14" t="s">
        <v>244</v>
      </c>
      <c r="H1170" s="15" t="s">
        <v>270</v>
      </c>
      <c r="I1170" s="8"/>
      <c r="J1170" s="10"/>
      <c r="AV1170" s="15" t="s">
        <v>181</v>
      </c>
      <c r="AW1170" s="15" t="s">
        <v>182</v>
      </c>
      <c r="AX1170" s="15" t="s">
        <v>762</v>
      </c>
      <c r="BH1170" s="15" t="s">
        <v>184</v>
      </c>
      <c r="BI1170" s="15" t="s">
        <v>185</v>
      </c>
      <c r="BJ1170" s="15" t="s">
        <v>2351</v>
      </c>
      <c r="BK1170" s="15" t="s">
        <v>2352</v>
      </c>
      <c r="BL1170" s="15" t="s">
        <v>2353</v>
      </c>
      <c r="BM1170" s="15" t="s">
        <v>2354</v>
      </c>
      <c r="BN1170" s="15" t="s">
        <v>2355</v>
      </c>
      <c r="BO1170" s="15" t="s">
        <v>2356</v>
      </c>
      <c r="BR1170" s="15" t="s">
        <v>192</v>
      </c>
      <c r="BS1170" s="15" t="s">
        <v>193</v>
      </c>
      <c r="BT1170" s="15" t="s">
        <v>194</v>
      </c>
      <c r="BU1170" s="15" t="s">
        <v>195</v>
      </c>
      <c r="BV1170" s="15" t="s">
        <v>196</v>
      </c>
      <c r="BW1170" s="15" t="s">
        <v>272</v>
      </c>
      <c r="CA1170" s="15" t="s">
        <v>2357</v>
      </c>
      <c r="CB1170" s="15" t="s">
        <v>78</v>
      </c>
      <c r="CC1170" s="15">
        <v>1</v>
      </c>
      <c r="CN1170" s="15" t="s">
        <v>273</v>
      </c>
      <c r="CW1170" s="10">
        <v>2</v>
      </c>
      <c r="CX1170" s="15" t="s">
        <v>3567</v>
      </c>
    </row>
    <row r="1171" spans="1:102" s="15" customFormat="1" x14ac:dyDescent="0.3">
      <c r="A1171" s="11" t="s">
        <v>2349</v>
      </c>
      <c r="B1171" s="10" t="s">
        <v>974</v>
      </c>
      <c r="C1171" s="12" t="s">
        <v>975</v>
      </c>
      <c r="D1171" s="10">
        <v>12</v>
      </c>
      <c r="E1171" s="13">
        <v>500000</v>
      </c>
      <c r="F1171" s="14" t="s">
        <v>244</v>
      </c>
      <c r="G1171" s="14" t="s">
        <v>244</v>
      </c>
      <c r="H1171" s="15" t="s">
        <v>270</v>
      </c>
      <c r="I1171" s="8"/>
      <c r="J1171" s="10"/>
      <c r="AV1171" s="15" t="s">
        <v>181</v>
      </c>
      <c r="AW1171" s="15" t="s">
        <v>182</v>
      </c>
      <c r="AX1171" s="15" t="s">
        <v>762</v>
      </c>
      <c r="BH1171" s="15" t="s">
        <v>184</v>
      </c>
      <c r="BI1171" s="15" t="s">
        <v>185</v>
      </c>
      <c r="BJ1171" s="15" t="s">
        <v>2351</v>
      </c>
      <c r="BK1171" s="15" t="s">
        <v>2352</v>
      </c>
      <c r="BL1171" s="15" t="s">
        <v>2353</v>
      </c>
      <c r="BM1171" s="15" t="s">
        <v>2354</v>
      </c>
      <c r="BN1171" s="15" t="s">
        <v>2355</v>
      </c>
      <c r="BO1171" s="15" t="s">
        <v>2356</v>
      </c>
      <c r="BR1171" s="15" t="s">
        <v>192</v>
      </c>
      <c r="BS1171" s="15" t="s">
        <v>193</v>
      </c>
      <c r="BT1171" s="15" t="s">
        <v>194</v>
      </c>
      <c r="BU1171" s="15" t="s">
        <v>195</v>
      </c>
      <c r="BV1171" s="15" t="s">
        <v>196</v>
      </c>
      <c r="BW1171" s="15" t="s">
        <v>272</v>
      </c>
      <c r="CA1171" s="15" t="s">
        <v>2357</v>
      </c>
      <c r="CB1171" s="15" t="s">
        <v>78</v>
      </c>
      <c r="CC1171" s="15">
        <v>1</v>
      </c>
      <c r="CN1171" s="15" t="s">
        <v>273</v>
      </c>
      <c r="CW1171" s="10">
        <v>2</v>
      </c>
      <c r="CX1171" s="15" t="s">
        <v>3568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63BF4-3A24-4F81-9C13-9CC3BD8AB7EA}">
  <sheetPr codeName="Sheet2"/>
  <dimension ref="A2:CX260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F32" sqref="F32"/>
    </sheetView>
  </sheetViews>
  <sheetFormatPr defaultRowHeight="16.5" x14ac:dyDescent="0.3"/>
  <cols>
    <col min="1" max="1" width="15.875" customWidth="1"/>
    <col min="2" max="2" width="10.125" customWidth="1"/>
    <col min="3" max="3" width="54.875" bestFit="1" customWidth="1"/>
    <col min="4" max="4" width="8.625" bestFit="1" customWidth="1"/>
    <col min="5" max="5" width="12.625" bestFit="1" customWidth="1"/>
    <col min="6" max="6" width="15.25" customWidth="1"/>
    <col min="7" max="7" width="16.875" customWidth="1"/>
    <col min="8" max="8" width="19.75" customWidth="1"/>
    <col min="9" max="13" width="10.625" customWidth="1"/>
    <col min="14" max="27" width="0.125" customWidth="1"/>
    <col min="28" max="32" width="10.625" customWidth="1"/>
    <col min="33" max="47" width="0.125" customWidth="1"/>
    <col min="48" max="48" width="19.375" customWidth="1"/>
    <col min="49" max="49" width="20.5" customWidth="1"/>
    <col min="50" max="70" width="10.625" customWidth="1"/>
    <col min="71" max="80" width="5.625" customWidth="1"/>
    <col min="81" max="83" width="10.625" customWidth="1"/>
    <col min="84" max="91" width="5.625" customWidth="1"/>
    <col min="92" max="93" width="10.625" customWidth="1"/>
    <col min="94" max="101" width="5.625" customWidth="1"/>
    <col min="102" max="102" width="61.875" bestFit="1" customWidth="1"/>
  </cols>
  <sheetData>
    <row r="2" spans="1:102" ht="66" x14ac:dyDescent="0.3">
      <c r="A2" s="5" t="s">
        <v>0</v>
      </c>
      <c r="B2" s="6" t="s">
        <v>1</v>
      </c>
      <c r="C2" s="6" t="s">
        <v>2</v>
      </c>
      <c r="D2" s="3" t="s">
        <v>3</v>
      </c>
      <c r="E2" s="1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3" t="s">
        <v>24</v>
      </c>
      <c r="Z2" s="3" t="s">
        <v>25</v>
      </c>
      <c r="AA2" s="3" t="s">
        <v>26</v>
      </c>
      <c r="AB2" s="3" t="s">
        <v>27</v>
      </c>
      <c r="AC2" s="3" t="s">
        <v>28</v>
      </c>
      <c r="AD2" s="3" t="s">
        <v>29</v>
      </c>
      <c r="AE2" s="3" t="s">
        <v>30</v>
      </c>
      <c r="AF2" s="3" t="s">
        <v>31</v>
      </c>
      <c r="AG2" s="3" t="s">
        <v>32</v>
      </c>
      <c r="AH2" s="3" t="s">
        <v>33</v>
      </c>
      <c r="AI2" s="3" t="s">
        <v>34</v>
      </c>
      <c r="AJ2" s="3" t="s">
        <v>35</v>
      </c>
      <c r="AK2" s="3" t="s">
        <v>36</v>
      </c>
      <c r="AL2" s="3" t="s">
        <v>37</v>
      </c>
      <c r="AM2" s="3" t="s">
        <v>38</v>
      </c>
      <c r="AN2" s="3" t="s">
        <v>39</v>
      </c>
      <c r="AO2" s="3" t="s">
        <v>40</v>
      </c>
      <c r="AP2" s="3" t="s">
        <v>41</v>
      </c>
      <c r="AQ2" s="3" t="s">
        <v>42</v>
      </c>
      <c r="AR2" s="3" t="s">
        <v>43</v>
      </c>
      <c r="AS2" s="3" t="s">
        <v>44</v>
      </c>
      <c r="AT2" s="3" t="s">
        <v>45</v>
      </c>
      <c r="AU2" s="3" t="s">
        <v>46</v>
      </c>
      <c r="AV2" s="3" t="s">
        <v>47</v>
      </c>
      <c r="AW2" s="3" t="s">
        <v>48</v>
      </c>
      <c r="AX2" s="3" t="s">
        <v>49</v>
      </c>
      <c r="AY2" s="3" t="s">
        <v>50</v>
      </c>
      <c r="AZ2" s="3" t="s">
        <v>51</v>
      </c>
      <c r="BA2" s="3" t="s">
        <v>52</v>
      </c>
      <c r="BB2" s="3" t="s">
        <v>53</v>
      </c>
      <c r="BC2" s="3" t="s">
        <v>54</v>
      </c>
      <c r="BD2" s="3" t="s">
        <v>55</v>
      </c>
      <c r="BE2" s="3" t="s">
        <v>56</v>
      </c>
      <c r="BF2" s="3" t="s">
        <v>57</v>
      </c>
      <c r="BG2" s="3" t="s">
        <v>58</v>
      </c>
      <c r="BH2" s="4" t="s">
        <v>59</v>
      </c>
      <c r="BI2" s="4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4" t="s">
        <v>69</v>
      </c>
      <c r="BS2" s="4" t="s">
        <v>70</v>
      </c>
      <c r="BT2" s="4" t="s">
        <v>71</v>
      </c>
      <c r="BU2" s="4" t="s">
        <v>72</v>
      </c>
      <c r="BV2" s="4" t="s">
        <v>73</v>
      </c>
      <c r="BW2" s="4" t="s">
        <v>74</v>
      </c>
      <c r="BX2" s="4" t="s">
        <v>75</v>
      </c>
      <c r="BY2" s="4" t="s">
        <v>76</v>
      </c>
      <c r="BZ2" s="4" t="s">
        <v>77</v>
      </c>
      <c r="CA2" s="4" t="s">
        <v>78</v>
      </c>
      <c r="CB2" s="3" t="s">
        <v>79</v>
      </c>
      <c r="CC2" s="3" t="s">
        <v>80</v>
      </c>
      <c r="CD2" s="3" t="s">
        <v>81</v>
      </c>
      <c r="CE2" s="3" t="s">
        <v>82</v>
      </c>
      <c r="CF2" s="3" t="s">
        <v>83</v>
      </c>
      <c r="CG2" s="3" t="s">
        <v>84</v>
      </c>
      <c r="CH2" s="3" t="s">
        <v>85</v>
      </c>
      <c r="CI2" s="3" t="s">
        <v>86</v>
      </c>
      <c r="CJ2" s="3" t="s">
        <v>87</v>
      </c>
      <c r="CK2" s="3" t="s">
        <v>88</v>
      </c>
      <c r="CL2" s="3" t="s">
        <v>89</v>
      </c>
      <c r="CM2" s="3" t="s">
        <v>90</v>
      </c>
      <c r="CN2" s="3" t="s">
        <v>91</v>
      </c>
      <c r="CO2" s="3" t="s">
        <v>92</v>
      </c>
      <c r="CP2" s="3" t="s">
        <v>93</v>
      </c>
      <c r="CQ2" s="3" t="s">
        <v>94</v>
      </c>
      <c r="CR2" s="3" t="s">
        <v>95</v>
      </c>
      <c r="CS2" s="3" t="s">
        <v>96</v>
      </c>
      <c r="CT2" s="3" t="s">
        <v>97</v>
      </c>
      <c r="CU2" s="3" t="s">
        <v>98</v>
      </c>
      <c r="CV2" s="3" t="s">
        <v>99</v>
      </c>
      <c r="CW2" s="3" t="s">
        <v>100</v>
      </c>
      <c r="CX2" s="3" t="s">
        <v>101</v>
      </c>
    </row>
    <row r="3" spans="1:102" x14ac:dyDescent="0.3">
      <c r="C3" t="s">
        <v>3569</v>
      </c>
    </row>
    <row r="4" spans="1:102" x14ac:dyDescent="0.3">
      <c r="C4" t="s">
        <v>3570</v>
      </c>
    </row>
    <row r="5" spans="1:102" x14ac:dyDescent="0.3">
      <c r="C5" t="s">
        <v>3571</v>
      </c>
    </row>
    <row r="6" spans="1:102" x14ac:dyDescent="0.3">
      <c r="C6" t="s">
        <v>3572</v>
      </c>
      <c r="D6">
        <v>12</v>
      </c>
      <c r="E6">
        <v>10000</v>
      </c>
      <c r="F6" t="s">
        <v>4014</v>
      </c>
      <c r="G6" t="s">
        <v>4015</v>
      </c>
      <c r="H6" t="s">
        <v>4016</v>
      </c>
      <c r="AV6" t="s">
        <v>4204</v>
      </c>
      <c r="AW6" t="s">
        <v>4205</v>
      </c>
      <c r="AX6" t="s">
        <v>4206</v>
      </c>
      <c r="BH6" t="s">
        <v>4018</v>
      </c>
      <c r="BI6" t="s">
        <v>4019</v>
      </c>
      <c r="BJ6" t="s">
        <v>4020</v>
      </c>
      <c r="BK6" t="s">
        <v>4021</v>
      </c>
      <c r="BL6" t="s">
        <v>4022</v>
      </c>
      <c r="BM6" t="s">
        <v>4023</v>
      </c>
      <c r="BN6" t="s">
        <v>4024</v>
      </c>
      <c r="BO6" t="s">
        <v>4025</v>
      </c>
      <c r="BR6" t="s">
        <v>4026</v>
      </c>
      <c r="BS6" t="s">
        <v>4027</v>
      </c>
      <c r="BT6" t="s">
        <v>4028</v>
      </c>
      <c r="BU6" t="s">
        <v>4029</v>
      </c>
      <c r="BV6" t="s">
        <v>4030</v>
      </c>
      <c r="BW6" t="s">
        <v>4207</v>
      </c>
      <c r="CB6" t="s">
        <v>4208</v>
      </c>
      <c r="CC6">
        <v>1</v>
      </c>
      <c r="CN6" t="s">
        <v>4032</v>
      </c>
      <c r="CW6">
        <v>1</v>
      </c>
      <c r="CX6" t="s">
        <v>4209</v>
      </c>
    </row>
    <row r="7" spans="1:102" x14ac:dyDescent="0.3">
      <c r="C7" t="s">
        <v>3573</v>
      </c>
    </row>
    <row r="8" spans="1:102" x14ac:dyDescent="0.3">
      <c r="C8" t="s">
        <v>407</v>
      </c>
      <c r="D8">
        <v>12</v>
      </c>
      <c r="E8">
        <v>100000</v>
      </c>
      <c r="F8" t="s">
        <v>4014</v>
      </c>
      <c r="G8" t="s">
        <v>4015</v>
      </c>
      <c r="H8" t="s">
        <v>4016</v>
      </c>
      <c r="AV8" t="s">
        <v>4204</v>
      </c>
      <c r="AW8" t="s">
        <v>4205</v>
      </c>
      <c r="AX8" t="s">
        <v>4017</v>
      </c>
      <c r="BH8" t="s">
        <v>4018</v>
      </c>
      <c r="BI8" t="s">
        <v>4019</v>
      </c>
      <c r="BJ8" t="s">
        <v>4020</v>
      </c>
      <c r="BK8" t="s">
        <v>4021</v>
      </c>
      <c r="BL8" t="s">
        <v>4022</v>
      </c>
      <c r="BM8" t="s">
        <v>4023</v>
      </c>
      <c r="BN8" t="s">
        <v>4024</v>
      </c>
      <c r="BO8" t="s">
        <v>4025</v>
      </c>
      <c r="BR8" t="s">
        <v>4026</v>
      </c>
      <c r="BS8" t="s">
        <v>4027</v>
      </c>
      <c r="BT8" t="s">
        <v>4028</v>
      </c>
      <c r="BU8" t="s">
        <v>4029</v>
      </c>
      <c r="BV8" t="s">
        <v>4030</v>
      </c>
      <c r="BW8" t="s">
        <v>4031</v>
      </c>
      <c r="CB8" t="s">
        <v>4208</v>
      </c>
      <c r="CC8">
        <v>1</v>
      </c>
      <c r="CN8" t="s">
        <v>4032</v>
      </c>
      <c r="CW8">
        <v>2</v>
      </c>
      <c r="CX8" t="s">
        <v>4033</v>
      </c>
    </row>
    <row r="9" spans="1:102" x14ac:dyDescent="0.3">
      <c r="C9" t="s">
        <v>3574</v>
      </c>
    </row>
    <row r="10" spans="1:102" x14ac:dyDescent="0.3">
      <c r="C10" t="s">
        <v>3575</v>
      </c>
    </row>
    <row r="11" spans="1:102" x14ac:dyDescent="0.3">
      <c r="C11" t="s">
        <v>3576</v>
      </c>
    </row>
    <row r="12" spans="1:102" x14ac:dyDescent="0.3">
      <c r="C12" t="s">
        <v>3577</v>
      </c>
      <c r="D12">
        <v>12</v>
      </c>
      <c r="E12">
        <v>100000</v>
      </c>
      <c r="F12" t="s">
        <v>4014</v>
      </c>
      <c r="G12" t="s">
        <v>4015</v>
      </c>
      <c r="H12" t="s">
        <v>4016</v>
      </c>
      <c r="AV12" t="s">
        <v>4204</v>
      </c>
      <c r="AW12" t="s">
        <v>4205</v>
      </c>
      <c r="AX12" t="s">
        <v>4210</v>
      </c>
      <c r="BH12" t="s">
        <v>4018</v>
      </c>
      <c r="BI12" t="s">
        <v>4019</v>
      </c>
      <c r="BJ12" t="s">
        <v>4020</v>
      </c>
      <c r="BK12" t="s">
        <v>4021</v>
      </c>
      <c r="BL12" t="s">
        <v>4022</v>
      </c>
      <c r="BM12" t="s">
        <v>4023</v>
      </c>
      <c r="BN12" t="s">
        <v>4024</v>
      </c>
      <c r="BO12" t="s">
        <v>4025</v>
      </c>
      <c r="BR12" t="s">
        <v>4026</v>
      </c>
      <c r="BS12" t="s">
        <v>4027</v>
      </c>
      <c r="BT12" t="s">
        <v>4028</v>
      </c>
      <c r="BU12" t="s">
        <v>4029</v>
      </c>
      <c r="BV12" t="s">
        <v>4030</v>
      </c>
      <c r="BW12" t="s">
        <v>4211</v>
      </c>
      <c r="CB12" t="s">
        <v>4208</v>
      </c>
      <c r="CC12">
        <v>1</v>
      </c>
      <c r="CN12" t="s">
        <v>4032</v>
      </c>
      <c r="CW12">
        <v>2</v>
      </c>
      <c r="CX12" t="s">
        <v>4212</v>
      </c>
    </row>
    <row r="13" spans="1:102" x14ac:dyDescent="0.3">
      <c r="C13" t="s">
        <v>3578</v>
      </c>
    </row>
    <row r="14" spans="1:102" x14ac:dyDescent="0.3">
      <c r="C14" t="s">
        <v>3579</v>
      </c>
      <c r="D14">
        <v>12</v>
      </c>
      <c r="E14">
        <v>100000</v>
      </c>
      <c r="F14" t="s">
        <v>4014</v>
      </c>
      <c r="G14" t="s">
        <v>4015</v>
      </c>
      <c r="H14" t="s">
        <v>4016</v>
      </c>
      <c r="AV14" t="s">
        <v>4204</v>
      </c>
      <c r="AW14" t="s">
        <v>4205</v>
      </c>
      <c r="AX14" t="s">
        <v>4213</v>
      </c>
      <c r="BH14" t="s">
        <v>4018</v>
      </c>
      <c r="BI14" t="s">
        <v>4019</v>
      </c>
      <c r="BJ14" t="s">
        <v>4020</v>
      </c>
      <c r="BK14" t="s">
        <v>4021</v>
      </c>
      <c r="BL14" t="s">
        <v>4022</v>
      </c>
      <c r="BM14" t="s">
        <v>4023</v>
      </c>
      <c r="BN14" t="s">
        <v>4024</v>
      </c>
      <c r="BO14" t="s">
        <v>4025</v>
      </c>
      <c r="BR14" t="s">
        <v>4026</v>
      </c>
      <c r="BS14" t="s">
        <v>4027</v>
      </c>
      <c r="BT14" t="s">
        <v>4028</v>
      </c>
      <c r="BU14" t="s">
        <v>4029</v>
      </c>
      <c r="BV14" t="s">
        <v>4030</v>
      </c>
      <c r="BW14" t="s">
        <v>4211</v>
      </c>
      <c r="CB14" t="s">
        <v>4208</v>
      </c>
      <c r="CC14">
        <v>1</v>
      </c>
      <c r="CN14" t="s">
        <v>4032</v>
      </c>
      <c r="CW14">
        <v>2</v>
      </c>
      <c r="CX14" t="s">
        <v>4214</v>
      </c>
    </row>
    <row r="15" spans="1:102" x14ac:dyDescent="0.3">
      <c r="C15" t="s">
        <v>3580</v>
      </c>
    </row>
    <row r="16" spans="1:102" x14ac:dyDescent="0.3">
      <c r="C16" t="s">
        <v>3581</v>
      </c>
      <c r="D16">
        <v>12</v>
      </c>
      <c r="E16">
        <v>50000</v>
      </c>
      <c r="F16" t="s">
        <v>4014</v>
      </c>
      <c r="G16" t="s">
        <v>4015</v>
      </c>
      <c r="H16" t="s">
        <v>4016</v>
      </c>
      <c r="AV16" t="s">
        <v>4204</v>
      </c>
      <c r="AW16" t="s">
        <v>4205</v>
      </c>
      <c r="AX16" t="s">
        <v>4215</v>
      </c>
      <c r="BH16" t="s">
        <v>4018</v>
      </c>
      <c r="BI16" t="s">
        <v>4019</v>
      </c>
      <c r="BJ16" t="s">
        <v>4020</v>
      </c>
      <c r="BK16" t="s">
        <v>4021</v>
      </c>
      <c r="BL16" t="s">
        <v>4022</v>
      </c>
      <c r="BM16" t="s">
        <v>4023</v>
      </c>
      <c r="BN16" t="s">
        <v>4024</v>
      </c>
      <c r="BO16" t="s">
        <v>4025</v>
      </c>
      <c r="BR16" t="s">
        <v>4026</v>
      </c>
      <c r="BS16" t="s">
        <v>4027</v>
      </c>
      <c r="BT16" t="s">
        <v>4028</v>
      </c>
      <c r="BU16" t="s">
        <v>4029</v>
      </c>
      <c r="BV16" t="s">
        <v>4030</v>
      </c>
      <c r="BW16" t="s">
        <v>4216</v>
      </c>
      <c r="CB16" t="s">
        <v>4208</v>
      </c>
      <c r="CC16">
        <v>1</v>
      </c>
      <c r="CN16" t="s">
        <v>4032</v>
      </c>
      <c r="CW16">
        <v>2</v>
      </c>
      <c r="CX16" t="s">
        <v>4217</v>
      </c>
    </row>
    <row r="17" spans="3:102" x14ac:dyDescent="0.3">
      <c r="C17" t="s">
        <v>3582</v>
      </c>
    </row>
    <row r="18" spans="3:102" x14ac:dyDescent="0.3">
      <c r="C18" t="s">
        <v>698</v>
      </c>
      <c r="D18">
        <v>12</v>
      </c>
      <c r="E18">
        <v>10000</v>
      </c>
      <c r="F18" t="s">
        <v>4014</v>
      </c>
      <c r="G18" t="s">
        <v>4015</v>
      </c>
      <c r="H18" t="s">
        <v>4034</v>
      </c>
      <c r="AV18" t="s">
        <v>4204</v>
      </c>
      <c r="AW18" t="s">
        <v>4205</v>
      </c>
      <c r="AX18" t="s">
        <v>4035</v>
      </c>
      <c r="BH18" t="s">
        <v>4018</v>
      </c>
      <c r="BI18" t="s">
        <v>4019</v>
      </c>
      <c r="BJ18" t="s">
        <v>4020</v>
      </c>
      <c r="BK18" t="s">
        <v>4021</v>
      </c>
      <c r="BL18" t="s">
        <v>4022</v>
      </c>
      <c r="BM18" t="s">
        <v>4023</v>
      </c>
      <c r="BN18" t="s">
        <v>4024</v>
      </c>
      <c r="BO18" t="s">
        <v>4025</v>
      </c>
      <c r="BR18" t="s">
        <v>4026</v>
      </c>
      <c r="BS18" t="s">
        <v>4027</v>
      </c>
      <c r="BT18" t="s">
        <v>4028</v>
      </c>
      <c r="BU18" t="s">
        <v>4029</v>
      </c>
      <c r="BV18" t="s">
        <v>4030</v>
      </c>
      <c r="BW18" t="s">
        <v>4036</v>
      </c>
      <c r="CB18" t="s">
        <v>4208</v>
      </c>
      <c r="CC18">
        <v>1</v>
      </c>
      <c r="CN18" t="s">
        <v>4032</v>
      </c>
      <c r="CW18">
        <v>2</v>
      </c>
      <c r="CX18" t="s">
        <v>4037</v>
      </c>
    </row>
    <row r="19" spans="3:102" x14ac:dyDescent="0.3">
      <c r="C19" t="s">
        <v>3583</v>
      </c>
    </row>
    <row r="20" spans="3:102" x14ac:dyDescent="0.3">
      <c r="C20" t="s">
        <v>3584</v>
      </c>
      <c r="D20">
        <v>12</v>
      </c>
      <c r="E20">
        <v>10000</v>
      </c>
      <c r="F20" t="s">
        <v>4014</v>
      </c>
      <c r="G20" t="s">
        <v>4015</v>
      </c>
      <c r="H20" t="s">
        <v>4034</v>
      </c>
      <c r="AV20" t="s">
        <v>4204</v>
      </c>
      <c r="AW20" t="s">
        <v>4205</v>
      </c>
      <c r="AX20" t="s">
        <v>4218</v>
      </c>
      <c r="BH20" t="s">
        <v>4018</v>
      </c>
      <c r="BI20" t="s">
        <v>4019</v>
      </c>
      <c r="BJ20" t="s">
        <v>4020</v>
      </c>
      <c r="BK20" t="s">
        <v>4021</v>
      </c>
      <c r="BL20" t="s">
        <v>4022</v>
      </c>
      <c r="BM20" t="s">
        <v>4023</v>
      </c>
      <c r="BN20" t="s">
        <v>4024</v>
      </c>
      <c r="BO20" t="s">
        <v>4025</v>
      </c>
      <c r="BR20" t="s">
        <v>4026</v>
      </c>
      <c r="BS20" t="s">
        <v>4027</v>
      </c>
      <c r="BT20" t="s">
        <v>4028</v>
      </c>
      <c r="BU20" t="s">
        <v>4029</v>
      </c>
      <c r="BV20" t="s">
        <v>4030</v>
      </c>
      <c r="BW20" t="s">
        <v>4036</v>
      </c>
      <c r="CB20" t="s">
        <v>4208</v>
      </c>
      <c r="CC20">
        <v>1</v>
      </c>
      <c r="CN20" t="s">
        <v>4032</v>
      </c>
      <c r="CW20">
        <v>2</v>
      </c>
      <c r="CX20" t="s">
        <v>4219</v>
      </c>
    </row>
    <row r="21" spans="3:102" x14ac:dyDescent="0.3">
      <c r="C21" t="s">
        <v>3585</v>
      </c>
    </row>
    <row r="22" spans="3:102" x14ac:dyDescent="0.3">
      <c r="C22" t="s">
        <v>309</v>
      </c>
      <c r="D22">
        <v>12</v>
      </c>
      <c r="E22">
        <v>100000</v>
      </c>
      <c r="F22" t="s">
        <v>4014</v>
      </c>
      <c r="G22" t="s">
        <v>4015</v>
      </c>
      <c r="H22" t="s">
        <v>4034</v>
      </c>
      <c r="AV22" t="s">
        <v>4204</v>
      </c>
      <c r="AW22" t="s">
        <v>4205</v>
      </c>
      <c r="AX22" t="s">
        <v>4038</v>
      </c>
      <c r="BH22" t="s">
        <v>4018</v>
      </c>
      <c r="BI22" t="s">
        <v>4019</v>
      </c>
      <c r="BJ22" t="s">
        <v>4020</v>
      </c>
      <c r="BK22" t="s">
        <v>4021</v>
      </c>
      <c r="BL22" t="s">
        <v>4022</v>
      </c>
      <c r="BM22" t="s">
        <v>4023</v>
      </c>
      <c r="BN22" t="s">
        <v>4024</v>
      </c>
      <c r="BO22" t="s">
        <v>4025</v>
      </c>
      <c r="BR22" t="s">
        <v>4026</v>
      </c>
      <c r="BS22" t="s">
        <v>4027</v>
      </c>
      <c r="BT22" t="s">
        <v>4028</v>
      </c>
      <c r="BU22" t="s">
        <v>4029</v>
      </c>
      <c r="BV22" t="s">
        <v>4030</v>
      </c>
      <c r="BW22" t="s">
        <v>4039</v>
      </c>
      <c r="CB22" t="s">
        <v>4208</v>
      </c>
      <c r="CC22">
        <v>1</v>
      </c>
      <c r="CN22" t="s">
        <v>4032</v>
      </c>
      <c r="CW22">
        <v>2</v>
      </c>
      <c r="CX22" t="s">
        <v>4040</v>
      </c>
    </row>
    <row r="23" spans="3:102" x14ac:dyDescent="0.3">
      <c r="C23" t="s">
        <v>3586</v>
      </c>
    </row>
    <row r="24" spans="3:102" x14ac:dyDescent="0.3">
      <c r="C24" t="s">
        <v>316</v>
      </c>
      <c r="D24">
        <v>12</v>
      </c>
      <c r="E24">
        <v>1000000</v>
      </c>
      <c r="F24" t="s">
        <v>4041</v>
      </c>
      <c r="G24" t="s">
        <v>4042</v>
      </c>
      <c r="H24" t="s">
        <v>4043</v>
      </c>
      <c r="AV24" t="s">
        <v>4220</v>
      </c>
      <c r="AW24" t="s">
        <v>4221</v>
      </c>
      <c r="AX24" t="s">
        <v>4025</v>
      </c>
      <c r="BH24" t="s">
        <v>4018</v>
      </c>
      <c r="BI24" t="s">
        <v>4019</v>
      </c>
      <c r="BJ24" t="s">
        <v>4020</v>
      </c>
      <c r="BK24" t="s">
        <v>4021</v>
      </c>
      <c r="BL24" t="s">
        <v>4022</v>
      </c>
      <c r="BM24" t="s">
        <v>4023</v>
      </c>
      <c r="BN24" t="s">
        <v>4024</v>
      </c>
      <c r="BO24" t="s">
        <v>4025</v>
      </c>
      <c r="BR24" t="s">
        <v>4026</v>
      </c>
      <c r="BS24" t="s">
        <v>4027</v>
      </c>
      <c r="BT24" t="s">
        <v>4028</v>
      </c>
      <c r="BU24" t="s">
        <v>4029</v>
      </c>
      <c r="BV24" t="s">
        <v>4030</v>
      </c>
      <c r="BW24" t="s">
        <v>4027</v>
      </c>
      <c r="CB24" t="s">
        <v>4208</v>
      </c>
      <c r="CC24">
        <v>1</v>
      </c>
      <c r="CN24" t="s">
        <v>4044</v>
      </c>
      <c r="CW24">
        <v>2</v>
      </c>
      <c r="CX24" t="s">
        <v>4045</v>
      </c>
    </row>
    <row r="25" spans="3:102" x14ac:dyDescent="0.3">
      <c r="C25" t="s">
        <v>3587</v>
      </c>
    </row>
    <row r="26" spans="3:102" x14ac:dyDescent="0.3">
      <c r="C26" t="s">
        <v>3588</v>
      </c>
      <c r="D26">
        <v>12</v>
      </c>
      <c r="E26">
        <v>10000</v>
      </c>
      <c r="F26" t="s">
        <v>4014</v>
      </c>
      <c r="G26" t="s">
        <v>4015</v>
      </c>
      <c r="H26" t="s">
        <v>4016</v>
      </c>
      <c r="AV26" t="s">
        <v>4204</v>
      </c>
      <c r="AW26" t="s">
        <v>4205</v>
      </c>
      <c r="AX26" t="s">
        <v>4222</v>
      </c>
      <c r="BH26" t="s">
        <v>4018</v>
      </c>
      <c r="BI26" t="s">
        <v>4019</v>
      </c>
      <c r="BJ26" t="s">
        <v>4020</v>
      </c>
      <c r="BK26" t="s">
        <v>4021</v>
      </c>
      <c r="BL26" t="s">
        <v>4022</v>
      </c>
      <c r="BM26" t="s">
        <v>4023</v>
      </c>
      <c r="BN26" t="s">
        <v>4024</v>
      </c>
      <c r="BO26" t="s">
        <v>4025</v>
      </c>
      <c r="BR26" t="s">
        <v>4026</v>
      </c>
      <c r="BS26" t="s">
        <v>4027</v>
      </c>
      <c r="BT26" t="s">
        <v>4028</v>
      </c>
      <c r="BU26" t="s">
        <v>4029</v>
      </c>
      <c r="BV26" t="s">
        <v>4030</v>
      </c>
      <c r="BW26" t="s">
        <v>4207</v>
      </c>
      <c r="CB26" t="s">
        <v>4208</v>
      </c>
      <c r="CC26">
        <v>1</v>
      </c>
      <c r="CN26" t="s">
        <v>4032</v>
      </c>
      <c r="CW26">
        <v>2</v>
      </c>
      <c r="CX26" t="s">
        <v>4223</v>
      </c>
    </row>
    <row r="27" spans="3:102" x14ac:dyDescent="0.3">
      <c r="C27" t="s">
        <v>3589</v>
      </c>
    </row>
    <row r="28" spans="3:102" x14ac:dyDescent="0.3">
      <c r="C28" t="s">
        <v>950</v>
      </c>
      <c r="D28">
        <v>12</v>
      </c>
      <c r="E28">
        <v>1000000</v>
      </c>
      <c r="F28" t="s">
        <v>4046</v>
      </c>
      <c r="G28" t="s">
        <v>4042</v>
      </c>
      <c r="H28" t="s">
        <v>4047</v>
      </c>
      <c r="AV28" t="s">
        <v>4220</v>
      </c>
      <c r="AW28" t="s">
        <v>4221</v>
      </c>
      <c r="AX28" t="s">
        <v>4048</v>
      </c>
      <c r="BH28" t="s">
        <v>4018</v>
      </c>
      <c r="BI28" t="s">
        <v>4019</v>
      </c>
      <c r="BJ28" t="s">
        <v>4020</v>
      </c>
      <c r="BK28" t="s">
        <v>4021</v>
      </c>
      <c r="BL28" t="s">
        <v>4022</v>
      </c>
      <c r="BM28" t="s">
        <v>4023</v>
      </c>
      <c r="BN28" t="s">
        <v>4024</v>
      </c>
      <c r="BO28" t="s">
        <v>4025</v>
      </c>
      <c r="BR28" t="s">
        <v>4026</v>
      </c>
      <c r="BS28" t="s">
        <v>4027</v>
      </c>
      <c r="BT28" t="s">
        <v>4028</v>
      </c>
      <c r="BU28" t="s">
        <v>4029</v>
      </c>
      <c r="BV28" t="s">
        <v>4030</v>
      </c>
      <c r="BW28" t="s">
        <v>4049</v>
      </c>
      <c r="CB28" t="s">
        <v>4208</v>
      </c>
      <c r="CC28">
        <v>1</v>
      </c>
      <c r="CN28" t="s">
        <v>4050</v>
      </c>
      <c r="CW28">
        <v>2</v>
      </c>
      <c r="CX28" t="s">
        <v>4051</v>
      </c>
    </row>
    <row r="29" spans="3:102" x14ac:dyDescent="0.3">
      <c r="C29" t="s">
        <v>3590</v>
      </c>
    </row>
    <row r="30" spans="3:102" x14ac:dyDescent="0.3">
      <c r="C30" t="s">
        <v>953</v>
      </c>
      <c r="D30">
        <v>12</v>
      </c>
      <c r="E30">
        <v>1000000</v>
      </c>
      <c r="F30" t="s">
        <v>4046</v>
      </c>
      <c r="G30" t="s">
        <v>4042</v>
      </c>
      <c r="H30" t="s">
        <v>4047</v>
      </c>
      <c r="AV30" t="s">
        <v>4220</v>
      </c>
      <c r="AW30" t="s">
        <v>4221</v>
      </c>
      <c r="AX30" t="s">
        <v>4052</v>
      </c>
      <c r="BH30" t="s">
        <v>4018</v>
      </c>
      <c r="BI30" t="s">
        <v>4019</v>
      </c>
      <c r="BJ30" t="s">
        <v>4020</v>
      </c>
      <c r="BK30" t="s">
        <v>4021</v>
      </c>
      <c r="BL30" t="s">
        <v>4022</v>
      </c>
      <c r="BM30" t="s">
        <v>4023</v>
      </c>
      <c r="BN30" t="s">
        <v>4024</v>
      </c>
      <c r="BO30" t="s">
        <v>4025</v>
      </c>
      <c r="BR30" t="s">
        <v>4026</v>
      </c>
      <c r="BS30" t="s">
        <v>4027</v>
      </c>
      <c r="BT30" t="s">
        <v>4028</v>
      </c>
      <c r="BU30" t="s">
        <v>4029</v>
      </c>
      <c r="BV30" t="s">
        <v>4030</v>
      </c>
      <c r="BW30" t="s">
        <v>4049</v>
      </c>
      <c r="CB30" t="s">
        <v>4208</v>
      </c>
      <c r="CC30">
        <v>1</v>
      </c>
      <c r="CN30" t="s">
        <v>4050</v>
      </c>
      <c r="CW30">
        <v>2</v>
      </c>
      <c r="CX30" t="s">
        <v>4053</v>
      </c>
    </row>
    <row r="31" spans="3:102" x14ac:dyDescent="0.3">
      <c r="C31" t="s">
        <v>3591</v>
      </c>
    </row>
    <row r="32" spans="3:102" x14ac:dyDescent="0.3">
      <c r="C32" t="s">
        <v>2055</v>
      </c>
      <c r="D32">
        <v>12</v>
      </c>
      <c r="E32">
        <v>1000000</v>
      </c>
      <c r="F32" t="s">
        <v>4054</v>
      </c>
      <c r="G32" t="s">
        <v>4055</v>
      </c>
      <c r="H32" t="s">
        <v>4056</v>
      </c>
      <c r="AB32" t="s">
        <v>4057</v>
      </c>
      <c r="AV32" t="s">
        <v>4224</v>
      </c>
      <c r="AW32" t="s">
        <v>4225</v>
      </c>
      <c r="AX32" t="s">
        <v>4058</v>
      </c>
      <c r="AY32" t="s">
        <v>4059</v>
      </c>
      <c r="AZ32" t="s">
        <v>4060</v>
      </c>
      <c r="BA32" t="s">
        <v>4061</v>
      </c>
      <c r="BH32" t="s">
        <v>4018</v>
      </c>
      <c r="BI32" t="s">
        <v>4019</v>
      </c>
      <c r="BJ32" t="s">
        <v>4020</v>
      </c>
      <c r="BK32" t="s">
        <v>4021</v>
      </c>
      <c r="BL32" t="s">
        <v>4022</v>
      </c>
      <c r="BM32" t="s">
        <v>4023</v>
      </c>
      <c r="BN32" t="s">
        <v>4024</v>
      </c>
      <c r="BO32" t="s">
        <v>4025</v>
      </c>
      <c r="BR32" t="s">
        <v>4026</v>
      </c>
      <c r="BS32" t="s">
        <v>4027</v>
      </c>
      <c r="BT32" t="s">
        <v>4028</v>
      </c>
      <c r="BU32" t="s">
        <v>4029</v>
      </c>
      <c r="BV32" t="s">
        <v>4030</v>
      </c>
      <c r="CB32" t="s">
        <v>4208</v>
      </c>
      <c r="CC32">
        <v>1</v>
      </c>
      <c r="CN32" t="s">
        <v>4062</v>
      </c>
      <c r="CW32">
        <v>2</v>
      </c>
      <c r="CX32" t="s">
        <v>4063</v>
      </c>
    </row>
    <row r="33" spans="3:102" x14ac:dyDescent="0.3">
      <c r="C33" t="s">
        <v>3592</v>
      </c>
    </row>
    <row r="34" spans="3:102" x14ac:dyDescent="0.3">
      <c r="C34" t="s">
        <v>2037</v>
      </c>
      <c r="D34">
        <v>12</v>
      </c>
      <c r="E34">
        <v>1000000</v>
      </c>
      <c r="F34" t="s">
        <v>4064</v>
      </c>
      <c r="G34" t="s">
        <v>4065</v>
      </c>
      <c r="H34" t="s">
        <v>4066</v>
      </c>
      <c r="AB34" t="s">
        <v>4067</v>
      </c>
      <c r="AV34" t="s">
        <v>4226</v>
      </c>
      <c r="AW34" t="s">
        <v>4227</v>
      </c>
      <c r="AX34" t="s">
        <v>4058</v>
      </c>
      <c r="AY34" t="s">
        <v>4059</v>
      </c>
      <c r="AZ34" t="s">
        <v>4060</v>
      </c>
      <c r="BA34" t="s">
        <v>4061</v>
      </c>
      <c r="BH34" t="s">
        <v>4018</v>
      </c>
      <c r="BI34" t="s">
        <v>4019</v>
      </c>
      <c r="BJ34" t="s">
        <v>4020</v>
      </c>
      <c r="BK34" t="s">
        <v>4021</v>
      </c>
      <c r="BL34" t="s">
        <v>4022</v>
      </c>
      <c r="BM34" t="s">
        <v>4023</v>
      </c>
      <c r="BN34" t="s">
        <v>4024</v>
      </c>
      <c r="BO34" t="s">
        <v>4025</v>
      </c>
      <c r="BR34" t="s">
        <v>4026</v>
      </c>
      <c r="BS34" t="s">
        <v>4027</v>
      </c>
      <c r="BT34" t="s">
        <v>4028</v>
      </c>
      <c r="BU34" t="s">
        <v>4029</v>
      </c>
      <c r="BV34" t="s">
        <v>4030</v>
      </c>
      <c r="CB34" t="s">
        <v>4208</v>
      </c>
      <c r="CC34">
        <v>1</v>
      </c>
      <c r="CN34" t="s">
        <v>4068</v>
      </c>
      <c r="CW34">
        <v>2</v>
      </c>
      <c r="CX34" t="s">
        <v>4069</v>
      </c>
    </row>
    <row r="35" spans="3:102" x14ac:dyDescent="0.3">
      <c r="C35" t="s">
        <v>3593</v>
      </c>
    </row>
    <row r="36" spans="3:102" x14ac:dyDescent="0.3">
      <c r="C36" t="s">
        <v>2064</v>
      </c>
      <c r="D36">
        <v>12</v>
      </c>
      <c r="E36">
        <v>1000000</v>
      </c>
      <c r="F36" t="s">
        <v>4070</v>
      </c>
      <c r="G36" t="s">
        <v>4071</v>
      </c>
      <c r="H36" t="s">
        <v>4072</v>
      </c>
      <c r="AB36" t="s">
        <v>4073</v>
      </c>
      <c r="AV36" t="s">
        <v>4228</v>
      </c>
      <c r="AW36" t="s">
        <v>4229</v>
      </c>
      <c r="AX36" t="s">
        <v>4058</v>
      </c>
      <c r="AY36" t="s">
        <v>4059</v>
      </c>
      <c r="AZ36" t="s">
        <v>4060</v>
      </c>
      <c r="BA36" t="s">
        <v>4061</v>
      </c>
      <c r="BH36" t="s">
        <v>4018</v>
      </c>
      <c r="BI36" t="s">
        <v>4019</v>
      </c>
      <c r="BJ36" t="s">
        <v>4020</v>
      </c>
      <c r="BK36" t="s">
        <v>4021</v>
      </c>
      <c r="BL36" t="s">
        <v>4022</v>
      </c>
      <c r="BM36" t="s">
        <v>4023</v>
      </c>
      <c r="BN36" t="s">
        <v>4024</v>
      </c>
      <c r="BO36" t="s">
        <v>4025</v>
      </c>
      <c r="BR36" t="s">
        <v>4026</v>
      </c>
      <c r="BS36" t="s">
        <v>4027</v>
      </c>
      <c r="BT36" t="s">
        <v>4028</v>
      </c>
      <c r="BU36" t="s">
        <v>4029</v>
      </c>
      <c r="BV36" t="s">
        <v>4030</v>
      </c>
      <c r="CB36" t="s">
        <v>4208</v>
      </c>
      <c r="CC36">
        <v>1</v>
      </c>
      <c r="CN36" t="s">
        <v>4032</v>
      </c>
      <c r="CW36">
        <v>2</v>
      </c>
      <c r="CX36" t="s">
        <v>4074</v>
      </c>
    </row>
    <row r="37" spans="3:102" x14ac:dyDescent="0.3">
      <c r="C37" t="s">
        <v>3594</v>
      </c>
    </row>
    <row r="38" spans="3:102" x14ac:dyDescent="0.3">
      <c r="C38" t="s">
        <v>2046</v>
      </c>
      <c r="D38">
        <v>12</v>
      </c>
      <c r="E38">
        <v>1000000</v>
      </c>
      <c r="F38" t="s">
        <v>4075</v>
      </c>
      <c r="G38" t="s">
        <v>4076</v>
      </c>
      <c r="H38" t="s">
        <v>4077</v>
      </c>
      <c r="AB38" t="s">
        <v>4078</v>
      </c>
      <c r="AV38" t="s">
        <v>4230</v>
      </c>
      <c r="AW38" t="s">
        <v>4231</v>
      </c>
      <c r="AX38" t="s">
        <v>4058</v>
      </c>
      <c r="AY38" t="s">
        <v>4059</v>
      </c>
      <c r="AZ38" t="s">
        <v>4060</v>
      </c>
      <c r="BA38" t="s">
        <v>4061</v>
      </c>
      <c r="BH38" t="s">
        <v>4018</v>
      </c>
      <c r="BI38" t="s">
        <v>4019</v>
      </c>
      <c r="BJ38" t="s">
        <v>4020</v>
      </c>
      <c r="BK38" t="s">
        <v>4021</v>
      </c>
      <c r="BL38" t="s">
        <v>4022</v>
      </c>
      <c r="BM38" t="s">
        <v>4023</v>
      </c>
      <c r="BN38" t="s">
        <v>4024</v>
      </c>
      <c r="BO38" t="s">
        <v>4025</v>
      </c>
      <c r="BR38" t="s">
        <v>4026</v>
      </c>
      <c r="BS38" t="s">
        <v>4027</v>
      </c>
      <c r="BT38" t="s">
        <v>4028</v>
      </c>
      <c r="BU38" t="s">
        <v>4029</v>
      </c>
      <c r="BV38" t="s">
        <v>4030</v>
      </c>
      <c r="CB38" t="s">
        <v>4208</v>
      </c>
      <c r="CC38">
        <v>1</v>
      </c>
      <c r="CN38" t="s">
        <v>4032</v>
      </c>
      <c r="CW38">
        <v>2</v>
      </c>
      <c r="CX38" t="s">
        <v>4079</v>
      </c>
    </row>
    <row r="39" spans="3:102" x14ac:dyDescent="0.3">
      <c r="C39" t="s">
        <v>3595</v>
      </c>
    </row>
    <row r="40" spans="3:102" x14ac:dyDescent="0.3">
      <c r="C40" t="s">
        <v>3596</v>
      </c>
      <c r="D40">
        <v>12</v>
      </c>
      <c r="E40">
        <v>100000</v>
      </c>
      <c r="F40" t="s">
        <v>4232</v>
      </c>
      <c r="G40" t="s">
        <v>4233</v>
      </c>
      <c r="H40" t="s">
        <v>4234</v>
      </c>
      <c r="AV40" t="s">
        <v>4235</v>
      </c>
      <c r="AW40" t="s">
        <v>4236</v>
      </c>
      <c r="AX40" t="s">
        <v>4144</v>
      </c>
      <c r="AY40" t="s">
        <v>4237</v>
      </c>
      <c r="BH40" t="s">
        <v>4018</v>
      </c>
      <c r="BI40" t="s">
        <v>4019</v>
      </c>
      <c r="BJ40" t="s">
        <v>4020</v>
      </c>
      <c r="BK40" t="s">
        <v>4021</v>
      </c>
      <c r="BL40" t="s">
        <v>4022</v>
      </c>
      <c r="BM40" t="s">
        <v>4023</v>
      </c>
      <c r="BN40" t="s">
        <v>4024</v>
      </c>
      <c r="BO40" t="s">
        <v>4025</v>
      </c>
      <c r="BR40" t="s">
        <v>4026</v>
      </c>
      <c r="BS40" t="s">
        <v>4027</v>
      </c>
      <c r="BT40" t="s">
        <v>4028</v>
      </c>
      <c r="BU40" t="s">
        <v>4029</v>
      </c>
      <c r="BV40" t="s">
        <v>4030</v>
      </c>
      <c r="BW40" t="s">
        <v>4049</v>
      </c>
      <c r="CB40" t="s">
        <v>4208</v>
      </c>
      <c r="CC40">
        <v>1</v>
      </c>
      <c r="CN40" t="s">
        <v>4050</v>
      </c>
      <c r="CW40">
        <v>2</v>
      </c>
      <c r="CX40" t="s">
        <v>4238</v>
      </c>
    </row>
    <row r="41" spans="3:102" x14ac:dyDescent="0.3">
      <c r="C41" t="s">
        <v>3597</v>
      </c>
    </row>
    <row r="42" spans="3:102" x14ac:dyDescent="0.3">
      <c r="C42" t="s">
        <v>3598</v>
      </c>
    </row>
    <row r="43" spans="3:102" x14ac:dyDescent="0.3">
      <c r="C43" t="s">
        <v>3599</v>
      </c>
    </row>
    <row r="44" spans="3:102" x14ac:dyDescent="0.3">
      <c r="C44" t="s">
        <v>3600</v>
      </c>
    </row>
    <row r="45" spans="3:102" x14ac:dyDescent="0.3">
      <c r="C45" t="s">
        <v>3601</v>
      </c>
    </row>
    <row r="46" spans="3:102" x14ac:dyDescent="0.3">
      <c r="C46" t="s">
        <v>218</v>
      </c>
      <c r="D46">
        <v>12</v>
      </c>
      <c r="E46">
        <v>1000000</v>
      </c>
      <c r="F46" t="s">
        <v>4042</v>
      </c>
      <c r="G46" t="s">
        <v>4042</v>
      </c>
      <c r="H46" t="s">
        <v>4080</v>
      </c>
      <c r="AX46" t="s">
        <v>4081</v>
      </c>
      <c r="BH46" t="s">
        <v>4018</v>
      </c>
      <c r="BI46" t="s">
        <v>4019</v>
      </c>
      <c r="BJ46" t="s">
        <v>4020</v>
      </c>
      <c r="BK46" t="s">
        <v>4021</v>
      </c>
      <c r="BL46" t="s">
        <v>4022</v>
      </c>
      <c r="BM46" t="s">
        <v>4023</v>
      </c>
      <c r="BN46" t="s">
        <v>4024</v>
      </c>
      <c r="BO46" t="s">
        <v>4025</v>
      </c>
      <c r="BR46" t="s">
        <v>4026</v>
      </c>
      <c r="BS46" t="s">
        <v>4027</v>
      </c>
      <c r="BT46" t="s">
        <v>4028</v>
      </c>
      <c r="BU46" t="s">
        <v>4029</v>
      </c>
      <c r="BV46" t="s">
        <v>4030</v>
      </c>
      <c r="BW46" t="s">
        <v>4028</v>
      </c>
      <c r="CC46">
        <v>1</v>
      </c>
      <c r="CN46" t="s">
        <v>4082</v>
      </c>
      <c r="CW46">
        <v>2</v>
      </c>
      <c r="CX46" t="s">
        <v>4083</v>
      </c>
    </row>
    <row r="47" spans="3:102" x14ac:dyDescent="0.3">
      <c r="C47" t="s">
        <v>3602</v>
      </c>
    </row>
    <row r="48" spans="3:102" x14ac:dyDescent="0.3">
      <c r="C48" t="s">
        <v>237</v>
      </c>
      <c r="D48">
        <v>12</v>
      </c>
      <c r="E48">
        <v>1000000</v>
      </c>
      <c r="F48" t="s">
        <v>4041</v>
      </c>
      <c r="G48" t="s">
        <v>4042</v>
      </c>
      <c r="H48" t="s">
        <v>4080</v>
      </c>
      <c r="AV48" t="s">
        <v>4220</v>
      </c>
      <c r="AW48" t="s">
        <v>4221</v>
      </c>
      <c r="AX48" t="s">
        <v>4020</v>
      </c>
      <c r="BH48" t="s">
        <v>4018</v>
      </c>
      <c r="BI48" t="s">
        <v>4019</v>
      </c>
      <c r="BJ48" t="s">
        <v>4020</v>
      </c>
      <c r="BK48" t="s">
        <v>4021</v>
      </c>
      <c r="BL48" t="s">
        <v>4022</v>
      </c>
      <c r="BM48" t="s">
        <v>4023</v>
      </c>
      <c r="BN48" t="s">
        <v>4024</v>
      </c>
      <c r="BO48" t="s">
        <v>4025</v>
      </c>
      <c r="BR48" t="s">
        <v>4026</v>
      </c>
      <c r="BS48" t="s">
        <v>4027</v>
      </c>
      <c r="BT48" t="s">
        <v>4028</v>
      </c>
      <c r="BU48" t="s">
        <v>4029</v>
      </c>
      <c r="BV48" t="s">
        <v>4030</v>
      </c>
      <c r="BW48" t="s">
        <v>4028</v>
      </c>
      <c r="CB48" t="s">
        <v>4208</v>
      </c>
      <c r="CC48">
        <v>1</v>
      </c>
      <c r="CN48" t="s">
        <v>4084</v>
      </c>
      <c r="CW48">
        <v>2</v>
      </c>
      <c r="CX48" t="s">
        <v>4085</v>
      </c>
    </row>
    <row r="49" spans="3:102" x14ac:dyDescent="0.3">
      <c r="C49" t="s">
        <v>3603</v>
      </c>
    </row>
    <row r="50" spans="3:102" x14ac:dyDescent="0.3">
      <c r="C50" t="s">
        <v>3604</v>
      </c>
    </row>
    <row r="51" spans="3:102" x14ac:dyDescent="0.3">
      <c r="C51" t="s">
        <v>3605</v>
      </c>
    </row>
    <row r="52" spans="3:102" x14ac:dyDescent="0.3">
      <c r="C52" t="s">
        <v>3606</v>
      </c>
      <c r="D52">
        <v>12</v>
      </c>
      <c r="E52">
        <v>100000</v>
      </c>
      <c r="F52" t="s">
        <v>4014</v>
      </c>
      <c r="G52" t="s">
        <v>4015</v>
      </c>
      <c r="H52" t="s">
        <v>4080</v>
      </c>
      <c r="AV52" t="s">
        <v>4204</v>
      </c>
      <c r="AW52" t="s">
        <v>4205</v>
      </c>
      <c r="AX52" t="s">
        <v>4239</v>
      </c>
      <c r="BH52" t="s">
        <v>4018</v>
      </c>
      <c r="BI52" t="s">
        <v>4019</v>
      </c>
      <c r="BJ52" t="s">
        <v>4020</v>
      </c>
      <c r="BK52" t="s">
        <v>4021</v>
      </c>
      <c r="BL52" t="s">
        <v>4022</v>
      </c>
      <c r="BM52" t="s">
        <v>4023</v>
      </c>
      <c r="BN52" t="s">
        <v>4024</v>
      </c>
      <c r="BO52" t="s">
        <v>4025</v>
      </c>
      <c r="BR52" t="s">
        <v>4026</v>
      </c>
      <c r="BS52" t="s">
        <v>4027</v>
      </c>
      <c r="BT52" t="s">
        <v>4028</v>
      </c>
      <c r="BU52" t="s">
        <v>4029</v>
      </c>
      <c r="BV52" t="s">
        <v>4030</v>
      </c>
      <c r="BW52" t="s">
        <v>4240</v>
      </c>
      <c r="CB52" t="s">
        <v>4208</v>
      </c>
      <c r="CC52">
        <v>1</v>
      </c>
      <c r="CN52" t="s">
        <v>4032</v>
      </c>
      <c r="CW52">
        <v>2</v>
      </c>
      <c r="CX52" t="s">
        <v>4241</v>
      </c>
    </row>
    <row r="53" spans="3:102" x14ac:dyDescent="0.3">
      <c r="C53" t="s">
        <v>3607</v>
      </c>
    </row>
    <row r="54" spans="3:102" x14ac:dyDescent="0.3">
      <c r="C54" t="s">
        <v>3608</v>
      </c>
      <c r="D54">
        <v>12</v>
      </c>
      <c r="E54">
        <v>100000</v>
      </c>
      <c r="F54" t="s">
        <v>4014</v>
      </c>
      <c r="G54" t="s">
        <v>4015</v>
      </c>
      <c r="H54" t="s">
        <v>4080</v>
      </c>
      <c r="AV54" t="s">
        <v>4204</v>
      </c>
      <c r="AW54" t="s">
        <v>4205</v>
      </c>
      <c r="AX54" t="s">
        <v>4242</v>
      </c>
      <c r="BH54" t="s">
        <v>4018</v>
      </c>
      <c r="BI54" t="s">
        <v>4019</v>
      </c>
      <c r="BJ54" t="s">
        <v>4020</v>
      </c>
      <c r="BK54" t="s">
        <v>4021</v>
      </c>
      <c r="BL54" t="s">
        <v>4022</v>
      </c>
      <c r="BM54" t="s">
        <v>4023</v>
      </c>
      <c r="BN54" t="s">
        <v>4024</v>
      </c>
      <c r="BO54" t="s">
        <v>4025</v>
      </c>
      <c r="BR54" t="s">
        <v>4026</v>
      </c>
      <c r="BS54" t="s">
        <v>4027</v>
      </c>
      <c r="BT54" t="s">
        <v>4028</v>
      </c>
      <c r="BU54" t="s">
        <v>4029</v>
      </c>
      <c r="BV54" t="s">
        <v>4030</v>
      </c>
      <c r="BW54" t="s">
        <v>4240</v>
      </c>
      <c r="CB54" t="s">
        <v>4208</v>
      </c>
      <c r="CC54">
        <v>1</v>
      </c>
      <c r="CN54" t="s">
        <v>4032</v>
      </c>
      <c r="CW54">
        <v>2</v>
      </c>
      <c r="CX54" t="s">
        <v>4243</v>
      </c>
    </row>
    <row r="55" spans="3:102" x14ac:dyDescent="0.3">
      <c r="C55" t="s">
        <v>3609</v>
      </c>
    </row>
    <row r="56" spans="3:102" x14ac:dyDescent="0.3">
      <c r="C56" t="s">
        <v>3610</v>
      </c>
      <c r="D56">
        <v>12</v>
      </c>
      <c r="E56">
        <v>100000</v>
      </c>
      <c r="F56" t="s">
        <v>4244</v>
      </c>
      <c r="G56" t="s">
        <v>4245</v>
      </c>
      <c r="H56" t="s">
        <v>4246</v>
      </c>
      <c r="AV56" t="s">
        <v>4235</v>
      </c>
      <c r="AW56" t="s">
        <v>4236</v>
      </c>
      <c r="AX56" t="s">
        <v>4247</v>
      </c>
      <c r="AY56" t="s">
        <v>4248</v>
      </c>
      <c r="AZ56" t="s">
        <v>4249</v>
      </c>
      <c r="BA56" t="s">
        <v>4250</v>
      </c>
      <c r="BH56" t="s">
        <v>4018</v>
      </c>
      <c r="BI56" t="s">
        <v>4019</v>
      </c>
      <c r="BJ56" t="s">
        <v>4137</v>
      </c>
      <c r="BK56" t="s">
        <v>4138</v>
      </c>
      <c r="BL56" t="s">
        <v>4139</v>
      </c>
      <c r="BM56" t="s">
        <v>4140</v>
      </c>
      <c r="BN56" t="s">
        <v>4141</v>
      </c>
      <c r="BO56" t="s">
        <v>4142</v>
      </c>
      <c r="BR56" t="s">
        <v>4026</v>
      </c>
      <c r="BS56" t="s">
        <v>4027</v>
      </c>
      <c r="BT56" t="s">
        <v>4028</v>
      </c>
      <c r="BU56" t="s">
        <v>4029</v>
      </c>
      <c r="BV56" t="s">
        <v>4030</v>
      </c>
      <c r="BW56" t="s">
        <v>4240</v>
      </c>
      <c r="CA56" t="s">
        <v>4251</v>
      </c>
      <c r="CB56" t="s">
        <v>4252</v>
      </c>
      <c r="CC56">
        <v>1</v>
      </c>
      <c r="CN56" t="s">
        <v>4032</v>
      </c>
      <c r="CW56">
        <v>2</v>
      </c>
      <c r="CX56" t="s">
        <v>4253</v>
      </c>
    </row>
    <row r="57" spans="3:102" x14ac:dyDescent="0.3">
      <c r="C57" t="s">
        <v>3611</v>
      </c>
    </row>
    <row r="58" spans="3:102" x14ac:dyDescent="0.3">
      <c r="C58" t="s">
        <v>3612</v>
      </c>
      <c r="D58">
        <v>12</v>
      </c>
      <c r="E58">
        <v>1000000</v>
      </c>
      <c r="F58" t="s">
        <v>4046</v>
      </c>
      <c r="G58" t="s">
        <v>4042</v>
      </c>
      <c r="H58" t="s">
        <v>4034</v>
      </c>
      <c r="AV58" t="s">
        <v>4220</v>
      </c>
      <c r="AW58" t="s">
        <v>4221</v>
      </c>
      <c r="AX58" t="s">
        <v>4254</v>
      </c>
      <c r="BH58" t="s">
        <v>4018</v>
      </c>
      <c r="BI58" t="s">
        <v>4019</v>
      </c>
      <c r="BJ58" t="s">
        <v>4020</v>
      </c>
      <c r="BK58" t="s">
        <v>4021</v>
      </c>
      <c r="BL58" t="s">
        <v>4022</v>
      </c>
      <c r="BM58" t="s">
        <v>4023</v>
      </c>
      <c r="BN58" t="s">
        <v>4024</v>
      </c>
      <c r="BO58" t="s">
        <v>4025</v>
      </c>
      <c r="BR58" t="s">
        <v>4026</v>
      </c>
      <c r="BS58" t="s">
        <v>4027</v>
      </c>
      <c r="BT58" t="s">
        <v>4028</v>
      </c>
      <c r="BU58" t="s">
        <v>4029</v>
      </c>
      <c r="BV58" t="s">
        <v>4030</v>
      </c>
      <c r="BW58" t="s">
        <v>4240</v>
      </c>
      <c r="CB58" t="s">
        <v>4208</v>
      </c>
      <c r="CC58">
        <v>1</v>
      </c>
      <c r="CN58" t="s">
        <v>4032</v>
      </c>
      <c r="CW58">
        <v>2</v>
      </c>
      <c r="CX58" t="s">
        <v>4255</v>
      </c>
    </row>
    <row r="59" spans="3:102" x14ac:dyDescent="0.3">
      <c r="C59" t="s">
        <v>3613</v>
      </c>
    </row>
    <row r="60" spans="3:102" x14ac:dyDescent="0.3">
      <c r="C60" t="s">
        <v>228</v>
      </c>
      <c r="D60">
        <v>12</v>
      </c>
      <c r="E60">
        <v>1000000</v>
      </c>
      <c r="F60" t="s">
        <v>4041</v>
      </c>
      <c r="G60" t="s">
        <v>4042</v>
      </c>
      <c r="H60" t="s">
        <v>4080</v>
      </c>
      <c r="AV60" t="s">
        <v>4220</v>
      </c>
      <c r="AW60" t="s">
        <v>4221</v>
      </c>
      <c r="AX60" t="s">
        <v>4086</v>
      </c>
      <c r="BH60" t="s">
        <v>4018</v>
      </c>
      <c r="BI60" t="s">
        <v>4019</v>
      </c>
      <c r="BJ60" t="s">
        <v>4020</v>
      </c>
      <c r="BK60" t="s">
        <v>4021</v>
      </c>
      <c r="BL60" t="s">
        <v>4022</v>
      </c>
      <c r="BM60" t="s">
        <v>4023</v>
      </c>
      <c r="BN60" t="s">
        <v>4024</v>
      </c>
      <c r="BO60" t="s">
        <v>4025</v>
      </c>
      <c r="BR60" t="s">
        <v>4026</v>
      </c>
      <c r="BS60" t="s">
        <v>4027</v>
      </c>
      <c r="BT60" t="s">
        <v>4028</v>
      </c>
      <c r="BU60" t="s">
        <v>4029</v>
      </c>
      <c r="BV60" t="s">
        <v>4030</v>
      </c>
      <c r="BW60" t="s">
        <v>4029</v>
      </c>
      <c r="CB60" t="s">
        <v>4208</v>
      </c>
      <c r="CC60">
        <v>1</v>
      </c>
      <c r="CN60" t="s">
        <v>4087</v>
      </c>
      <c r="CW60">
        <v>2</v>
      </c>
      <c r="CX60" t="s">
        <v>4088</v>
      </c>
    </row>
    <row r="61" spans="3:102" x14ac:dyDescent="0.3">
      <c r="C61" t="s">
        <v>3614</v>
      </c>
    </row>
    <row r="62" spans="3:102" x14ac:dyDescent="0.3">
      <c r="C62" t="s">
        <v>2922</v>
      </c>
      <c r="D62">
        <v>12</v>
      </c>
      <c r="E62">
        <v>1000000</v>
      </c>
      <c r="F62" t="s">
        <v>4041</v>
      </c>
      <c r="G62" t="s">
        <v>4042</v>
      </c>
      <c r="H62" t="s">
        <v>4080</v>
      </c>
      <c r="AV62" t="s">
        <v>4220</v>
      </c>
      <c r="AW62" t="s">
        <v>4221</v>
      </c>
      <c r="AX62" t="s">
        <v>4021</v>
      </c>
      <c r="BH62" t="s">
        <v>4018</v>
      </c>
      <c r="BI62" t="s">
        <v>4019</v>
      </c>
      <c r="BJ62" t="s">
        <v>4020</v>
      </c>
      <c r="BK62" t="s">
        <v>4021</v>
      </c>
      <c r="BL62" t="s">
        <v>4022</v>
      </c>
      <c r="BM62" t="s">
        <v>4023</v>
      </c>
      <c r="BN62" t="s">
        <v>4024</v>
      </c>
      <c r="BO62" t="s">
        <v>4025</v>
      </c>
      <c r="BR62" t="s">
        <v>4026</v>
      </c>
      <c r="BS62" t="s">
        <v>4027</v>
      </c>
      <c r="BT62" t="s">
        <v>4028</v>
      </c>
      <c r="BU62" t="s">
        <v>4029</v>
      </c>
      <c r="BV62" t="s">
        <v>4030</v>
      </c>
      <c r="BW62" t="s">
        <v>4029</v>
      </c>
      <c r="CB62" t="s">
        <v>4208</v>
      </c>
      <c r="CC62">
        <v>1</v>
      </c>
      <c r="CN62" t="s">
        <v>4087</v>
      </c>
      <c r="CW62">
        <v>2</v>
      </c>
      <c r="CX62" t="s">
        <v>4089</v>
      </c>
    </row>
    <row r="63" spans="3:102" x14ac:dyDescent="0.3">
      <c r="C63" t="s">
        <v>3615</v>
      </c>
    </row>
    <row r="64" spans="3:102" x14ac:dyDescent="0.3">
      <c r="C64" t="s">
        <v>3616</v>
      </c>
      <c r="D64">
        <v>12</v>
      </c>
      <c r="E64">
        <v>100000</v>
      </c>
      <c r="F64" t="s">
        <v>4014</v>
      </c>
      <c r="G64" t="s">
        <v>4015</v>
      </c>
      <c r="H64" t="s">
        <v>4080</v>
      </c>
      <c r="AV64" t="s">
        <v>4204</v>
      </c>
      <c r="AW64" t="s">
        <v>4205</v>
      </c>
      <c r="AX64" t="s">
        <v>4256</v>
      </c>
      <c r="BH64" t="s">
        <v>4018</v>
      </c>
      <c r="BI64" t="s">
        <v>4019</v>
      </c>
      <c r="BJ64" t="s">
        <v>4020</v>
      </c>
      <c r="BK64" t="s">
        <v>4021</v>
      </c>
      <c r="BL64" t="s">
        <v>4022</v>
      </c>
      <c r="BM64" t="s">
        <v>4023</v>
      </c>
      <c r="BN64" t="s">
        <v>4024</v>
      </c>
      <c r="BO64" t="s">
        <v>4025</v>
      </c>
      <c r="BR64" t="s">
        <v>4026</v>
      </c>
      <c r="BS64" t="s">
        <v>4027</v>
      </c>
      <c r="BT64" t="s">
        <v>4028</v>
      </c>
      <c r="BU64" t="s">
        <v>4029</v>
      </c>
      <c r="BV64" t="s">
        <v>4030</v>
      </c>
      <c r="BW64" t="s">
        <v>4257</v>
      </c>
      <c r="CB64" t="s">
        <v>4208</v>
      </c>
      <c r="CC64">
        <v>1</v>
      </c>
      <c r="CN64" t="s">
        <v>4032</v>
      </c>
      <c r="CW64">
        <v>2</v>
      </c>
      <c r="CX64" t="s">
        <v>4258</v>
      </c>
    </row>
    <row r="65" spans="3:102" x14ac:dyDescent="0.3">
      <c r="C65" t="s">
        <v>3617</v>
      </c>
    </row>
    <row r="66" spans="3:102" x14ac:dyDescent="0.3">
      <c r="C66" t="s">
        <v>3618</v>
      </c>
      <c r="D66">
        <v>12</v>
      </c>
      <c r="E66">
        <v>100000</v>
      </c>
      <c r="F66" t="s">
        <v>4014</v>
      </c>
      <c r="G66" t="s">
        <v>4015</v>
      </c>
      <c r="H66" t="s">
        <v>4080</v>
      </c>
      <c r="AV66" t="s">
        <v>4204</v>
      </c>
      <c r="AW66" t="s">
        <v>4205</v>
      </c>
      <c r="AX66" t="s">
        <v>4259</v>
      </c>
      <c r="BH66" t="s">
        <v>4018</v>
      </c>
      <c r="BI66" t="s">
        <v>4019</v>
      </c>
      <c r="BJ66" t="s">
        <v>4020</v>
      </c>
      <c r="BK66" t="s">
        <v>4021</v>
      </c>
      <c r="BL66" t="s">
        <v>4022</v>
      </c>
      <c r="BM66" t="s">
        <v>4023</v>
      </c>
      <c r="BN66" t="s">
        <v>4024</v>
      </c>
      <c r="BO66" t="s">
        <v>4025</v>
      </c>
      <c r="BR66" t="s">
        <v>4026</v>
      </c>
      <c r="BS66" t="s">
        <v>4027</v>
      </c>
      <c r="BT66" t="s">
        <v>4028</v>
      </c>
      <c r="BU66" t="s">
        <v>4029</v>
      </c>
      <c r="BV66" t="s">
        <v>4030</v>
      </c>
      <c r="BW66" t="s">
        <v>4257</v>
      </c>
      <c r="CB66" t="s">
        <v>4208</v>
      </c>
      <c r="CC66">
        <v>1</v>
      </c>
      <c r="CN66" t="s">
        <v>4032</v>
      </c>
      <c r="CW66">
        <v>2</v>
      </c>
      <c r="CX66" t="s">
        <v>4260</v>
      </c>
    </row>
    <row r="67" spans="3:102" x14ac:dyDescent="0.3">
      <c r="C67" t="s">
        <v>3619</v>
      </c>
    </row>
    <row r="68" spans="3:102" x14ac:dyDescent="0.3">
      <c r="C68" t="s">
        <v>3620</v>
      </c>
      <c r="D68">
        <v>12</v>
      </c>
      <c r="E68">
        <v>100000</v>
      </c>
      <c r="F68" t="s">
        <v>4046</v>
      </c>
      <c r="G68" t="s">
        <v>4042</v>
      </c>
      <c r="H68" t="s">
        <v>4080</v>
      </c>
      <c r="AV68" t="s">
        <v>4220</v>
      </c>
      <c r="AW68" t="s">
        <v>4221</v>
      </c>
      <c r="AX68" t="s">
        <v>4261</v>
      </c>
      <c r="AY68" t="s">
        <v>4259</v>
      </c>
      <c r="AZ68" t="s">
        <v>4262</v>
      </c>
      <c r="BA68" t="s">
        <v>4256</v>
      </c>
      <c r="BH68" t="s">
        <v>4018</v>
      </c>
      <c r="BI68" t="s">
        <v>4019</v>
      </c>
      <c r="BJ68" t="s">
        <v>4020</v>
      </c>
      <c r="BK68" t="s">
        <v>4021</v>
      </c>
      <c r="BL68" t="s">
        <v>4022</v>
      </c>
      <c r="BM68" t="s">
        <v>4023</v>
      </c>
      <c r="BN68" t="s">
        <v>4024</v>
      </c>
      <c r="BO68" t="s">
        <v>4025</v>
      </c>
      <c r="BR68" t="s">
        <v>4026</v>
      </c>
      <c r="BS68" t="s">
        <v>4027</v>
      </c>
      <c r="BT68" t="s">
        <v>4028</v>
      </c>
      <c r="BU68" t="s">
        <v>4029</v>
      </c>
      <c r="BV68" t="s">
        <v>4030</v>
      </c>
      <c r="BW68" t="s">
        <v>4257</v>
      </c>
      <c r="CB68" t="s">
        <v>4208</v>
      </c>
      <c r="CC68">
        <v>1</v>
      </c>
      <c r="CN68" t="s">
        <v>4263</v>
      </c>
      <c r="CW68">
        <v>2</v>
      </c>
      <c r="CX68" t="s">
        <v>4264</v>
      </c>
    </row>
    <row r="69" spans="3:102" x14ac:dyDescent="0.3">
      <c r="C69" t="s">
        <v>3621</v>
      </c>
    </row>
    <row r="70" spans="3:102" x14ac:dyDescent="0.3">
      <c r="C70" t="s">
        <v>3622</v>
      </c>
      <c r="D70">
        <v>12</v>
      </c>
      <c r="E70">
        <v>1000000</v>
      </c>
      <c r="F70" t="s">
        <v>4046</v>
      </c>
      <c r="G70" t="s">
        <v>4042</v>
      </c>
      <c r="H70" t="s">
        <v>4034</v>
      </c>
      <c r="AV70" t="s">
        <v>4220</v>
      </c>
      <c r="AW70" t="s">
        <v>4221</v>
      </c>
      <c r="AX70" t="s">
        <v>4265</v>
      </c>
      <c r="BH70" t="s">
        <v>4018</v>
      </c>
      <c r="BI70" t="s">
        <v>4019</v>
      </c>
      <c r="BJ70" t="s">
        <v>4020</v>
      </c>
      <c r="BK70" t="s">
        <v>4021</v>
      </c>
      <c r="BL70" t="s">
        <v>4022</v>
      </c>
      <c r="BM70" t="s">
        <v>4023</v>
      </c>
      <c r="BN70" t="s">
        <v>4024</v>
      </c>
      <c r="BO70" t="s">
        <v>4025</v>
      </c>
      <c r="BR70" t="s">
        <v>4026</v>
      </c>
      <c r="BS70" t="s">
        <v>4027</v>
      </c>
      <c r="BT70" t="s">
        <v>4028</v>
      </c>
      <c r="BU70" t="s">
        <v>4029</v>
      </c>
      <c r="BV70" t="s">
        <v>4030</v>
      </c>
      <c r="BW70" t="s">
        <v>4257</v>
      </c>
      <c r="CB70" t="s">
        <v>4208</v>
      </c>
      <c r="CC70">
        <v>1</v>
      </c>
      <c r="CN70" t="s">
        <v>4032</v>
      </c>
      <c r="CW70">
        <v>2</v>
      </c>
      <c r="CX70" t="s">
        <v>4266</v>
      </c>
    </row>
    <row r="71" spans="3:102" x14ac:dyDescent="0.3">
      <c r="C71" t="s">
        <v>3623</v>
      </c>
    </row>
    <row r="72" spans="3:102" x14ac:dyDescent="0.3">
      <c r="C72" t="s">
        <v>975</v>
      </c>
      <c r="D72">
        <v>12</v>
      </c>
      <c r="E72">
        <v>500000</v>
      </c>
      <c r="F72" t="s">
        <v>4014</v>
      </c>
      <c r="G72" t="s">
        <v>4015</v>
      </c>
      <c r="H72" t="s">
        <v>4047</v>
      </c>
      <c r="AV72" t="s">
        <v>4204</v>
      </c>
      <c r="AW72" t="s">
        <v>4205</v>
      </c>
      <c r="AX72" t="s">
        <v>4090</v>
      </c>
      <c r="BH72" t="s">
        <v>4018</v>
      </c>
      <c r="BI72" t="s">
        <v>4019</v>
      </c>
      <c r="BJ72" t="s">
        <v>4020</v>
      </c>
      <c r="BK72" t="s">
        <v>4021</v>
      </c>
      <c r="BL72" t="s">
        <v>4022</v>
      </c>
      <c r="BM72" t="s">
        <v>4023</v>
      </c>
      <c r="BN72" t="s">
        <v>4024</v>
      </c>
      <c r="BO72" t="s">
        <v>4025</v>
      </c>
      <c r="BR72" t="s">
        <v>4026</v>
      </c>
      <c r="BS72" t="s">
        <v>4027</v>
      </c>
      <c r="BT72" t="s">
        <v>4028</v>
      </c>
      <c r="BU72" t="s">
        <v>4029</v>
      </c>
      <c r="BV72" t="s">
        <v>4030</v>
      </c>
      <c r="BW72" t="s">
        <v>4049</v>
      </c>
      <c r="CB72" t="s">
        <v>4208</v>
      </c>
      <c r="CC72">
        <v>1</v>
      </c>
      <c r="CN72" t="s">
        <v>4050</v>
      </c>
      <c r="CW72">
        <v>2</v>
      </c>
      <c r="CX72" t="s">
        <v>4091</v>
      </c>
    </row>
    <row r="73" spans="3:102" x14ac:dyDescent="0.3">
      <c r="C73" t="s">
        <v>3624</v>
      </c>
    </row>
    <row r="74" spans="3:102" x14ac:dyDescent="0.3">
      <c r="C74" t="s">
        <v>3625</v>
      </c>
    </row>
    <row r="75" spans="3:102" x14ac:dyDescent="0.3">
      <c r="C75" t="s">
        <v>3626</v>
      </c>
    </row>
    <row r="76" spans="3:102" x14ac:dyDescent="0.3">
      <c r="C76" t="s">
        <v>926</v>
      </c>
      <c r="D76">
        <v>12</v>
      </c>
      <c r="E76">
        <v>1000000</v>
      </c>
      <c r="F76" t="s">
        <v>4092</v>
      </c>
      <c r="G76" t="s">
        <v>4093</v>
      </c>
      <c r="H76" t="s">
        <v>4094</v>
      </c>
      <c r="AV76" t="s">
        <v>4204</v>
      </c>
      <c r="AW76" t="s">
        <v>4205</v>
      </c>
      <c r="AX76" t="s">
        <v>4095</v>
      </c>
      <c r="BH76" t="s">
        <v>4018</v>
      </c>
      <c r="BI76" t="s">
        <v>4019</v>
      </c>
      <c r="BJ76" t="s">
        <v>4020</v>
      </c>
      <c r="BK76" t="s">
        <v>4021</v>
      </c>
      <c r="BL76" t="s">
        <v>4022</v>
      </c>
      <c r="BM76" t="s">
        <v>4023</v>
      </c>
      <c r="BN76" t="s">
        <v>4024</v>
      </c>
      <c r="BO76" t="s">
        <v>4025</v>
      </c>
      <c r="BR76" t="s">
        <v>4026</v>
      </c>
      <c r="BS76" t="s">
        <v>4027</v>
      </c>
      <c r="BT76" t="s">
        <v>4028</v>
      </c>
      <c r="BU76" t="s">
        <v>4029</v>
      </c>
      <c r="BV76" t="s">
        <v>4030</v>
      </c>
      <c r="CB76" t="s">
        <v>4208</v>
      </c>
      <c r="CC76" t="s">
        <v>4096</v>
      </c>
      <c r="CN76" t="s">
        <v>4032</v>
      </c>
      <c r="CW76">
        <v>2</v>
      </c>
      <c r="CX76" t="s">
        <v>4097</v>
      </c>
    </row>
    <row r="77" spans="3:102" x14ac:dyDescent="0.3">
      <c r="C77" t="s">
        <v>3627</v>
      </c>
    </row>
    <row r="78" spans="3:102" x14ac:dyDescent="0.3">
      <c r="C78" t="s">
        <v>3628</v>
      </c>
      <c r="D78">
        <v>12</v>
      </c>
      <c r="E78">
        <v>2000000</v>
      </c>
      <c r="F78" t="s">
        <v>4041</v>
      </c>
      <c r="G78" t="s">
        <v>4042</v>
      </c>
      <c r="H78" t="s">
        <v>4034</v>
      </c>
      <c r="AV78" t="s">
        <v>4220</v>
      </c>
      <c r="AW78" t="s">
        <v>4221</v>
      </c>
      <c r="AX78" t="s">
        <v>4019</v>
      </c>
      <c r="BH78" t="s">
        <v>4018</v>
      </c>
      <c r="BI78" t="s">
        <v>4019</v>
      </c>
      <c r="BJ78" t="s">
        <v>4020</v>
      </c>
      <c r="BK78" t="s">
        <v>4021</v>
      </c>
      <c r="BL78" t="s">
        <v>4022</v>
      </c>
      <c r="BM78" t="s">
        <v>4023</v>
      </c>
      <c r="BN78" t="s">
        <v>4024</v>
      </c>
      <c r="BO78" t="s">
        <v>4025</v>
      </c>
      <c r="BR78" t="s">
        <v>4026</v>
      </c>
      <c r="BS78" t="s">
        <v>4027</v>
      </c>
      <c r="BT78" t="s">
        <v>4028</v>
      </c>
      <c r="BU78" t="s">
        <v>4029</v>
      </c>
      <c r="BV78" t="s">
        <v>4030</v>
      </c>
      <c r="BW78" t="s">
        <v>4026</v>
      </c>
      <c r="CB78" t="s">
        <v>4208</v>
      </c>
      <c r="CC78">
        <v>1</v>
      </c>
      <c r="CN78" t="s">
        <v>4267</v>
      </c>
      <c r="CW78">
        <v>2</v>
      </c>
      <c r="CX78" t="s">
        <v>4268</v>
      </c>
    </row>
    <row r="79" spans="3:102" x14ac:dyDescent="0.3">
      <c r="C79" t="s">
        <v>3629</v>
      </c>
    </row>
    <row r="80" spans="3:102" x14ac:dyDescent="0.3">
      <c r="C80" t="s">
        <v>3630</v>
      </c>
      <c r="D80">
        <v>12</v>
      </c>
      <c r="E80">
        <v>1000000</v>
      </c>
      <c r="F80" t="s">
        <v>4014</v>
      </c>
      <c r="G80" t="s">
        <v>4015</v>
      </c>
      <c r="H80" t="s">
        <v>4034</v>
      </c>
      <c r="I80" t="s">
        <v>4146</v>
      </c>
      <c r="AB80" t="s">
        <v>4042</v>
      </c>
      <c r="AC80" t="s">
        <v>4269</v>
      </c>
      <c r="AV80" t="s">
        <v>4204</v>
      </c>
      <c r="AW80" t="s">
        <v>4205</v>
      </c>
      <c r="AX80" t="s">
        <v>4270</v>
      </c>
      <c r="AY80" t="s">
        <v>4271</v>
      </c>
      <c r="BH80" t="s">
        <v>4018</v>
      </c>
      <c r="BI80" t="s">
        <v>4019</v>
      </c>
      <c r="BJ80" t="s">
        <v>4020</v>
      </c>
      <c r="BK80" t="s">
        <v>4021</v>
      </c>
      <c r="BL80" t="s">
        <v>4022</v>
      </c>
      <c r="BM80" t="s">
        <v>4023</v>
      </c>
      <c r="BN80" t="s">
        <v>4024</v>
      </c>
      <c r="BO80" t="s">
        <v>4025</v>
      </c>
      <c r="BR80" t="s">
        <v>4026</v>
      </c>
      <c r="BS80" t="s">
        <v>4027</v>
      </c>
      <c r="BT80" t="s">
        <v>4028</v>
      </c>
      <c r="BU80" t="s">
        <v>4029</v>
      </c>
      <c r="BV80" t="s">
        <v>4030</v>
      </c>
      <c r="BW80" t="s">
        <v>4049</v>
      </c>
      <c r="CB80" t="s">
        <v>4208</v>
      </c>
      <c r="CC80">
        <v>1</v>
      </c>
      <c r="CN80" t="s">
        <v>4032</v>
      </c>
      <c r="CW80">
        <v>2</v>
      </c>
      <c r="CX80" t="s">
        <v>4272</v>
      </c>
    </row>
    <row r="81" spans="3:102" x14ac:dyDescent="0.3">
      <c r="C81" t="s">
        <v>3631</v>
      </c>
    </row>
    <row r="82" spans="3:102" x14ac:dyDescent="0.3">
      <c r="C82" t="s">
        <v>3632</v>
      </c>
      <c r="D82">
        <v>12</v>
      </c>
      <c r="E82">
        <v>1000000</v>
      </c>
      <c r="F82" t="s">
        <v>4014</v>
      </c>
      <c r="G82" t="s">
        <v>4015</v>
      </c>
      <c r="H82" t="s">
        <v>4034</v>
      </c>
      <c r="I82" t="s">
        <v>4146</v>
      </c>
      <c r="AB82" t="s">
        <v>4042</v>
      </c>
      <c r="AC82" t="s">
        <v>4269</v>
      </c>
      <c r="AV82" t="s">
        <v>4204</v>
      </c>
      <c r="AW82" t="s">
        <v>4205</v>
      </c>
      <c r="AX82" t="s">
        <v>4273</v>
      </c>
      <c r="AY82" t="s">
        <v>4274</v>
      </c>
      <c r="BH82" t="s">
        <v>4018</v>
      </c>
      <c r="BI82" t="s">
        <v>4019</v>
      </c>
      <c r="BJ82" t="s">
        <v>4020</v>
      </c>
      <c r="BK82" t="s">
        <v>4021</v>
      </c>
      <c r="BL82" t="s">
        <v>4022</v>
      </c>
      <c r="BM82" t="s">
        <v>4023</v>
      </c>
      <c r="BN82" t="s">
        <v>4024</v>
      </c>
      <c r="BO82" t="s">
        <v>4025</v>
      </c>
      <c r="BR82" t="s">
        <v>4026</v>
      </c>
      <c r="BS82" t="s">
        <v>4027</v>
      </c>
      <c r="BT82" t="s">
        <v>4028</v>
      </c>
      <c r="BU82" t="s">
        <v>4029</v>
      </c>
      <c r="BV82" t="s">
        <v>4030</v>
      </c>
      <c r="BW82" t="s">
        <v>4049</v>
      </c>
      <c r="CB82" t="s">
        <v>4208</v>
      </c>
      <c r="CC82">
        <v>1</v>
      </c>
      <c r="CN82" t="s">
        <v>4032</v>
      </c>
      <c r="CW82">
        <v>2</v>
      </c>
      <c r="CX82" t="s">
        <v>4275</v>
      </c>
    </row>
    <row r="83" spans="3:102" x14ac:dyDescent="0.3">
      <c r="C83" t="s">
        <v>3633</v>
      </c>
    </row>
    <row r="84" spans="3:102" x14ac:dyDescent="0.3">
      <c r="C84" t="s">
        <v>463</v>
      </c>
      <c r="D84">
        <v>12</v>
      </c>
      <c r="E84">
        <v>1000000</v>
      </c>
      <c r="F84" t="s">
        <v>4042</v>
      </c>
      <c r="G84" t="s">
        <v>4042</v>
      </c>
      <c r="H84" t="s">
        <v>4043</v>
      </c>
      <c r="AX84" t="s">
        <v>4098</v>
      </c>
      <c r="BF84" t="s">
        <v>4099</v>
      </c>
      <c r="BG84" t="s">
        <v>4100</v>
      </c>
      <c r="BH84" t="s">
        <v>4018</v>
      </c>
      <c r="BI84" t="s">
        <v>4019</v>
      </c>
      <c r="BJ84" t="s">
        <v>4020</v>
      </c>
      <c r="BK84" t="s">
        <v>4021</v>
      </c>
      <c r="BL84" t="s">
        <v>4022</v>
      </c>
      <c r="BM84" t="s">
        <v>4023</v>
      </c>
      <c r="BN84" t="s">
        <v>4024</v>
      </c>
      <c r="BO84" t="s">
        <v>4025</v>
      </c>
      <c r="BP84" t="s">
        <v>4059</v>
      </c>
      <c r="BQ84" t="s">
        <v>4058</v>
      </c>
      <c r="BR84" t="s">
        <v>4026</v>
      </c>
      <c r="BS84" t="s">
        <v>4027</v>
      </c>
      <c r="BT84" t="s">
        <v>4028</v>
      </c>
      <c r="BU84" t="s">
        <v>4029</v>
      </c>
      <c r="BV84" t="s">
        <v>4030</v>
      </c>
      <c r="BW84" t="s">
        <v>4049</v>
      </c>
      <c r="CC84">
        <v>1</v>
      </c>
      <c r="CN84" t="s">
        <v>4101</v>
      </c>
      <c r="CW84">
        <v>2</v>
      </c>
      <c r="CX84" t="s">
        <v>4102</v>
      </c>
    </row>
    <row r="85" spans="3:102" x14ac:dyDescent="0.3">
      <c r="C85" t="s">
        <v>3634</v>
      </c>
    </row>
    <row r="86" spans="3:102" x14ac:dyDescent="0.3">
      <c r="C86" t="s">
        <v>3635</v>
      </c>
      <c r="D86">
        <v>12</v>
      </c>
      <c r="E86">
        <v>100000</v>
      </c>
      <c r="F86" t="s">
        <v>4041</v>
      </c>
      <c r="G86" t="s">
        <v>4042</v>
      </c>
      <c r="H86" t="s">
        <v>4080</v>
      </c>
      <c r="AV86" t="s">
        <v>4220</v>
      </c>
      <c r="AW86" t="s">
        <v>4221</v>
      </c>
      <c r="AX86" t="s">
        <v>4276</v>
      </c>
      <c r="BH86" t="s">
        <v>4018</v>
      </c>
      <c r="BI86" t="s">
        <v>4019</v>
      </c>
      <c r="BJ86" t="s">
        <v>4020</v>
      </c>
      <c r="BK86" t="s">
        <v>4021</v>
      </c>
      <c r="BL86" t="s">
        <v>4022</v>
      </c>
      <c r="BM86" t="s">
        <v>4023</v>
      </c>
      <c r="BN86" t="s">
        <v>4024</v>
      </c>
      <c r="BO86" t="s">
        <v>4025</v>
      </c>
      <c r="BR86" t="s">
        <v>4026</v>
      </c>
      <c r="BS86" t="s">
        <v>4027</v>
      </c>
      <c r="BT86" t="s">
        <v>4028</v>
      </c>
      <c r="BU86" t="s">
        <v>4029</v>
      </c>
      <c r="BV86" t="s">
        <v>4030</v>
      </c>
      <c r="BW86" t="s">
        <v>4030</v>
      </c>
      <c r="CB86" t="s">
        <v>4208</v>
      </c>
      <c r="CC86">
        <v>1</v>
      </c>
      <c r="CN86" t="s">
        <v>4032</v>
      </c>
      <c r="CW86">
        <v>2</v>
      </c>
      <c r="CX86" t="s">
        <v>4277</v>
      </c>
    </row>
    <row r="87" spans="3:102" x14ac:dyDescent="0.3">
      <c r="C87" t="s">
        <v>3636</v>
      </c>
    </row>
    <row r="88" spans="3:102" x14ac:dyDescent="0.3">
      <c r="C88" t="s">
        <v>978</v>
      </c>
      <c r="D88">
        <v>12</v>
      </c>
      <c r="E88">
        <v>100000</v>
      </c>
      <c r="F88" t="s">
        <v>4014</v>
      </c>
      <c r="G88" t="s">
        <v>4015</v>
      </c>
      <c r="H88" t="s">
        <v>4080</v>
      </c>
      <c r="AV88" t="s">
        <v>4204</v>
      </c>
      <c r="AW88" t="s">
        <v>4205</v>
      </c>
      <c r="AX88" t="s">
        <v>4103</v>
      </c>
      <c r="BH88" t="s">
        <v>4018</v>
      </c>
      <c r="BI88" t="s">
        <v>4019</v>
      </c>
      <c r="BJ88" t="s">
        <v>4020</v>
      </c>
      <c r="BK88" t="s">
        <v>4021</v>
      </c>
      <c r="BL88" t="s">
        <v>4022</v>
      </c>
      <c r="BM88" t="s">
        <v>4023</v>
      </c>
      <c r="BN88" t="s">
        <v>4024</v>
      </c>
      <c r="BO88" t="s">
        <v>4025</v>
      </c>
      <c r="BR88" t="s">
        <v>4026</v>
      </c>
      <c r="BS88" t="s">
        <v>4027</v>
      </c>
      <c r="BT88" t="s">
        <v>4028</v>
      </c>
      <c r="BU88" t="s">
        <v>4029</v>
      </c>
      <c r="BV88" t="s">
        <v>4030</v>
      </c>
      <c r="BW88" t="s">
        <v>4039</v>
      </c>
      <c r="CB88" t="s">
        <v>4208</v>
      </c>
      <c r="CC88">
        <v>1</v>
      </c>
      <c r="CN88" t="s">
        <v>4032</v>
      </c>
      <c r="CW88">
        <v>2</v>
      </c>
      <c r="CX88" t="s">
        <v>4104</v>
      </c>
    </row>
    <row r="89" spans="3:102" x14ac:dyDescent="0.3">
      <c r="C89" t="s">
        <v>3637</v>
      </c>
    </row>
    <row r="90" spans="3:102" x14ac:dyDescent="0.3">
      <c r="C90" t="s">
        <v>331</v>
      </c>
      <c r="D90">
        <v>12</v>
      </c>
      <c r="E90">
        <v>100000</v>
      </c>
      <c r="F90" t="s">
        <v>4014</v>
      </c>
      <c r="G90" t="s">
        <v>4015</v>
      </c>
      <c r="H90" t="s">
        <v>4105</v>
      </c>
      <c r="AV90" t="s">
        <v>4204</v>
      </c>
      <c r="AW90" t="s">
        <v>4205</v>
      </c>
      <c r="AX90" t="s">
        <v>4106</v>
      </c>
      <c r="AY90" t="s">
        <v>4107</v>
      </c>
      <c r="BH90" t="s">
        <v>4018</v>
      </c>
      <c r="BI90" t="s">
        <v>4019</v>
      </c>
      <c r="BJ90" t="s">
        <v>4020</v>
      </c>
      <c r="BK90" t="s">
        <v>4021</v>
      </c>
      <c r="BL90" t="s">
        <v>4022</v>
      </c>
      <c r="BM90" t="s">
        <v>4023</v>
      </c>
      <c r="BN90" t="s">
        <v>4024</v>
      </c>
      <c r="BO90" t="s">
        <v>4025</v>
      </c>
      <c r="BR90" t="s">
        <v>4026</v>
      </c>
      <c r="BS90" t="s">
        <v>4027</v>
      </c>
      <c r="BT90" t="s">
        <v>4028</v>
      </c>
      <c r="BU90" t="s">
        <v>4029</v>
      </c>
      <c r="BV90" t="s">
        <v>4030</v>
      </c>
      <c r="BW90" t="s">
        <v>4039</v>
      </c>
      <c r="CB90" t="s">
        <v>4208</v>
      </c>
      <c r="CC90">
        <v>1</v>
      </c>
      <c r="CN90" t="s">
        <v>4032</v>
      </c>
      <c r="CW90">
        <v>2</v>
      </c>
      <c r="CX90" t="s">
        <v>4108</v>
      </c>
    </row>
    <row r="91" spans="3:102" x14ac:dyDescent="0.3">
      <c r="C91" t="s">
        <v>3638</v>
      </c>
    </row>
    <row r="92" spans="3:102" x14ac:dyDescent="0.3">
      <c r="C92" t="s">
        <v>341</v>
      </c>
      <c r="D92">
        <v>12</v>
      </c>
      <c r="E92">
        <v>100000</v>
      </c>
      <c r="F92" t="s">
        <v>4014</v>
      </c>
      <c r="G92" t="s">
        <v>4015</v>
      </c>
      <c r="H92" t="s">
        <v>4105</v>
      </c>
      <c r="AV92" t="s">
        <v>4204</v>
      </c>
      <c r="AW92" t="s">
        <v>4205</v>
      </c>
      <c r="AX92" t="s">
        <v>4109</v>
      </c>
      <c r="AY92" t="s">
        <v>4110</v>
      </c>
      <c r="BH92" t="s">
        <v>4018</v>
      </c>
      <c r="BI92" t="s">
        <v>4019</v>
      </c>
      <c r="BJ92" t="s">
        <v>4020</v>
      </c>
      <c r="BK92" t="s">
        <v>4021</v>
      </c>
      <c r="BL92" t="s">
        <v>4022</v>
      </c>
      <c r="BM92" t="s">
        <v>4023</v>
      </c>
      <c r="BN92" t="s">
        <v>4024</v>
      </c>
      <c r="BO92" t="s">
        <v>4025</v>
      </c>
      <c r="BR92" t="s">
        <v>4026</v>
      </c>
      <c r="BS92" t="s">
        <v>4027</v>
      </c>
      <c r="BT92" t="s">
        <v>4028</v>
      </c>
      <c r="BU92" t="s">
        <v>4029</v>
      </c>
      <c r="BV92" t="s">
        <v>4030</v>
      </c>
      <c r="BW92" t="s">
        <v>4039</v>
      </c>
      <c r="CB92" t="s">
        <v>4208</v>
      </c>
      <c r="CC92">
        <v>1</v>
      </c>
      <c r="CN92" t="s">
        <v>4032</v>
      </c>
      <c r="CW92">
        <v>2</v>
      </c>
      <c r="CX92" t="s">
        <v>4111</v>
      </c>
    </row>
    <row r="93" spans="3:102" x14ac:dyDescent="0.3">
      <c r="C93" t="s">
        <v>3639</v>
      </c>
    </row>
    <row r="94" spans="3:102" x14ac:dyDescent="0.3">
      <c r="C94" t="s">
        <v>350</v>
      </c>
      <c r="D94">
        <v>12</v>
      </c>
      <c r="E94">
        <v>100000</v>
      </c>
      <c r="F94" t="s">
        <v>4014</v>
      </c>
      <c r="G94" t="s">
        <v>4015</v>
      </c>
      <c r="H94" t="s">
        <v>4080</v>
      </c>
      <c r="AV94" t="s">
        <v>4204</v>
      </c>
      <c r="AW94" t="s">
        <v>4205</v>
      </c>
      <c r="AX94" t="s">
        <v>4112</v>
      </c>
      <c r="BH94" t="s">
        <v>4018</v>
      </c>
      <c r="BI94" t="s">
        <v>4019</v>
      </c>
      <c r="BJ94" t="s">
        <v>4020</v>
      </c>
      <c r="BK94" t="s">
        <v>4021</v>
      </c>
      <c r="BL94" t="s">
        <v>4022</v>
      </c>
      <c r="BM94" t="s">
        <v>4023</v>
      </c>
      <c r="BN94" t="s">
        <v>4024</v>
      </c>
      <c r="BO94" t="s">
        <v>4025</v>
      </c>
      <c r="BR94" t="s">
        <v>4026</v>
      </c>
      <c r="BS94" t="s">
        <v>4027</v>
      </c>
      <c r="BT94" t="s">
        <v>4028</v>
      </c>
      <c r="BU94" t="s">
        <v>4029</v>
      </c>
      <c r="BV94" t="s">
        <v>4030</v>
      </c>
      <c r="BW94" t="s">
        <v>4039</v>
      </c>
      <c r="CB94" t="s">
        <v>4208</v>
      </c>
      <c r="CC94">
        <v>1</v>
      </c>
      <c r="CN94" t="s">
        <v>4032</v>
      </c>
      <c r="CW94">
        <v>2</v>
      </c>
      <c r="CX94" t="s">
        <v>4113</v>
      </c>
    </row>
    <row r="95" spans="3:102" x14ac:dyDescent="0.3">
      <c r="C95" t="s">
        <v>3640</v>
      </c>
    </row>
    <row r="96" spans="3:102" x14ac:dyDescent="0.3">
      <c r="C96" t="s">
        <v>360</v>
      </c>
      <c r="D96">
        <v>12</v>
      </c>
      <c r="E96">
        <v>100000</v>
      </c>
      <c r="F96" t="s">
        <v>4014</v>
      </c>
      <c r="G96" t="s">
        <v>4015</v>
      </c>
      <c r="H96" t="s">
        <v>4105</v>
      </c>
      <c r="AV96" t="s">
        <v>4204</v>
      </c>
      <c r="AW96" t="s">
        <v>4205</v>
      </c>
      <c r="AX96" t="s">
        <v>4114</v>
      </c>
      <c r="AY96" t="s">
        <v>4115</v>
      </c>
      <c r="BH96" t="s">
        <v>4018</v>
      </c>
      <c r="BI96" t="s">
        <v>4019</v>
      </c>
      <c r="BJ96" t="s">
        <v>4020</v>
      </c>
      <c r="BK96" t="s">
        <v>4021</v>
      </c>
      <c r="BL96" t="s">
        <v>4022</v>
      </c>
      <c r="BM96" t="s">
        <v>4023</v>
      </c>
      <c r="BN96" t="s">
        <v>4024</v>
      </c>
      <c r="BO96" t="s">
        <v>4025</v>
      </c>
      <c r="BR96" t="s">
        <v>4026</v>
      </c>
      <c r="BS96" t="s">
        <v>4027</v>
      </c>
      <c r="BT96" t="s">
        <v>4028</v>
      </c>
      <c r="BU96" t="s">
        <v>4029</v>
      </c>
      <c r="BV96" t="s">
        <v>4030</v>
      </c>
      <c r="BW96" t="s">
        <v>4039</v>
      </c>
      <c r="CB96" t="s">
        <v>4208</v>
      </c>
      <c r="CC96">
        <v>1</v>
      </c>
      <c r="CN96" t="s">
        <v>4032</v>
      </c>
      <c r="CW96">
        <v>2</v>
      </c>
      <c r="CX96" t="s">
        <v>4116</v>
      </c>
    </row>
    <row r="97" spans="3:102" x14ac:dyDescent="0.3">
      <c r="C97" t="s">
        <v>3641</v>
      </c>
    </row>
    <row r="98" spans="3:102" x14ac:dyDescent="0.3">
      <c r="C98" t="s">
        <v>369</v>
      </c>
      <c r="D98">
        <v>12</v>
      </c>
      <c r="E98">
        <v>100000</v>
      </c>
      <c r="F98" t="s">
        <v>4014</v>
      </c>
      <c r="G98" t="s">
        <v>4015</v>
      </c>
      <c r="H98" t="s">
        <v>4080</v>
      </c>
      <c r="AV98" t="s">
        <v>4204</v>
      </c>
      <c r="AW98" t="s">
        <v>4205</v>
      </c>
      <c r="AX98" t="s">
        <v>4117</v>
      </c>
      <c r="BH98" t="s">
        <v>4018</v>
      </c>
      <c r="BI98" t="s">
        <v>4019</v>
      </c>
      <c r="BJ98" t="s">
        <v>4020</v>
      </c>
      <c r="BK98" t="s">
        <v>4021</v>
      </c>
      <c r="BL98" t="s">
        <v>4022</v>
      </c>
      <c r="BM98" t="s">
        <v>4023</v>
      </c>
      <c r="BN98" t="s">
        <v>4024</v>
      </c>
      <c r="BO98" t="s">
        <v>4025</v>
      </c>
      <c r="BR98" t="s">
        <v>4026</v>
      </c>
      <c r="BS98" t="s">
        <v>4027</v>
      </c>
      <c r="BT98" t="s">
        <v>4028</v>
      </c>
      <c r="BU98" t="s">
        <v>4029</v>
      </c>
      <c r="BV98" t="s">
        <v>4030</v>
      </c>
      <c r="BW98" t="s">
        <v>4039</v>
      </c>
      <c r="CB98" t="s">
        <v>4208</v>
      </c>
      <c r="CC98">
        <v>1</v>
      </c>
      <c r="CN98" t="s">
        <v>4032</v>
      </c>
      <c r="CW98">
        <v>2</v>
      </c>
      <c r="CX98" t="s">
        <v>4118</v>
      </c>
    </row>
    <row r="99" spans="3:102" x14ac:dyDescent="0.3">
      <c r="C99" t="s">
        <v>3642</v>
      </c>
    </row>
    <row r="100" spans="3:102" x14ac:dyDescent="0.3">
      <c r="C100" t="s">
        <v>379</v>
      </c>
      <c r="D100">
        <v>12</v>
      </c>
      <c r="E100">
        <v>100000</v>
      </c>
      <c r="F100" t="s">
        <v>4014</v>
      </c>
      <c r="G100" t="s">
        <v>4015</v>
      </c>
      <c r="H100" t="s">
        <v>4105</v>
      </c>
      <c r="AV100" t="s">
        <v>4204</v>
      </c>
      <c r="AW100" t="s">
        <v>4205</v>
      </c>
      <c r="AX100" t="s">
        <v>4119</v>
      </c>
      <c r="AY100" t="s">
        <v>4120</v>
      </c>
      <c r="BH100" t="s">
        <v>4018</v>
      </c>
      <c r="BI100" t="s">
        <v>4019</v>
      </c>
      <c r="BJ100" t="s">
        <v>4020</v>
      </c>
      <c r="BK100" t="s">
        <v>4021</v>
      </c>
      <c r="BL100" t="s">
        <v>4022</v>
      </c>
      <c r="BM100" t="s">
        <v>4023</v>
      </c>
      <c r="BN100" t="s">
        <v>4024</v>
      </c>
      <c r="BO100" t="s">
        <v>4025</v>
      </c>
      <c r="BR100" t="s">
        <v>4026</v>
      </c>
      <c r="BS100" t="s">
        <v>4027</v>
      </c>
      <c r="BT100" t="s">
        <v>4028</v>
      </c>
      <c r="BU100" t="s">
        <v>4029</v>
      </c>
      <c r="BV100" t="s">
        <v>4030</v>
      </c>
      <c r="BW100" t="s">
        <v>4039</v>
      </c>
      <c r="CB100" t="s">
        <v>4208</v>
      </c>
      <c r="CC100">
        <v>1</v>
      </c>
      <c r="CN100" t="s">
        <v>4032</v>
      </c>
      <c r="CW100">
        <v>2</v>
      </c>
      <c r="CX100" t="s">
        <v>4121</v>
      </c>
    </row>
    <row r="101" spans="3:102" x14ac:dyDescent="0.3">
      <c r="C101" t="s">
        <v>3643</v>
      </c>
    </row>
    <row r="102" spans="3:102" x14ac:dyDescent="0.3">
      <c r="C102" t="s">
        <v>387</v>
      </c>
      <c r="D102">
        <v>12</v>
      </c>
      <c r="E102">
        <v>100000</v>
      </c>
      <c r="F102" t="s">
        <v>4014</v>
      </c>
      <c r="G102" t="s">
        <v>4015</v>
      </c>
      <c r="H102" t="s">
        <v>4080</v>
      </c>
      <c r="AV102" t="s">
        <v>4204</v>
      </c>
      <c r="AW102" t="s">
        <v>4205</v>
      </c>
      <c r="AX102" t="s">
        <v>4122</v>
      </c>
      <c r="BH102" t="s">
        <v>4018</v>
      </c>
      <c r="BI102" t="s">
        <v>4019</v>
      </c>
      <c r="BJ102" t="s">
        <v>4020</v>
      </c>
      <c r="BK102" t="s">
        <v>4021</v>
      </c>
      <c r="BL102" t="s">
        <v>4022</v>
      </c>
      <c r="BM102" t="s">
        <v>4023</v>
      </c>
      <c r="BN102" t="s">
        <v>4024</v>
      </c>
      <c r="BO102" t="s">
        <v>4025</v>
      </c>
      <c r="BR102" t="s">
        <v>4026</v>
      </c>
      <c r="BS102" t="s">
        <v>4027</v>
      </c>
      <c r="BT102" t="s">
        <v>4028</v>
      </c>
      <c r="BU102" t="s">
        <v>4029</v>
      </c>
      <c r="BV102" t="s">
        <v>4030</v>
      </c>
      <c r="BW102" t="s">
        <v>4039</v>
      </c>
      <c r="CB102" t="s">
        <v>4208</v>
      </c>
      <c r="CC102">
        <v>1</v>
      </c>
      <c r="CN102" t="s">
        <v>4032</v>
      </c>
      <c r="CW102">
        <v>2</v>
      </c>
      <c r="CX102" t="s">
        <v>4123</v>
      </c>
    </row>
    <row r="103" spans="3:102" x14ac:dyDescent="0.3">
      <c r="C103" t="s">
        <v>3644</v>
      </c>
    </row>
    <row r="104" spans="3:102" x14ac:dyDescent="0.3">
      <c r="C104" t="s">
        <v>3645</v>
      </c>
      <c r="D104">
        <v>12</v>
      </c>
      <c r="E104">
        <v>100000</v>
      </c>
      <c r="F104" t="s">
        <v>4014</v>
      </c>
      <c r="G104" t="s">
        <v>4015</v>
      </c>
      <c r="H104" t="s">
        <v>4034</v>
      </c>
      <c r="AV104" t="s">
        <v>4204</v>
      </c>
      <c r="AW104" t="s">
        <v>4205</v>
      </c>
      <c r="AX104" t="s">
        <v>4278</v>
      </c>
      <c r="BH104" t="s">
        <v>4018</v>
      </c>
      <c r="BI104" t="s">
        <v>4019</v>
      </c>
      <c r="BJ104" t="s">
        <v>4020</v>
      </c>
      <c r="BK104" t="s">
        <v>4021</v>
      </c>
      <c r="BL104" t="s">
        <v>4022</v>
      </c>
      <c r="BM104" t="s">
        <v>4023</v>
      </c>
      <c r="BN104" t="s">
        <v>4024</v>
      </c>
      <c r="BO104" t="s">
        <v>4025</v>
      </c>
      <c r="BR104" t="s">
        <v>4026</v>
      </c>
      <c r="BS104" t="s">
        <v>4027</v>
      </c>
      <c r="BT104" t="s">
        <v>4028</v>
      </c>
      <c r="BU104" t="s">
        <v>4029</v>
      </c>
      <c r="BV104" t="s">
        <v>4030</v>
      </c>
      <c r="BW104" t="s">
        <v>4031</v>
      </c>
      <c r="CB104" t="s">
        <v>4208</v>
      </c>
      <c r="CC104">
        <v>1</v>
      </c>
      <c r="CN104" t="s">
        <v>4032</v>
      </c>
      <c r="CW104">
        <v>2</v>
      </c>
      <c r="CX104" t="s">
        <v>4279</v>
      </c>
    </row>
    <row r="105" spans="3:102" x14ac:dyDescent="0.3">
      <c r="C105" t="s">
        <v>3646</v>
      </c>
    </row>
    <row r="106" spans="3:102" x14ac:dyDescent="0.3">
      <c r="C106" t="s">
        <v>3647</v>
      </c>
      <c r="D106">
        <v>12</v>
      </c>
      <c r="E106">
        <v>100000</v>
      </c>
      <c r="F106" t="s">
        <v>4014</v>
      </c>
      <c r="G106" t="s">
        <v>4015</v>
      </c>
      <c r="H106" t="s">
        <v>4034</v>
      </c>
      <c r="AV106" t="s">
        <v>4204</v>
      </c>
      <c r="AW106" t="s">
        <v>4205</v>
      </c>
      <c r="AX106" t="s">
        <v>4280</v>
      </c>
      <c r="BH106" t="s">
        <v>4018</v>
      </c>
      <c r="BI106" t="s">
        <v>4019</v>
      </c>
      <c r="BJ106" t="s">
        <v>4020</v>
      </c>
      <c r="BK106" t="s">
        <v>4021</v>
      </c>
      <c r="BL106" t="s">
        <v>4022</v>
      </c>
      <c r="BM106" t="s">
        <v>4023</v>
      </c>
      <c r="BN106" t="s">
        <v>4024</v>
      </c>
      <c r="BO106" t="s">
        <v>4025</v>
      </c>
      <c r="BR106" t="s">
        <v>4026</v>
      </c>
      <c r="BS106" t="s">
        <v>4027</v>
      </c>
      <c r="BT106" t="s">
        <v>4028</v>
      </c>
      <c r="BU106" t="s">
        <v>4029</v>
      </c>
      <c r="BV106" t="s">
        <v>4030</v>
      </c>
      <c r="BW106" t="s">
        <v>4031</v>
      </c>
      <c r="CB106" t="s">
        <v>4208</v>
      </c>
      <c r="CC106">
        <v>1</v>
      </c>
      <c r="CN106" t="s">
        <v>4032</v>
      </c>
      <c r="CW106">
        <v>2</v>
      </c>
      <c r="CX106" t="s">
        <v>4281</v>
      </c>
    </row>
    <row r="107" spans="3:102" x14ac:dyDescent="0.3">
      <c r="C107" t="s">
        <v>3648</v>
      </c>
    </row>
    <row r="108" spans="3:102" x14ac:dyDescent="0.3">
      <c r="C108" t="s">
        <v>3649</v>
      </c>
      <c r="D108">
        <v>12</v>
      </c>
      <c r="E108">
        <v>500000</v>
      </c>
      <c r="F108" t="s">
        <v>4014</v>
      </c>
      <c r="G108" t="s">
        <v>4015</v>
      </c>
      <c r="H108" t="s">
        <v>4034</v>
      </c>
      <c r="AV108" t="s">
        <v>4204</v>
      </c>
      <c r="AW108" t="s">
        <v>4205</v>
      </c>
      <c r="AX108" t="s">
        <v>4282</v>
      </c>
      <c r="BH108" t="s">
        <v>4018</v>
      </c>
      <c r="BI108" t="s">
        <v>4019</v>
      </c>
      <c r="BJ108" t="s">
        <v>4020</v>
      </c>
      <c r="BK108" t="s">
        <v>4021</v>
      </c>
      <c r="BL108" t="s">
        <v>4022</v>
      </c>
      <c r="BM108" t="s">
        <v>4023</v>
      </c>
      <c r="BN108" t="s">
        <v>4024</v>
      </c>
      <c r="BO108" t="s">
        <v>4025</v>
      </c>
      <c r="BR108" t="s">
        <v>4026</v>
      </c>
      <c r="BS108" t="s">
        <v>4027</v>
      </c>
      <c r="BT108" t="s">
        <v>4028</v>
      </c>
      <c r="BU108" t="s">
        <v>4029</v>
      </c>
      <c r="BV108" t="s">
        <v>4030</v>
      </c>
      <c r="BW108" t="s">
        <v>4031</v>
      </c>
      <c r="CB108" t="s">
        <v>4208</v>
      </c>
      <c r="CC108">
        <v>1</v>
      </c>
      <c r="CN108" t="s">
        <v>4032</v>
      </c>
      <c r="CW108">
        <v>2</v>
      </c>
      <c r="CX108" t="s">
        <v>4283</v>
      </c>
    </row>
    <row r="109" spans="3:102" x14ac:dyDescent="0.3">
      <c r="C109" t="s">
        <v>3650</v>
      </c>
    </row>
    <row r="110" spans="3:102" x14ac:dyDescent="0.3">
      <c r="C110" t="s">
        <v>3651</v>
      </c>
      <c r="D110">
        <v>12</v>
      </c>
      <c r="E110">
        <v>1000000</v>
      </c>
      <c r="F110" t="s">
        <v>4014</v>
      </c>
      <c r="G110" t="s">
        <v>4015</v>
      </c>
      <c r="H110" t="s">
        <v>4034</v>
      </c>
      <c r="AV110" t="s">
        <v>4204</v>
      </c>
      <c r="AW110" t="s">
        <v>4205</v>
      </c>
      <c r="AX110" t="s">
        <v>4284</v>
      </c>
      <c r="BH110" t="s">
        <v>4018</v>
      </c>
      <c r="BI110" t="s">
        <v>4019</v>
      </c>
      <c r="BJ110" t="s">
        <v>4020</v>
      </c>
      <c r="BK110" t="s">
        <v>4021</v>
      </c>
      <c r="BL110" t="s">
        <v>4022</v>
      </c>
      <c r="BM110" t="s">
        <v>4023</v>
      </c>
      <c r="BN110" t="s">
        <v>4024</v>
      </c>
      <c r="BO110" t="s">
        <v>4025</v>
      </c>
      <c r="BR110" t="s">
        <v>4026</v>
      </c>
      <c r="BS110" t="s">
        <v>4027</v>
      </c>
      <c r="BT110" t="s">
        <v>4028</v>
      </c>
      <c r="BU110" t="s">
        <v>4029</v>
      </c>
      <c r="BV110" t="s">
        <v>4030</v>
      </c>
      <c r="BW110" t="s">
        <v>4031</v>
      </c>
      <c r="CB110" t="s">
        <v>4208</v>
      </c>
      <c r="CC110">
        <v>1</v>
      </c>
      <c r="CN110" t="s">
        <v>4032</v>
      </c>
      <c r="CW110">
        <v>2</v>
      </c>
      <c r="CX110" t="s">
        <v>4285</v>
      </c>
    </row>
    <row r="111" spans="3:102" x14ac:dyDescent="0.3">
      <c r="C111" t="s">
        <v>3652</v>
      </c>
    </row>
    <row r="112" spans="3:102" x14ac:dyDescent="0.3">
      <c r="C112" t="s">
        <v>3653</v>
      </c>
      <c r="D112">
        <v>12</v>
      </c>
      <c r="E112">
        <v>1000000</v>
      </c>
      <c r="F112" t="s">
        <v>4014</v>
      </c>
      <c r="G112" t="s">
        <v>4015</v>
      </c>
      <c r="H112" t="s">
        <v>4034</v>
      </c>
      <c r="AV112" t="s">
        <v>4204</v>
      </c>
      <c r="AW112" t="s">
        <v>4205</v>
      </c>
      <c r="AX112" t="s">
        <v>4286</v>
      </c>
      <c r="BH112" t="s">
        <v>4018</v>
      </c>
      <c r="BI112" t="s">
        <v>4019</v>
      </c>
      <c r="BJ112" t="s">
        <v>4020</v>
      </c>
      <c r="BK112" t="s">
        <v>4021</v>
      </c>
      <c r="BL112" t="s">
        <v>4022</v>
      </c>
      <c r="BM112" t="s">
        <v>4023</v>
      </c>
      <c r="BN112" t="s">
        <v>4024</v>
      </c>
      <c r="BO112" t="s">
        <v>4025</v>
      </c>
      <c r="BR112" t="s">
        <v>4026</v>
      </c>
      <c r="BS112" t="s">
        <v>4027</v>
      </c>
      <c r="BT112" t="s">
        <v>4028</v>
      </c>
      <c r="BU112" t="s">
        <v>4029</v>
      </c>
      <c r="BV112" t="s">
        <v>4030</v>
      </c>
      <c r="BW112" t="s">
        <v>4031</v>
      </c>
      <c r="CB112" t="s">
        <v>4208</v>
      </c>
      <c r="CC112">
        <v>1</v>
      </c>
      <c r="CN112" t="s">
        <v>4032</v>
      </c>
      <c r="CW112">
        <v>2</v>
      </c>
      <c r="CX112" t="s">
        <v>4287</v>
      </c>
    </row>
    <row r="113" spans="3:102" x14ac:dyDescent="0.3">
      <c r="C113" t="s">
        <v>3654</v>
      </c>
    </row>
    <row r="114" spans="3:102" x14ac:dyDescent="0.3">
      <c r="C114" t="s">
        <v>3655</v>
      </c>
      <c r="D114">
        <v>12</v>
      </c>
      <c r="E114">
        <v>100000</v>
      </c>
      <c r="F114" t="s">
        <v>4014</v>
      </c>
      <c r="G114" t="s">
        <v>4015</v>
      </c>
      <c r="H114" t="s">
        <v>4170</v>
      </c>
      <c r="AV114" t="s">
        <v>4204</v>
      </c>
      <c r="AW114" t="s">
        <v>4205</v>
      </c>
      <c r="AX114" t="s">
        <v>4288</v>
      </c>
      <c r="AY114" t="s">
        <v>4172</v>
      </c>
      <c r="AZ114" t="s">
        <v>4173</v>
      </c>
      <c r="BA114" t="s">
        <v>4174</v>
      </c>
      <c r="BB114" t="s">
        <v>4122</v>
      </c>
      <c r="BH114" t="s">
        <v>4018</v>
      </c>
      <c r="BI114" t="s">
        <v>4019</v>
      </c>
      <c r="BJ114" t="s">
        <v>4020</v>
      </c>
      <c r="BK114" t="s">
        <v>4021</v>
      </c>
      <c r="BL114" t="s">
        <v>4022</v>
      </c>
      <c r="BM114" t="s">
        <v>4023</v>
      </c>
      <c r="BN114" t="s">
        <v>4024</v>
      </c>
      <c r="BO114" t="s">
        <v>4025</v>
      </c>
      <c r="BR114" t="s">
        <v>4026</v>
      </c>
      <c r="BS114" t="s">
        <v>4027</v>
      </c>
      <c r="BT114" t="s">
        <v>4028</v>
      </c>
      <c r="BU114" t="s">
        <v>4029</v>
      </c>
      <c r="BV114" t="s">
        <v>4030</v>
      </c>
      <c r="BW114" t="s">
        <v>4039</v>
      </c>
      <c r="CB114" t="s">
        <v>4208</v>
      </c>
      <c r="CC114">
        <v>1</v>
      </c>
      <c r="CN114" t="s">
        <v>4032</v>
      </c>
      <c r="CW114">
        <v>2</v>
      </c>
      <c r="CX114" t="s">
        <v>4289</v>
      </c>
    </row>
    <row r="115" spans="3:102" x14ac:dyDescent="0.3">
      <c r="C115" t="s">
        <v>3656</v>
      </c>
    </row>
    <row r="116" spans="3:102" x14ac:dyDescent="0.3">
      <c r="C116" t="s">
        <v>3657</v>
      </c>
      <c r="D116">
        <v>12</v>
      </c>
      <c r="E116">
        <v>100000</v>
      </c>
      <c r="F116" t="s">
        <v>4014</v>
      </c>
      <c r="G116" t="s">
        <v>4015</v>
      </c>
      <c r="H116" t="s">
        <v>4034</v>
      </c>
      <c r="AV116" t="s">
        <v>4204</v>
      </c>
      <c r="AW116" t="s">
        <v>4205</v>
      </c>
      <c r="AX116" t="s">
        <v>4290</v>
      </c>
      <c r="BH116" t="s">
        <v>4018</v>
      </c>
      <c r="BI116" t="s">
        <v>4019</v>
      </c>
      <c r="BJ116" t="s">
        <v>4020</v>
      </c>
      <c r="BK116" t="s">
        <v>4021</v>
      </c>
      <c r="BL116" t="s">
        <v>4022</v>
      </c>
      <c r="BM116" t="s">
        <v>4023</v>
      </c>
      <c r="BN116" t="s">
        <v>4024</v>
      </c>
      <c r="BO116" t="s">
        <v>4025</v>
      </c>
      <c r="BR116" t="s">
        <v>4026</v>
      </c>
      <c r="BS116" t="s">
        <v>4027</v>
      </c>
      <c r="BT116" t="s">
        <v>4028</v>
      </c>
      <c r="BU116" t="s">
        <v>4029</v>
      </c>
      <c r="BV116" t="s">
        <v>4030</v>
      </c>
      <c r="BW116" t="s">
        <v>4039</v>
      </c>
      <c r="CB116" t="s">
        <v>4208</v>
      </c>
      <c r="CC116">
        <v>1</v>
      </c>
      <c r="CN116" t="s">
        <v>4032</v>
      </c>
      <c r="CW116">
        <v>2</v>
      </c>
      <c r="CX116" t="s">
        <v>4291</v>
      </c>
    </row>
    <row r="117" spans="3:102" x14ac:dyDescent="0.3">
      <c r="C117" t="s">
        <v>3658</v>
      </c>
    </row>
    <row r="118" spans="3:102" x14ac:dyDescent="0.3">
      <c r="C118" t="s">
        <v>3659</v>
      </c>
      <c r="D118">
        <v>12</v>
      </c>
      <c r="E118">
        <v>100000</v>
      </c>
      <c r="F118" t="s">
        <v>4014</v>
      </c>
      <c r="G118" t="s">
        <v>4015</v>
      </c>
      <c r="H118" t="s">
        <v>4034</v>
      </c>
      <c r="AV118" t="s">
        <v>4204</v>
      </c>
      <c r="AW118" t="s">
        <v>4205</v>
      </c>
      <c r="AX118" t="s">
        <v>4292</v>
      </c>
      <c r="BH118" t="s">
        <v>4018</v>
      </c>
      <c r="BI118" t="s">
        <v>4019</v>
      </c>
      <c r="BJ118" t="s">
        <v>4020</v>
      </c>
      <c r="BK118" t="s">
        <v>4021</v>
      </c>
      <c r="BL118" t="s">
        <v>4022</v>
      </c>
      <c r="BM118" t="s">
        <v>4023</v>
      </c>
      <c r="BN118" t="s">
        <v>4024</v>
      </c>
      <c r="BO118" t="s">
        <v>4025</v>
      </c>
      <c r="BR118" t="s">
        <v>4026</v>
      </c>
      <c r="BS118" t="s">
        <v>4027</v>
      </c>
      <c r="BT118" t="s">
        <v>4028</v>
      </c>
      <c r="BU118" t="s">
        <v>4029</v>
      </c>
      <c r="BV118" t="s">
        <v>4030</v>
      </c>
      <c r="BW118" t="s">
        <v>4039</v>
      </c>
      <c r="CB118" t="s">
        <v>4208</v>
      </c>
      <c r="CC118">
        <v>1</v>
      </c>
      <c r="CN118" t="s">
        <v>4032</v>
      </c>
      <c r="CW118">
        <v>2</v>
      </c>
      <c r="CX118" t="s">
        <v>4293</v>
      </c>
    </row>
    <row r="119" spans="3:102" x14ac:dyDescent="0.3">
      <c r="C119" t="s">
        <v>3660</v>
      </c>
    </row>
    <row r="120" spans="3:102" x14ac:dyDescent="0.3">
      <c r="C120" t="s">
        <v>3661</v>
      </c>
      <c r="D120">
        <v>12</v>
      </c>
      <c r="E120">
        <v>1000000</v>
      </c>
      <c r="F120" t="s">
        <v>4014</v>
      </c>
      <c r="G120" t="s">
        <v>4015</v>
      </c>
      <c r="H120" t="s">
        <v>4034</v>
      </c>
      <c r="AV120" t="s">
        <v>4204</v>
      </c>
      <c r="AW120" t="s">
        <v>4205</v>
      </c>
      <c r="AX120" t="s">
        <v>4294</v>
      </c>
      <c r="BH120" t="s">
        <v>4018</v>
      </c>
      <c r="BI120" t="s">
        <v>4019</v>
      </c>
      <c r="BJ120" t="s">
        <v>4020</v>
      </c>
      <c r="BK120" t="s">
        <v>4021</v>
      </c>
      <c r="BL120" t="s">
        <v>4022</v>
      </c>
      <c r="BM120" t="s">
        <v>4023</v>
      </c>
      <c r="BN120" t="s">
        <v>4024</v>
      </c>
      <c r="BO120" t="s">
        <v>4025</v>
      </c>
      <c r="BR120" t="s">
        <v>4026</v>
      </c>
      <c r="BS120" t="s">
        <v>4027</v>
      </c>
      <c r="BT120" t="s">
        <v>4028</v>
      </c>
      <c r="BU120" t="s">
        <v>4029</v>
      </c>
      <c r="BV120" t="s">
        <v>4030</v>
      </c>
      <c r="BW120" t="s">
        <v>4039</v>
      </c>
      <c r="CB120" t="s">
        <v>4208</v>
      </c>
      <c r="CC120">
        <v>1</v>
      </c>
      <c r="CN120" t="s">
        <v>4032</v>
      </c>
      <c r="CW120">
        <v>2</v>
      </c>
      <c r="CX120" t="s">
        <v>4295</v>
      </c>
    </row>
    <row r="121" spans="3:102" x14ac:dyDescent="0.3">
      <c r="C121" t="s">
        <v>3662</v>
      </c>
    </row>
    <row r="122" spans="3:102" x14ac:dyDescent="0.3">
      <c r="C122" t="s">
        <v>3663</v>
      </c>
      <c r="D122">
        <v>12</v>
      </c>
      <c r="E122">
        <v>1000000</v>
      </c>
      <c r="F122" t="s">
        <v>4014</v>
      </c>
      <c r="G122" t="s">
        <v>4015</v>
      </c>
      <c r="H122" t="s">
        <v>4034</v>
      </c>
      <c r="AV122" t="s">
        <v>4204</v>
      </c>
      <c r="AW122" t="s">
        <v>4205</v>
      </c>
      <c r="AX122" t="s">
        <v>4296</v>
      </c>
      <c r="BH122" t="s">
        <v>4018</v>
      </c>
      <c r="BI122" t="s">
        <v>4019</v>
      </c>
      <c r="BJ122" t="s">
        <v>4020</v>
      </c>
      <c r="BK122" t="s">
        <v>4021</v>
      </c>
      <c r="BL122" t="s">
        <v>4022</v>
      </c>
      <c r="BM122" t="s">
        <v>4023</v>
      </c>
      <c r="BN122" t="s">
        <v>4024</v>
      </c>
      <c r="BO122" t="s">
        <v>4025</v>
      </c>
      <c r="BR122" t="s">
        <v>4026</v>
      </c>
      <c r="BS122" t="s">
        <v>4027</v>
      </c>
      <c r="BT122" t="s">
        <v>4028</v>
      </c>
      <c r="BU122" t="s">
        <v>4029</v>
      </c>
      <c r="BV122" t="s">
        <v>4030</v>
      </c>
      <c r="BW122" t="s">
        <v>4039</v>
      </c>
      <c r="CB122" t="s">
        <v>4208</v>
      </c>
      <c r="CC122">
        <v>1</v>
      </c>
      <c r="CN122" t="s">
        <v>4032</v>
      </c>
      <c r="CW122">
        <v>2</v>
      </c>
      <c r="CX122" t="s">
        <v>4297</v>
      </c>
    </row>
    <row r="123" spans="3:102" x14ac:dyDescent="0.3">
      <c r="C123" t="s">
        <v>3664</v>
      </c>
    </row>
    <row r="124" spans="3:102" x14ac:dyDescent="0.3">
      <c r="C124" t="s">
        <v>551</v>
      </c>
      <c r="D124">
        <v>12</v>
      </c>
      <c r="E124">
        <v>1000000</v>
      </c>
      <c r="F124" t="s">
        <v>4124</v>
      </c>
      <c r="G124" t="s">
        <v>4124</v>
      </c>
      <c r="H124" t="s">
        <v>4125</v>
      </c>
      <c r="AX124" t="s">
        <v>4126</v>
      </c>
      <c r="AY124" t="s">
        <v>4127</v>
      </c>
      <c r="AZ124" t="s">
        <v>4128</v>
      </c>
      <c r="BF124" t="s">
        <v>4127</v>
      </c>
      <c r="BG124" t="s">
        <v>4128</v>
      </c>
      <c r="BH124" t="s">
        <v>4018</v>
      </c>
      <c r="BI124" t="s">
        <v>4019</v>
      </c>
      <c r="BJ124" t="s">
        <v>4020</v>
      </c>
      <c r="BK124" t="s">
        <v>4021</v>
      </c>
      <c r="BL124" t="s">
        <v>4022</v>
      </c>
      <c r="BM124" t="s">
        <v>4023</v>
      </c>
      <c r="BN124" t="s">
        <v>4024</v>
      </c>
      <c r="BO124" t="s">
        <v>4025</v>
      </c>
      <c r="BP124" t="s">
        <v>4059</v>
      </c>
      <c r="BQ124" t="s">
        <v>4058</v>
      </c>
      <c r="BR124" t="s">
        <v>4026</v>
      </c>
      <c r="BS124" t="s">
        <v>4027</v>
      </c>
      <c r="BT124" t="s">
        <v>4028</v>
      </c>
      <c r="BU124" t="s">
        <v>4029</v>
      </c>
      <c r="BV124" t="s">
        <v>4030</v>
      </c>
      <c r="BW124" t="s">
        <v>4049</v>
      </c>
      <c r="CC124">
        <v>1</v>
      </c>
      <c r="CN124" t="s">
        <v>4101</v>
      </c>
      <c r="CW124">
        <v>2</v>
      </c>
      <c r="CX124" t="s">
        <v>4129</v>
      </c>
    </row>
    <row r="125" spans="3:102" x14ac:dyDescent="0.3">
      <c r="C125" t="s">
        <v>3665</v>
      </c>
    </row>
    <row r="126" spans="3:102" x14ac:dyDescent="0.3">
      <c r="C126" t="s">
        <v>540</v>
      </c>
      <c r="D126">
        <v>12</v>
      </c>
      <c r="E126">
        <v>1000000</v>
      </c>
      <c r="F126" t="s">
        <v>4124</v>
      </c>
      <c r="G126" t="s">
        <v>4124</v>
      </c>
      <c r="H126" t="s">
        <v>4125</v>
      </c>
      <c r="AX126" t="s">
        <v>4130</v>
      </c>
      <c r="AY126" t="s">
        <v>4131</v>
      </c>
      <c r="AZ126" t="s">
        <v>4132</v>
      </c>
      <c r="BF126" t="s">
        <v>4131</v>
      </c>
      <c r="BG126" t="s">
        <v>4132</v>
      </c>
      <c r="BH126" t="s">
        <v>4018</v>
      </c>
      <c r="BI126" t="s">
        <v>4019</v>
      </c>
      <c r="BJ126" t="s">
        <v>4020</v>
      </c>
      <c r="BK126" t="s">
        <v>4021</v>
      </c>
      <c r="BL126" t="s">
        <v>4022</v>
      </c>
      <c r="BM126" t="s">
        <v>4023</v>
      </c>
      <c r="BN126" t="s">
        <v>4024</v>
      </c>
      <c r="BO126" t="s">
        <v>4025</v>
      </c>
      <c r="BP126" t="s">
        <v>4059</v>
      </c>
      <c r="BQ126" t="s">
        <v>4058</v>
      </c>
      <c r="BR126" t="s">
        <v>4026</v>
      </c>
      <c r="BS126" t="s">
        <v>4027</v>
      </c>
      <c r="BT126" t="s">
        <v>4028</v>
      </c>
      <c r="BU126" t="s">
        <v>4029</v>
      </c>
      <c r="BV126" t="s">
        <v>4030</v>
      </c>
      <c r="BW126" t="s">
        <v>4049</v>
      </c>
      <c r="CC126">
        <v>1</v>
      </c>
      <c r="CN126" t="s">
        <v>4101</v>
      </c>
      <c r="CW126">
        <v>2</v>
      </c>
      <c r="CX126" t="s">
        <v>4133</v>
      </c>
    </row>
    <row r="127" spans="3:102" x14ac:dyDescent="0.3">
      <c r="C127" t="s">
        <v>3666</v>
      </c>
    </row>
    <row r="128" spans="3:102" x14ac:dyDescent="0.3">
      <c r="C128" t="s">
        <v>2930</v>
      </c>
      <c r="D128">
        <v>12</v>
      </c>
      <c r="E128">
        <v>500000</v>
      </c>
      <c r="F128" t="s">
        <v>4134</v>
      </c>
      <c r="G128" t="s">
        <v>4042</v>
      </c>
      <c r="H128" t="s">
        <v>4135</v>
      </c>
      <c r="AV128" t="s">
        <v>4220</v>
      </c>
      <c r="AW128" t="s">
        <v>4221</v>
      </c>
      <c r="AX128" t="s">
        <v>4136</v>
      </c>
      <c r="BH128" t="s">
        <v>4018</v>
      </c>
      <c r="BI128" t="s">
        <v>4019</v>
      </c>
      <c r="BJ128" t="s">
        <v>4137</v>
      </c>
      <c r="BK128" t="s">
        <v>4138</v>
      </c>
      <c r="BL128" t="s">
        <v>4139</v>
      </c>
      <c r="BM128" t="s">
        <v>4140</v>
      </c>
      <c r="BN128" t="s">
        <v>4141</v>
      </c>
      <c r="BO128" t="s">
        <v>4142</v>
      </c>
      <c r="BR128" t="s">
        <v>4026</v>
      </c>
      <c r="BS128" t="s">
        <v>4027</v>
      </c>
      <c r="BT128" t="s">
        <v>4028</v>
      </c>
      <c r="BU128" t="s">
        <v>4029</v>
      </c>
      <c r="BV128" t="s">
        <v>4030</v>
      </c>
      <c r="BW128" t="s">
        <v>4049</v>
      </c>
      <c r="CA128" t="s">
        <v>4251</v>
      </c>
      <c r="CB128" t="s">
        <v>4252</v>
      </c>
      <c r="CC128">
        <v>1</v>
      </c>
      <c r="CN128" t="s">
        <v>4050</v>
      </c>
      <c r="CW128">
        <v>2</v>
      </c>
      <c r="CX128" t="s">
        <v>4143</v>
      </c>
    </row>
    <row r="129" spans="3:102" x14ac:dyDescent="0.3">
      <c r="C129" t="s">
        <v>3667</v>
      </c>
    </row>
    <row r="130" spans="3:102" x14ac:dyDescent="0.3">
      <c r="C130" t="s">
        <v>3668</v>
      </c>
    </row>
    <row r="131" spans="3:102" x14ac:dyDescent="0.3">
      <c r="C131" t="s">
        <v>3669</v>
      </c>
    </row>
    <row r="132" spans="3:102" x14ac:dyDescent="0.3">
      <c r="C132" t="s">
        <v>3670</v>
      </c>
      <c r="D132">
        <v>12</v>
      </c>
      <c r="E132">
        <v>10000</v>
      </c>
      <c r="F132" t="s">
        <v>4014</v>
      </c>
      <c r="G132" t="s">
        <v>4015</v>
      </c>
      <c r="H132" t="s">
        <v>4016</v>
      </c>
      <c r="AV132" t="s">
        <v>4204</v>
      </c>
      <c r="AW132" t="s">
        <v>4205</v>
      </c>
      <c r="AX132" t="s">
        <v>4298</v>
      </c>
      <c r="BH132" t="s">
        <v>4018</v>
      </c>
      <c r="BI132" t="s">
        <v>4019</v>
      </c>
      <c r="BJ132" t="s">
        <v>4020</v>
      </c>
      <c r="BK132" t="s">
        <v>4021</v>
      </c>
      <c r="BL132" t="s">
        <v>4022</v>
      </c>
      <c r="BM132" t="s">
        <v>4023</v>
      </c>
      <c r="BN132" t="s">
        <v>4024</v>
      </c>
      <c r="BO132" t="s">
        <v>4025</v>
      </c>
      <c r="BR132" t="s">
        <v>4026</v>
      </c>
      <c r="BS132" t="s">
        <v>4027</v>
      </c>
      <c r="BT132" t="s">
        <v>4028</v>
      </c>
      <c r="BU132" t="s">
        <v>4029</v>
      </c>
      <c r="BV132" t="s">
        <v>4030</v>
      </c>
      <c r="BW132" t="s">
        <v>4207</v>
      </c>
      <c r="CB132" t="s">
        <v>4208</v>
      </c>
      <c r="CC132">
        <v>1</v>
      </c>
      <c r="CN132" t="s">
        <v>4032</v>
      </c>
      <c r="CW132">
        <v>1</v>
      </c>
      <c r="CX132" t="s">
        <v>4299</v>
      </c>
    </row>
    <row r="133" spans="3:102" x14ac:dyDescent="0.3">
      <c r="C133" t="s">
        <v>3671</v>
      </c>
    </row>
    <row r="134" spans="3:102" x14ac:dyDescent="0.3">
      <c r="C134" t="s">
        <v>3672</v>
      </c>
      <c r="D134">
        <v>12</v>
      </c>
      <c r="E134">
        <v>10000</v>
      </c>
      <c r="F134" t="s">
        <v>4014</v>
      </c>
      <c r="G134" t="s">
        <v>4015</v>
      </c>
      <c r="H134" t="s">
        <v>4034</v>
      </c>
      <c r="AV134" t="s">
        <v>4204</v>
      </c>
      <c r="AW134" t="s">
        <v>4205</v>
      </c>
      <c r="AX134" t="s">
        <v>4300</v>
      </c>
      <c r="BH134" t="s">
        <v>4018</v>
      </c>
      <c r="BI134" t="s">
        <v>4019</v>
      </c>
      <c r="BJ134" t="s">
        <v>4020</v>
      </c>
      <c r="BK134" t="s">
        <v>4021</v>
      </c>
      <c r="BL134" t="s">
        <v>4022</v>
      </c>
      <c r="BM134" t="s">
        <v>4023</v>
      </c>
      <c r="BN134" t="s">
        <v>4024</v>
      </c>
      <c r="BO134" t="s">
        <v>4025</v>
      </c>
      <c r="BR134" t="s">
        <v>4026</v>
      </c>
      <c r="BS134" t="s">
        <v>4027</v>
      </c>
      <c r="BT134" t="s">
        <v>4028</v>
      </c>
      <c r="BU134" t="s">
        <v>4029</v>
      </c>
      <c r="BV134" t="s">
        <v>4030</v>
      </c>
      <c r="BW134" t="s">
        <v>4036</v>
      </c>
      <c r="CB134" t="s">
        <v>4208</v>
      </c>
      <c r="CC134">
        <v>1</v>
      </c>
      <c r="CN134" t="s">
        <v>4032</v>
      </c>
      <c r="CW134">
        <v>2</v>
      </c>
      <c r="CX134" t="s">
        <v>4301</v>
      </c>
    </row>
    <row r="135" spans="3:102" x14ac:dyDescent="0.3">
      <c r="C135" t="s">
        <v>3673</v>
      </c>
    </row>
    <row r="136" spans="3:102" x14ac:dyDescent="0.3">
      <c r="C136" t="s">
        <v>3674</v>
      </c>
      <c r="D136">
        <v>12</v>
      </c>
      <c r="E136">
        <v>10000</v>
      </c>
      <c r="F136" t="s">
        <v>4014</v>
      </c>
      <c r="G136" t="s">
        <v>4015</v>
      </c>
      <c r="H136" t="s">
        <v>4302</v>
      </c>
      <c r="AV136" t="s">
        <v>4204</v>
      </c>
      <c r="AW136" t="s">
        <v>4205</v>
      </c>
      <c r="AX136" t="s">
        <v>4303</v>
      </c>
      <c r="AY136" t="s">
        <v>4304</v>
      </c>
      <c r="AZ136" t="s">
        <v>4305</v>
      </c>
      <c r="BA136" t="s">
        <v>4306</v>
      </c>
      <c r="BB136" t="s">
        <v>4307</v>
      </c>
      <c r="BH136" t="s">
        <v>4018</v>
      </c>
      <c r="BI136" t="s">
        <v>4019</v>
      </c>
      <c r="BJ136" t="s">
        <v>4020</v>
      </c>
      <c r="BK136" t="s">
        <v>4021</v>
      </c>
      <c r="BL136" t="s">
        <v>4022</v>
      </c>
      <c r="BM136" t="s">
        <v>4023</v>
      </c>
      <c r="BN136" t="s">
        <v>4024</v>
      </c>
      <c r="BO136" t="s">
        <v>4025</v>
      </c>
      <c r="BR136" t="s">
        <v>4026</v>
      </c>
      <c r="BS136" t="s">
        <v>4027</v>
      </c>
      <c r="BT136" t="s">
        <v>4028</v>
      </c>
      <c r="BU136" t="s">
        <v>4029</v>
      </c>
      <c r="BV136" t="s">
        <v>4030</v>
      </c>
      <c r="BW136" t="s">
        <v>4049</v>
      </c>
      <c r="CB136" t="s">
        <v>4208</v>
      </c>
      <c r="CC136">
        <v>1</v>
      </c>
      <c r="CN136" t="s">
        <v>4050</v>
      </c>
      <c r="CW136">
        <v>2</v>
      </c>
      <c r="CX136" t="s">
        <v>4308</v>
      </c>
    </row>
    <row r="137" spans="3:102" x14ac:dyDescent="0.3">
      <c r="C137" t="s">
        <v>3675</v>
      </c>
    </row>
    <row r="138" spans="3:102" x14ac:dyDescent="0.3">
      <c r="C138" t="s">
        <v>3676</v>
      </c>
      <c r="D138">
        <v>12</v>
      </c>
      <c r="E138">
        <v>50000</v>
      </c>
      <c r="F138" t="s">
        <v>4014</v>
      </c>
      <c r="G138" t="s">
        <v>4015</v>
      </c>
      <c r="H138" t="s">
        <v>4016</v>
      </c>
      <c r="AV138" t="s">
        <v>4204</v>
      </c>
      <c r="AW138" t="s">
        <v>4205</v>
      </c>
      <c r="AX138" t="s">
        <v>4309</v>
      </c>
      <c r="BH138" t="s">
        <v>4018</v>
      </c>
      <c r="BI138" t="s">
        <v>4019</v>
      </c>
      <c r="BJ138" t="s">
        <v>4020</v>
      </c>
      <c r="BK138" t="s">
        <v>4021</v>
      </c>
      <c r="BL138" t="s">
        <v>4022</v>
      </c>
      <c r="BM138" t="s">
        <v>4023</v>
      </c>
      <c r="BN138" t="s">
        <v>4024</v>
      </c>
      <c r="BO138" t="s">
        <v>4025</v>
      </c>
      <c r="BR138" t="s">
        <v>4026</v>
      </c>
      <c r="BS138" t="s">
        <v>4027</v>
      </c>
      <c r="BT138" t="s">
        <v>4028</v>
      </c>
      <c r="BU138" t="s">
        <v>4029</v>
      </c>
      <c r="BV138" t="s">
        <v>4030</v>
      </c>
      <c r="BW138" t="s">
        <v>4216</v>
      </c>
      <c r="CB138" t="s">
        <v>4208</v>
      </c>
      <c r="CC138">
        <v>1</v>
      </c>
      <c r="CN138" t="s">
        <v>4032</v>
      </c>
      <c r="CW138">
        <v>2</v>
      </c>
      <c r="CX138" t="s">
        <v>4310</v>
      </c>
    </row>
    <row r="139" spans="3:102" x14ac:dyDescent="0.3">
      <c r="C139" t="s">
        <v>3677</v>
      </c>
    </row>
    <row r="140" spans="3:102" x14ac:dyDescent="0.3">
      <c r="C140" t="s">
        <v>478</v>
      </c>
      <c r="D140">
        <v>12</v>
      </c>
      <c r="E140">
        <v>100000</v>
      </c>
      <c r="F140" t="s">
        <v>4014</v>
      </c>
      <c r="G140" t="s">
        <v>4015</v>
      </c>
      <c r="H140" t="s">
        <v>4043</v>
      </c>
      <c r="AV140" t="s">
        <v>4204</v>
      </c>
      <c r="AW140" t="s">
        <v>4205</v>
      </c>
      <c r="AX140" t="s">
        <v>4144</v>
      </c>
      <c r="BH140" t="s">
        <v>4018</v>
      </c>
      <c r="BI140" t="s">
        <v>4019</v>
      </c>
      <c r="BJ140" t="s">
        <v>4020</v>
      </c>
      <c r="BK140" t="s">
        <v>4021</v>
      </c>
      <c r="BL140" t="s">
        <v>4022</v>
      </c>
      <c r="BM140" t="s">
        <v>4023</v>
      </c>
      <c r="BN140" t="s">
        <v>4024</v>
      </c>
      <c r="BO140" t="s">
        <v>4025</v>
      </c>
      <c r="BR140" t="s">
        <v>4026</v>
      </c>
      <c r="BS140" t="s">
        <v>4027</v>
      </c>
      <c r="BT140" t="s">
        <v>4028</v>
      </c>
      <c r="BU140" t="s">
        <v>4029</v>
      </c>
      <c r="BV140" t="s">
        <v>4030</v>
      </c>
      <c r="BW140" t="s">
        <v>4049</v>
      </c>
      <c r="CB140" t="s">
        <v>4208</v>
      </c>
      <c r="CC140">
        <v>1</v>
      </c>
      <c r="CN140" t="s">
        <v>4050</v>
      </c>
      <c r="CW140">
        <v>2</v>
      </c>
      <c r="CX140" t="s">
        <v>4145</v>
      </c>
    </row>
    <row r="141" spans="3:102" x14ac:dyDescent="0.3">
      <c r="C141" t="s">
        <v>3678</v>
      </c>
    </row>
    <row r="142" spans="3:102" x14ac:dyDescent="0.3">
      <c r="C142" t="s">
        <v>820</v>
      </c>
      <c r="D142">
        <v>12</v>
      </c>
      <c r="E142">
        <v>100000</v>
      </c>
      <c r="F142" t="s">
        <v>4014</v>
      </c>
      <c r="G142" t="s">
        <v>4015</v>
      </c>
      <c r="H142" t="s">
        <v>4034</v>
      </c>
      <c r="I142" t="s">
        <v>4146</v>
      </c>
      <c r="J142" t="s">
        <v>4147</v>
      </c>
      <c r="K142" t="s">
        <v>4148</v>
      </c>
      <c r="AV142" t="s">
        <v>4204</v>
      </c>
      <c r="AW142" t="s">
        <v>4205</v>
      </c>
      <c r="AX142" t="s">
        <v>4149</v>
      </c>
      <c r="AY142" t="s">
        <v>4150</v>
      </c>
      <c r="AZ142" t="s">
        <v>4151</v>
      </c>
      <c r="BA142" t="s">
        <v>4152</v>
      </c>
      <c r="BH142" t="s">
        <v>4018</v>
      </c>
      <c r="BI142" t="s">
        <v>4019</v>
      </c>
      <c r="BJ142" t="s">
        <v>4020</v>
      </c>
      <c r="BK142" t="s">
        <v>4021</v>
      </c>
      <c r="BL142" t="s">
        <v>4022</v>
      </c>
      <c r="BM142" t="s">
        <v>4023</v>
      </c>
      <c r="BN142" t="s">
        <v>4024</v>
      </c>
      <c r="BO142" t="s">
        <v>4025</v>
      </c>
      <c r="BR142" t="s">
        <v>4026</v>
      </c>
      <c r="BS142" t="s">
        <v>4027</v>
      </c>
      <c r="BT142" t="s">
        <v>4028</v>
      </c>
      <c r="BU142" t="s">
        <v>4029</v>
      </c>
      <c r="BV142" t="s">
        <v>4030</v>
      </c>
      <c r="BW142" t="s">
        <v>4049</v>
      </c>
      <c r="CB142" t="s">
        <v>4208</v>
      </c>
      <c r="CC142">
        <v>1</v>
      </c>
      <c r="CN142" t="s">
        <v>4032</v>
      </c>
      <c r="CW142">
        <v>2</v>
      </c>
      <c r="CX142" t="s">
        <v>4153</v>
      </c>
    </row>
    <row r="143" spans="3:102" x14ac:dyDescent="0.3">
      <c r="C143" t="s">
        <v>3679</v>
      </c>
    </row>
    <row r="144" spans="3:102" x14ac:dyDescent="0.3">
      <c r="C144" t="s">
        <v>3680</v>
      </c>
      <c r="D144">
        <v>12</v>
      </c>
      <c r="E144">
        <v>100000</v>
      </c>
      <c r="F144" t="s">
        <v>4014</v>
      </c>
      <c r="G144" t="s">
        <v>4015</v>
      </c>
      <c r="H144" t="s">
        <v>4016</v>
      </c>
      <c r="AV144" t="s">
        <v>4204</v>
      </c>
      <c r="AW144" t="s">
        <v>4205</v>
      </c>
      <c r="AX144" t="s">
        <v>4311</v>
      </c>
      <c r="BH144" t="s">
        <v>4018</v>
      </c>
      <c r="BI144" t="s">
        <v>4019</v>
      </c>
      <c r="BJ144" t="s">
        <v>4020</v>
      </c>
      <c r="BK144" t="s">
        <v>4021</v>
      </c>
      <c r="BL144" t="s">
        <v>4022</v>
      </c>
      <c r="BM144" t="s">
        <v>4023</v>
      </c>
      <c r="BN144" t="s">
        <v>4024</v>
      </c>
      <c r="BO144" t="s">
        <v>4025</v>
      </c>
      <c r="BR144" t="s">
        <v>4026</v>
      </c>
      <c r="BS144" t="s">
        <v>4027</v>
      </c>
      <c r="BT144" t="s">
        <v>4028</v>
      </c>
      <c r="BU144" t="s">
        <v>4029</v>
      </c>
      <c r="BV144" t="s">
        <v>4030</v>
      </c>
      <c r="BW144" t="s">
        <v>4211</v>
      </c>
      <c r="CB144" t="s">
        <v>4208</v>
      </c>
      <c r="CC144">
        <v>1</v>
      </c>
      <c r="CN144" t="s">
        <v>4032</v>
      </c>
      <c r="CW144">
        <v>2</v>
      </c>
      <c r="CX144" t="s">
        <v>4312</v>
      </c>
    </row>
    <row r="145" spans="3:102" x14ac:dyDescent="0.3">
      <c r="C145" t="s">
        <v>3681</v>
      </c>
    </row>
    <row r="146" spans="3:102" x14ac:dyDescent="0.3">
      <c r="C146" t="s">
        <v>501</v>
      </c>
      <c r="D146">
        <v>12</v>
      </c>
      <c r="E146">
        <v>10000000</v>
      </c>
      <c r="F146" t="s">
        <v>4042</v>
      </c>
      <c r="G146" t="s">
        <v>4042</v>
      </c>
      <c r="H146" t="s">
        <v>4043</v>
      </c>
      <c r="AX146" t="s">
        <v>4154</v>
      </c>
      <c r="BH146" t="s">
        <v>4018</v>
      </c>
      <c r="BI146" t="s">
        <v>4019</v>
      </c>
      <c r="BJ146" t="s">
        <v>4020</v>
      </c>
      <c r="BK146" t="s">
        <v>4021</v>
      </c>
      <c r="BL146" t="s">
        <v>4022</v>
      </c>
      <c r="BM146" t="s">
        <v>4023</v>
      </c>
      <c r="BN146" t="s">
        <v>4024</v>
      </c>
      <c r="BO146" t="s">
        <v>4025</v>
      </c>
      <c r="BR146" t="s">
        <v>4026</v>
      </c>
      <c r="BS146" t="s">
        <v>4027</v>
      </c>
      <c r="BT146" t="s">
        <v>4028</v>
      </c>
      <c r="BU146" t="s">
        <v>4029</v>
      </c>
      <c r="BV146" t="s">
        <v>4030</v>
      </c>
      <c r="BW146" t="s">
        <v>4049</v>
      </c>
      <c r="CC146">
        <v>1</v>
      </c>
      <c r="CN146" t="s">
        <v>4155</v>
      </c>
      <c r="CW146">
        <v>2</v>
      </c>
      <c r="CX146" t="s">
        <v>4156</v>
      </c>
    </row>
    <row r="147" spans="3:102" x14ac:dyDescent="0.3">
      <c r="C147" t="s">
        <v>3682</v>
      </c>
    </row>
    <row r="148" spans="3:102" x14ac:dyDescent="0.3">
      <c r="C148" t="s">
        <v>3683</v>
      </c>
      <c r="D148">
        <v>12</v>
      </c>
      <c r="E148">
        <v>1000000</v>
      </c>
      <c r="F148" t="s">
        <v>4041</v>
      </c>
      <c r="G148" t="s">
        <v>4042</v>
      </c>
      <c r="H148" t="s">
        <v>4034</v>
      </c>
      <c r="AV148" t="s">
        <v>4220</v>
      </c>
      <c r="AW148" t="s">
        <v>4221</v>
      </c>
      <c r="AX148" t="s">
        <v>4313</v>
      </c>
      <c r="BH148" t="s">
        <v>4018</v>
      </c>
      <c r="BI148" t="s">
        <v>4019</v>
      </c>
      <c r="BJ148" t="s">
        <v>4020</v>
      </c>
      <c r="BK148" t="s">
        <v>4021</v>
      </c>
      <c r="BL148" t="s">
        <v>4022</v>
      </c>
      <c r="BM148" t="s">
        <v>4023</v>
      </c>
      <c r="BN148" t="s">
        <v>4024</v>
      </c>
      <c r="BO148" t="s">
        <v>4025</v>
      </c>
      <c r="BR148" t="s">
        <v>4026</v>
      </c>
      <c r="BS148" t="s">
        <v>4027</v>
      </c>
      <c r="BT148" t="s">
        <v>4028</v>
      </c>
      <c r="BU148" t="s">
        <v>4029</v>
      </c>
      <c r="BV148" t="s">
        <v>4030</v>
      </c>
      <c r="BW148" t="s">
        <v>4211</v>
      </c>
      <c r="CB148" t="s">
        <v>4208</v>
      </c>
      <c r="CC148">
        <v>1</v>
      </c>
      <c r="CN148" t="s">
        <v>4032</v>
      </c>
      <c r="CW148">
        <v>2</v>
      </c>
      <c r="CX148" t="s">
        <v>4314</v>
      </c>
    </row>
    <row r="149" spans="3:102" x14ac:dyDescent="0.3">
      <c r="C149" t="s">
        <v>3684</v>
      </c>
    </row>
    <row r="150" spans="3:102" x14ac:dyDescent="0.3">
      <c r="C150" t="s">
        <v>3685</v>
      </c>
    </row>
    <row r="151" spans="3:102" x14ac:dyDescent="0.3">
      <c r="C151" t="s">
        <v>3686</v>
      </c>
    </row>
    <row r="152" spans="3:102" x14ac:dyDescent="0.3">
      <c r="C152" t="s">
        <v>3687</v>
      </c>
    </row>
    <row r="153" spans="3:102" x14ac:dyDescent="0.3">
      <c r="C153" t="s">
        <v>3688</v>
      </c>
    </row>
    <row r="154" spans="3:102" x14ac:dyDescent="0.3">
      <c r="C154" t="s">
        <v>1065</v>
      </c>
      <c r="D154">
        <v>12</v>
      </c>
      <c r="E154">
        <v>100000</v>
      </c>
      <c r="F154" t="s">
        <v>4014</v>
      </c>
      <c r="G154" t="s">
        <v>4015</v>
      </c>
      <c r="H154" t="s">
        <v>4043</v>
      </c>
      <c r="AV154" t="s">
        <v>4204</v>
      </c>
      <c r="AW154" t="s">
        <v>4205</v>
      </c>
      <c r="AX154" t="s">
        <v>4157</v>
      </c>
      <c r="BF154" t="s">
        <v>4059</v>
      </c>
      <c r="BG154" t="s">
        <v>4058</v>
      </c>
      <c r="BH154" t="s">
        <v>4018</v>
      </c>
      <c r="BI154" t="s">
        <v>4019</v>
      </c>
      <c r="BJ154" t="s">
        <v>4020</v>
      </c>
      <c r="BK154" t="s">
        <v>4021</v>
      </c>
      <c r="BL154" t="s">
        <v>4022</v>
      </c>
      <c r="BM154" t="s">
        <v>4023</v>
      </c>
      <c r="BN154" t="s">
        <v>4024</v>
      </c>
      <c r="BO154" t="s">
        <v>4025</v>
      </c>
      <c r="BR154" t="s">
        <v>4026</v>
      </c>
      <c r="BS154" t="s">
        <v>4027</v>
      </c>
      <c r="BT154" t="s">
        <v>4028</v>
      </c>
      <c r="BU154" t="s">
        <v>4029</v>
      </c>
      <c r="BV154" t="s">
        <v>4030</v>
      </c>
      <c r="BW154" t="s">
        <v>4049</v>
      </c>
      <c r="CB154" t="s">
        <v>4208</v>
      </c>
      <c r="CC154">
        <v>1</v>
      </c>
      <c r="CN154" t="s">
        <v>4158</v>
      </c>
      <c r="CW154">
        <v>2</v>
      </c>
      <c r="CX154" t="s">
        <v>4159</v>
      </c>
    </row>
    <row r="155" spans="3:102" x14ac:dyDescent="0.3">
      <c r="C155" t="s">
        <v>3689</v>
      </c>
    </row>
    <row r="156" spans="3:102" x14ac:dyDescent="0.3">
      <c r="C156" t="s">
        <v>3690</v>
      </c>
      <c r="D156">
        <v>12</v>
      </c>
      <c r="E156">
        <v>10000</v>
      </c>
      <c r="F156" t="s">
        <v>4014</v>
      </c>
      <c r="G156" t="s">
        <v>4015</v>
      </c>
      <c r="H156" t="s">
        <v>4016</v>
      </c>
      <c r="AV156" t="s">
        <v>4204</v>
      </c>
      <c r="AW156" t="s">
        <v>4205</v>
      </c>
      <c r="AX156" t="s">
        <v>4315</v>
      </c>
      <c r="BH156" t="s">
        <v>4018</v>
      </c>
      <c r="BI156" t="s">
        <v>4019</v>
      </c>
      <c r="BJ156" t="s">
        <v>4020</v>
      </c>
      <c r="BK156" t="s">
        <v>4021</v>
      </c>
      <c r="BL156" t="s">
        <v>4022</v>
      </c>
      <c r="BM156" t="s">
        <v>4023</v>
      </c>
      <c r="BN156" t="s">
        <v>4024</v>
      </c>
      <c r="BO156" t="s">
        <v>4025</v>
      </c>
      <c r="BR156" t="s">
        <v>4026</v>
      </c>
      <c r="BS156" t="s">
        <v>4027</v>
      </c>
      <c r="BT156" t="s">
        <v>4028</v>
      </c>
      <c r="BU156" t="s">
        <v>4029</v>
      </c>
      <c r="BV156" t="s">
        <v>4030</v>
      </c>
      <c r="BW156" t="s">
        <v>4316</v>
      </c>
      <c r="CB156" t="s">
        <v>4208</v>
      </c>
      <c r="CC156">
        <v>1</v>
      </c>
      <c r="CN156" t="s">
        <v>4032</v>
      </c>
      <c r="CW156">
        <v>2</v>
      </c>
      <c r="CX156" t="s">
        <v>4317</v>
      </c>
    </row>
    <row r="157" spans="3:102" x14ac:dyDescent="0.3">
      <c r="C157" t="s">
        <v>3691</v>
      </c>
    </row>
    <row r="158" spans="3:102" x14ac:dyDescent="0.3">
      <c r="C158" t="s">
        <v>3692</v>
      </c>
      <c r="D158">
        <v>12</v>
      </c>
      <c r="E158">
        <v>10000</v>
      </c>
      <c r="F158" t="s">
        <v>4014</v>
      </c>
      <c r="G158" t="s">
        <v>4015</v>
      </c>
      <c r="H158" t="s">
        <v>4034</v>
      </c>
      <c r="AV158" t="s">
        <v>4204</v>
      </c>
      <c r="AW158" t="s">
        <v>4205</v>
      </c>
      <c r="AX158" t="s">
        <v>4318</v>
      </c>
      <c r="BH158" t="s">
        <v>4018</v>
      </c>
      <c r="BI158" t="s">
        <v>4019</v>
      </c>
      <c r="BJ158" t="s">
        <v>4020</v>
      </c>
      <c r="BK158" t="s">
        <v>4021</v>
      </c>
      <c r="BL158" t="s">
        <v>4022</v>
      </c>
      <c r="BM158" t="s">
        <v>4023</v>
      </c>
      <c r="BN158" t="s">
        <v>4024</v>
      </c>
      <c r="BO158" t="s">
        <v>4025</v>
      </c>
      <c r="BR158" t="s">
        <v>4026</v>
      </c>
      <c r="BS158" t="s">
        <v>4027</v>
      </c>
      <c r="BT158" t="s">
        <v>4028</v>
      </c>
      <c r="BU158" t="s">
        <v>4029</v>
      </c>
      <c r="BV158" t="s">
        <v>4030</v>
      </c>
      <c r="BW158" t="s">
        <v>4316</v>
      </c>
      <c r="CB158" t="s">
        <v>4208</v>
      </c>
      <c r="CC158">
        <v>1</v>
      </c>
      <c r="CN158" t="s">
        <v>4032</v>
      </c>
      <c r="CW158">
        <v>2</v>
      </c>
      <c r="CX158" t="s">
        <v>4319</v>
      </c>
    </row>
    <row r="159" spans="3:102" x14ac:dyDescent="0.3">
      <c r="C159" t="s">
        <v>3693</v>
      </c>
    </row>
    <row r="160" spans="3:102" x14ac:dyDescent="0.3">
      <c r="C160" t="s">
        <v>1136</v>
      </c>
      <c r="D160">
        <v>12</v>
      </c>
      <c r="E160">
        <v>100000</v>
      </c>
      <c r="F160" t="s">
        <v>4015</v>
      </c>
      <c r="G160" t="s">
        <v>4015</v>
      </c>
      <c r="H160" t="s">
        <v>4034</v>
      </c>
      <c r="AX160" t="s">
        <v>4160</v>
      </c>
      <c r="BH160" t="s">
        <v>4018</v>
      </c>
      <c r="BI160" t="s">
        <v>4019</v>
      </c>
      <c r="BJ160" t="s">
        <v>4020</v>
      </c>
      <c r="BK160" t="s">
        <v>4021</v>
      </c>
      <c r="BL160" t="s">
        <v>4022</v>
      </c>
      <c r="BM160" t="s">
        <v>4023</v>
      </c>
      <c r="BN160" t="s">
        <v>4024</v>
      </c>
      <c r="BO160" t="s">
        <v>4025</v>
      </c>
      <c r="BR160" t="s">
        <v>4026</v>
      </c>
      <c r="BS160" t="s">
        <v>4027</v>
      </c>
      <c r="BT160" t="s">
        <v>4028</v>
      </c>
      <c r="BU160" t="s">
        <v>4029</v>
      </c>
      <c r="BV160" t="s">
        <v>4030</v>
      </c>
      <c r="BW160" t="s">
        <v>4031</v>
      </c>
      <c r="CC160">
        <v>1</v>
      </c>
      <c r="CN160" t="s">
        <v>4032</v>
      </c>
      <c r="CW160">
        <v>2</v>
      </c>
      <c r="CX160" t="s">
        <v>4161</v>
      </c>
    </row>
    <row r="161" spans="3:102" x14ac:dyDescent="0.3">
      <c r="C161" t="s">
        <v>3694</v>
      </c>
    </row>
    <row r="162" spans="3:102" x14ac:dyDescent="0.3">
      <c r="C162" t="s">
        <v>1139</v>
      </c>
      <c r="D162">
        <v>12</v>
      </c>
      <c r="E162">
        <v>100000</v>
      </c>
      <c r="F162" t="s">
        <v>4014</v>
      </c>
      <c r="G162" t="s">
        <v>4015</v>
      </c>
      <c r="H162" t="s">
        <v>4034</v>
      </c>
      <c r="AV162" t="s">
        <v>4204</v>
      </c>
      <c r="AW162" t="s">
        <v>4205</v>
      </c>
      <c r="AX162" t="s">
        <v>4162</v>
      </c>
      <c r="BH162" t="s">
        <v>4018</v>
      </c>
      <c r="BI162" t="s">
        <v>4019</v>
      </c>
      <c r="BJ162" t="s">
        <v>4020</v>
      </c>
      <c r="BK162" t="s">
        <v>4021</v>
      </c>
      <c r="BL162" t="s">
        <v>4022</v>
      </c>
      <c r="BM162" t="s">
        <v>4023</v>
      </c>
      <c r="BN162" t="s">
        <v>4024</v>
      </c>
      <c r="BO162" t="s">
        <v>4025</v>
      </c>
      <c r="BR162" t="s">
        <v>4026</v>
      </c>
      <c r="BS162" t="s">
        <v>4027</v>
      </c>
      <c r="BT162" t="s">
        <v>4028</v>
      </c>
      <c r="BU162" t="s">
        <v>4029</v>
      </c>
      <c r="BV162" t="s">
        <v>4030</v>
      </c>
      <c r="BW162" t="s">
        <v>4031</v>
      </c>
      <c r="CB162" t="s">
        <v>4208</v>
      </c>
      <c r="CC162">
        <v>1</v>
      </c>
      <c r="CN162" t="s">
        <v>4032</v>
      </c>
      <c r="CW162">
        <v>2</v>
      </c>
      <c r="CX162" t="s">
        <v>4163</v>
      </c>
    </row>
    <row r="163" spans="3:102" x14ac:dyDescent="0.3">
      <c r="C163" t="s">
        <v>3695</v>
      </c>
    </row>
    <row r="164" spans="3:102" x14ac:dyDescent="0.3">
      <c r="C164" t="s">
        <v>1142</v>
      </c>
      <c r="D164">
        <v>12</v>
      </c>
      <c r="E164">
        <v>500000</v>
      </c>
      <c r="F164" t="s">
        <v>4014</v>
      </c>
      <c r="G164" t="s">
        <v>4015</v>
      </c>
      <c r="H164" t="s">
        <v>4034</v>
      </c>
      <c r="AV164" t="s">
        <v>4204</v>
      </c>
      <c r="AW164" t="s">
        <v>4205</v>
      </c>
      <c r="AX164" t="s">
        <v>4164</v>
      </c>
      <c r="BH164" t="s">
        <v>4018</v>
      </c>
      <c r="BI164" t="s">
        <v>4019</v>
      </c>
      <c r="BJ164" t="s">
        <v>4020</v>
      </c>
      <c r="BK164" t="s">
        <v>4021</v>
      </c>
      <c r="BL164" t="s">
        <v>4022</v>
      </c>
      <c r="BM164" t="s">
        <v>4023</v>
      </c>
      <c r="BN164" t="s">
        <v>4024</v>
      </c>
      <c r="BO164" t="s">
        <v>4025</v>
      </c>
      <c r="BR164" t="s">
        <v>4026</v>
      </c>
      <c r="BS164" t="s">
        <v>4027</v>
      </c>
      <c r="BT164" t="s">
        <v>4028</v>
      </c>
      <c r="BU164" t="s">
        <v>4029</v>
      </c>
      <c r="BV164" t="s">
        <v>4030</v>
      </c>
      <c r="BW164" t="s">
        <v>4031</v>
      </c>
      <c r="CB164" t="s">
        <v>4208</v>
      </c>
      <c r="CC164">
        <v>1</v>
      </c>
      <c r="CN164" t="s">
        <v>4032</v>
      </c>
      <c r="CW164">
        <v>2</v>
      </c>
      <c r="CX164" t="s">
        <v>4165</v>
      </c>
    </row>
    <row r="165" spans="3:102" x14ac:dyDescent="0.3">
      <c r="C165" t="s">
        <v>3696</v>
      </c>
    </row>
    <row r="166" spans="3:102" x14ac:dyDescent="0.3">
      <c r="C166" t="s">
        <v>1145</v>
      </c>
      <c r="D166">
        <v>12</v>
      </c>
      <c r="E166">
        <v>1000000</v>
      </c>
      <c r="F166" t="s">
        <v>4014</v>
      </c>
      <c r="G166" t="s">
        <v>4015</v>
      </c>
      <c r="H166" t="s">
        <v>4034</v>
      </c>
      <c r="AV166" t="s">
        <v>4204</v>
      </c>
      <c r="AW166" t="s">
        <v>4205</v>
      </c>
      <c r="AX166" t="s">
        <v>4166</v>
      </c>
      <c r="BH166" t="s">
        <v>4018</v>
      </c>
      <c r="BI166" t="s">
        <v>4019</v>
      </c>
      <c r="BJ166" t="s">
        <v>4020</v>
      </c>
      <c r="BK166" t="s">
        <v>4021</v>
      </c>
      <c r="BL166" t="s">
        <v>4022</v>
      </c>
      <c r="BM166" t="s">
        <v>4023</v>
      </c>
      <c r="BN166" t="s">
        <v>4024</v>
      </c>
      <c r="BO166" t="s">
        <v>4025</v>
      </c>
      <c r="BR166" t="s">
        <v>4026</v>
      </c>
      <c r="BS166" t="s">
        <v>4027</v>
      </c>
      <c r="BT166" t="s">
        <v>4028</v>
      </c>
      <c r="BU166" t="s">
        <v>4029</v>
      </c>
      <c r="BV166" t="s">
        <v>4030</v>
      </c>
      <c r="BW166" t="s">
        <v>4031</v>
      </c>
      <c r="CB166" t="s">
        <v>4208</v>
      </c>
      <c r="CC166">
        <v>1</v>
      </c>
      <c r="CN166" t="s">
        <v>4032</v>
      </c>
      <c r="CW166">
        <v>2</v>
      </c>
      <c r="CX166" t="s">
        <v>4167</v>
      </c>
    </row>
    <row r="167" spans="3:102" x14ac:dyDescent="0.3">
      <c r="C167" t="s">
        <v>3697</v>
      </c>
    </row>
    <row r="168" spans="3:102" x14ac:dyDescent="0.3">
      <c r="C168" t="s">
        <v>1148</v>
      </c>
      <c r="D168">
        <v>12</v>
      </c>
      <c r="E168">
        <v>1000000</v>
      </c>
      <c r="F168" t="s">
        <v>4014</v>
      </c>
      <c r="G168" t="s">
        <v>4015</v>
      </c>
      <c r="H168" t="s">
        <v>4034</v>
      </c>
      <c r="AV168" t="s">
        <v>4204</v>
      </c>
      <c r="AW168" t="s">
        <v>4205</v>
      </c>
      <c r="AX168" t="s">
        <v>4168</v>
      </c>
      <c r="BH168" t="s">
        <v>4018</v>
      </c>
      <c r="BI168" t="s">
        <v>4019</v>
      </c>
      <c r="BJ168" t="s">
        <v>4020</v>
      </c>
      <c r="BK168" t="s">
        <v>4021</v>
      </c>
      <c r="BL168" t="s">
        <v>4022</v>
      </c>
      <c r="BM168" t="s">
        <v>4023</v>
      </c>
      <c r="BN168" t="s">
        <v>4024</v>
      </c>
      <c r="BO168" t="s">
        <v>4025</v>
      </c>
      <c r="BR168" t="s">
        <v>4026</v>
      </c>
      <c r="BS168" t="s">
        <v>4027</v>
      </c>
      <c r="BT168" t="s">
        <v>4028</v>
      </c>
      <c r="BU168" t="s">
        <v>4029</v>
      </c>
      <c r="BV168" t="s">
        <v>4030</v>
      </c>
      <c r="BW168" t="s">
        <v>4031</v>
      </c>
      <c r="CB168" t="s">
        <v>4208</v>
      </c>
      <c r="CC168">
        <v>1</v>
      </c>
      <c r="CN168" t="s">
        <v>4032</v>
      </c>
      <c r="CW168">
        <v>2</v>
      </c>
      <c r="CX168" t="s">
        <v>4169</v>
      </c>
    </row>
    <row r="169" spans="3:102" x14ac:dyDescent="0.3">
      <c r="C169" t="s">
        <v>3698</v>
      </c>
    </row>
    <row r="170" spans="3:102" x14ac:dyDescent="0.3">
      <c r="C170" t="s">
        <v>1151</v>
      </c>
      <c r="D170">
        <v>12</v>
      </c>
      <c r="E170">
        <v>100000</v>
      </c>
      <c r="F170" t="s">
        <v>4014</v>
      </c>
      <c r="G170" t="s">
        <v>4015</v>
      </c>
      <c r="H170" t="s">
        <v>4170</v>
      </c>
      <c r="AV170" t="s">
        <v>4204</v>
      </c>
      <c r="AW170" t="s">
        <v>4205</v>
      </c>
      <c r="AX170" t="s">
        <v>4171</v>
      </c>
      <c r="AY170" t="s">
        <v>4172</v>
      </c>
      <c r="AZ170" t="s">
        <v>4173</v>
      </c>
      <c r="BA170" t="s">
        <v>4174</v>
      </c>
      <c r="BB170" t="s">
        <v>4122</v>
      </c>
      <c r="BH170" t="s">
        <v>4018</v>
      </c>
      <c r="BI170" t="s">
        <v>4019</v>
      </c>
      <c r="BJ170" t="s">
        <v>4020</v>
      </c>
      <c r="BK170" t="s">
        <v>4021</v>
      </c>
      <c r="BL170" t="s">
        <v>4022</v>
      </c>
      <c r="BM170" t="s">
        <v>4023</v>
      </c>
      <c r="BN170" t="s">
        <v>4024</v>
      </c>
      <c r="BO170" t="s">
        <v>4025</v>
      </c>
      <c r="BR170" t="s">
        <v>4026</v>
      </c>
      <c r="BS170" t="s">
        <v>4027</v>
      </c>
      <c r="BT170" t="s">
        <v>4028</v>
      </c>
      <c r="BU170" t="s">
        <v>4029</v>
      </c>
      <c r="BV170" t="s">
        <v>4030</v>
      </c>
      <c r="BW170" t="s">
        <v>4039</v>
      </c>
      <c r="CB170" t="s">
        <v>4208</v>
      </c>
      <c r="CC170">
        <v>1</v>
      </c>
      <c r="CN170" t="s">
        <v>4032</v>
      </c>
      <c r="CW170">
        <v>2</v>
      </c>
      <c r="CX170" t="s">
        <v>4175</v>
      </c>
    </row>
    <row r="171" spans="3:102" x14ac:dyDescent="0.3">
      <c r="C171" t="s">
        <v>3699</v>
      </c>
    </row>
    <row r="172" spans="3:102" x14ac:dyDescent="0.3">
      <c r="C172" t="s">
        <v>1154</v>
      </c>
      <c r="D172">
        <v>12</v>
      </c>
      <c r="E172">
        <v>100000</v>
      </c>
      <c r="F172" t="s">
        <v>4014</v>
      </c>
      <c r="G172" t="s">
        <v>4015</v>
      </c>
      <c r="H172" t="s">
        <v>4034</v>
      </c>
      <c r="AV172" t="s">
        <v>4204</v>
      </c>
      <c r="AW172" t="s">
        <v>4205</v>
      </c>
      <c r="AX172" t="s">
        <v>4176</v>
      </c>
      <c r="BH172" t="s">
        <v>4018</v>
      </c>
      <c r="BI172" t="s">
        <v>4019</v>
      </c>
      <c r="BJ172" t="s">
        <v>4020</v>
      </c>
      <c r="BK172" t="s">
        <v>4021</v>
      </c>
      <c r="BL172" t="s">
        <v>4022</v>
      </c>
      <c r="BM172" t="s">
        <v>4023</v>
      </c>
      <c r="BN172" t="s">
        <v>4024</v>
      </c>
      <c r="BO172" t="s">
        <v>4025</v>
      </c>
      <c r="BR172" t="s">
        <v>4026</v>
      </c>
      <c r="BS172" t="s">
        <v>4027</v>
      </c>
      <c r="BT172" t="s">
        <v>4028</v>
      </c>
      <c r="BU172" t="s">
        <v>4029</v>
      </c>
      <c r="BV172" t="s">
        <v>4030</v>
      </c>
      <c r="BW172" t="s">
        <v>4039</v>
      </c>
      <c r="CB172" t="s">
        <v>4208</v>
      </c>
      <c r="CC172">
        <v>1</v>
      </c>
      <c r="CN172" t="s">
        <v>4032</v>
      </c>
      <c r="CW172">
        <v>2</v>
      </c>
      <c r="CX172" t="s">
        <v>4177</v>
      </c>
    </row>
    <row r="173" spans="3:102" x14ac:dyDescent="0.3">
      <c r="C173" t="s">
        <v>3700</v>
      </c>
    </row>
    <row r="174" spans="3:102" x14ac:dyDescent="0.3">
      <c r="C174" t="s">
        <v>1157</v>
      </c>
      <c r="D174">
        <v>12</v>
      </c>
      <c r="E174">
        <v>100000</v>
      </c>
      <c r="F174" t="s">
        <v>4014</v>
      </c>
      <c r="G174" t="s">
        <v>4015</v>
      </c>
      <c r="H174" t="s">
        <v>4034</v>
      </c>
      <c r="AV174" t="s">
        <v>4204</v>
      </c>
      <c r="AW174" t="s">
        <v>4205</v>
      </c>
      <c r="AX174" t="s">
        <v>4178</v>
      </c>
      <c r="BH174" t="s">
        <v>4018</v>
      </c>
      <c r="BI174" t="s">
        <v>4019</v>
      </c>
      <c r="BJ174" t="s">
        <v>4020</v>
      </c>
      <c r="BK174" t="s">
        <v>4021</v>
      </c>
      <c r="BL174" t="s">
        <v>4022</v>
      </c>
      <c r="BM174" t="s">
        <v>4023</v>
      </c>
      <c r="BN174" t="s">
        <v>4024</v>
      </c>
      <c r="BO174" t="s">
        <v>4025</v>
      </c>
      <c r="BR174" t="s">
        <v>4026</v>
      </c>
      <c r="BS174" t="s">
        <v>4027</v>
      </c>
      <c r="BT174" t="s">
        <v>4028</v>
      </c>
      <c r="BU174" t="s">
        <v>4029</v>
      </c>
      <c r="BV174" t="s">
        <v>4030</v>
      </c>
      <c r="BW174" t="s">
        <v>4039</v>
      </c>
      <c r="CB174" t="s">
        <v>4208</v>
      </c>
      <c r="CC174">
        <v>1</v>
      </c>
      <c r="CN174" t="s">
        <v>4032</v>
      </c>
      <c r="CW174">
        <v>2</v>
      </c>
      <c r="CX174" t="s">
        <v>4179</v>
      </c>
    </row>
    <row r="175" spans="3:102" x14ac:dyDescent="0.3">
      <c r="C175" t="s">
        <v>3701</v>
      </c>
    </row>
    <row r="176" spans="3:102" x14ac:dyDescent="0.3">
      <c r="C176" t="s">
        <v>1160</v>
      </c>
      <c r="D176">
        <v>12</v>
      </c>
      <c r="E176">
        <v>1000000</v>
      </c>
      <c r="F176" t="s">
        <v>4014</v>
      </c>
      <c r="G176" t="s">
        <v>4015</v>
      </c>
      <c r="H176" t="s">
        <v>4034</v>
      </c>
      <c r="AV176" t="s">
        <v>4204</v>
      </c>
      <c r="AW176" t="s">
        <v>4205</v>
      </c>
      <c r="AX176" t="s">
        <v>4180</v>
      </c>
      <c r="BH176" t="s">
        <v>4018</v>
      </c>
      <c r="BI176" t="s">
        <v>4019</v>
      </c>
      <c r="BJ176" t="s">
        <v>4020</v>
      </c>
      <c r="BK176" t="s">
        <v>4021</v>
      </c>
      <c r="BL176" t="s">
        <v>4022</v>
      </c>
      <c r="BM176" t="s">
        <v>4023</v>
      </c>
      <c r="BN176" t="s">
        <v>4024</v>
      </c>
      <c r="BO176" t="s">
        <v>4025</v>
      </c>
      <c r="BR176" t="s">
        <v>4026</v>
      </c>
      <c r="BS176" t="s">
        <v>4027</v>
      </c>
      <c r="BT176" t="s">
        <v>4028</v>
      </c>
      <c r="BU176" t="s">
        <v>4029</v>
      </c>
      <c r="BV176" t="s">
        <v>4030</v>
      </c>
      <c r="BW176" t="s">
        <v>4039</v>
      </c>
      <c r="CB176" t="s">
        <v>4208</v>
      </c>
      <c r="CC176">
        <v>1</v>
      </c>
      <c r="CN176" t="s">
        <v>4032</v>
      </c>
      <c r="CW176">
        <v>2</v>
      </c>
      <c r="CX176" t="s">
        <v>4181</v>
      </c>
    </row>
    <row r="177" spans="3:102" x14ac:dyDescent="0.3">
      <c r="C177" t="s">
        <v>3702</v>
      </c>
    </row>
    <row r="178" spans="3:102" x14ac:dyDescent="0.3">
      <c r="C178" t="s">
        <v>1163</v>
      </c>
      <c r="D178">
        <v>12</v>
      </c>
      <c r="E178">
        <v>1000000</v>
      </c>
      <c r="F178" t="s">
        <v>4014</v>
      </c>
      <c r="G178" t="s">
        <v>4015</v>
      </c>
      <c r="H178" t="s">
        <v>4034</v>
      </c>
      <c r="AV178" t="s">
        <v>4204</v>
      </c>
      <c r="AW178" t="s">
        <v>4205</v>
      </c>
      <c r="AX178" t="s">
        <v>4182</v>
      </c>
      <c r="BH178" t="s">
        <v>4018</v>
      </c>
      <c r="BI178" t="s">
        <v>4019</v>
      </c>
      <c r="BJ178" t="s">
        <v>4020</v>
      </c>
      <c r="BK178" t="s">
        <v>4021</v>
      </c>
      <c r="BL178" t="s">
        <v>4022</v>
      </c>
      <c r="BM178" t="s">
        <v>4023</v>
      </c>
      <c r="BN178" t="s">
        <v>4024</v>
      </c>
      <c r="BO178" t="s">
        <v>4025</v>
      </c>
      <c r="BR178" t="s">
        <v>4026</v>
      </c>
      <c r="BS178" t="s">
        <v>4027</v>
      </c>
      <c r="BT178" t="s">
        <v>4028</v>
      </c>
      <c r="BU178" t="s">
        <v>4029</v>
      </c>
      <c r="BV178" t="s">
        <v>4030</v>
      </c>
      <c r="BW178" t="s">
        <v>4039</v>
      </c>
      <c r="CB178" t="s">
        <v>4208</v>
      </c>
      <c r="CC178">
        <v>1</v>
      </c>
      <c r="CN178" t="s">
        <v>4032</v>
      </c>
      <c r="CW178">
        <v>2</v>
      </c>
      <c r="CX178" t="s">
        <v>4183</v>
      </c>
    </row>
    <row r="179" spans="3:102" x14ac:dyDescent="0.3">
      <c r="C179" t="s">
        <v>3703</v>
      </c>
    </row>
    <row r="180" spans="3:102" x14ac:dyDescent="0.3">
      <c r="C180" t="s">
        <v>1602</v>
      </c>
      <c r="D180">
        <v>12</v>
      </c>
      <c r="E180">
        <v>100000</v>
      </c>
      <c r="F180" t="s">
        <v>4014</v>
      </c>
      <c r="G180" t="s">
        <v>4015</v>
      </c>
      <c r="H180" t="s">
        <v>4184</v>
      </c>
      <c r="I180" t="s">
        <v>4185</v>
      </c>
      <c r="J180" t="s">
        <v>4186</v>
      </c>
      <c r="AV180" t="s">
        <v>4204</v>
      </c>
      <c r="AW180" t="s">
        <v>4205</v>
      </c>
      <c r="AX180" t="s">
        <v>4187</v>
      </c>
      <c r="AY180" t="s">
        <v>4188</v>
      </c>
      <c r="AZ180" t="s">
        <v>4189</v>
      </c>
      <c r="BH180" t="s">
        <v>4018</v>
      </c>
      <c r="BI180" t="s">
        <v>4019</v>
      </c>
      <c r="BJ180" t="s">
        <v>4020</v>
      </c>
      <c r="BK180" t="s">
        <v>4021</v>
      </c>
      <c r="BL180" t="s">
        <v>4022</v>
      </c>
      <c r="BM180" t="s">
        <v>4023</v>
      </c>
      <c r="BN180" t="s">
        <v>4024</v>
      </c>
      <c r="BO180" t="s">
        <v>4025</v>
      </c>
      <c r="BR180" t="s">
        <v>4026</v>
      </c>
      <c r="BS180" t="s">
        <v>4027</v>
      </c>
      <c r="BT180" t="s">
        <v>4028</v>
      </c>
      <c r="BU180" t="s">
        <v>4029</v>
      </c>
      <c r="BV180" t="s">
        <v>4030</v>
      </c>
      <c r="BW180" t="s">
        <v>4049</v>
      </c>
      <c r="CB180" t="s">
        <v>4208</v>
      </c>
      <c r="CC180">
        <v>1</v>
      </c>
      <c r="CN180" t="s">
        <v>4050</v>
      </c>
      <c r="CW180">
        <v>2</v>
      </c>
      <c r="CX180" t="s">
        <v>4190</v>
      </c>
    </row>
    <row r="181" spans="3:102" x14ac:dyDescent="0.3">
      <c r="C181" t="s">
        <v>3704</v>
      </c>
    </row>
    <row r="182" spans="3:102" x14ac:dyDescent="0.3">
      <c r="C182" t="s">
        <v>1608</v>
      </c>
      <c r="D182">
        <v>12</v>
      </c>
      <c r="E182">
        <v>100000</v>
      </c>
      <c r="F182" t="s">
        <v>4014</v>
      </c>
      <c r="G182" t="s">
        <v>4015</v>
      </c>
      <c r="H182" t="s">
        <v>4191</v>
      </c>
      <c r="AV182" t="s">
        <v>4204</v>
      </c>
      <c r="AW182" t="s">
        <v>4205</v>
      </c>
      <c r="AX182" t="s">
        <v>4192</v>
      </c>
      <c r="AY182" t="s">
        <v>4193</v>
      </c>
      <c r="AZ182" t="s">
        <v>4194</v>
      </c>
      <c r="BA182" t="s">
        <v>4195</v>
      </c>
      <c r="BB182" t="s">
        <v>4196</v>
      </c>
      <c r="BC182" t="s">
        <v>4197</v>
      </c>
      <c r="BD182" t="s">
        <v>4198</v>
      </c>
      <c r="BE182" t="s">
        <v>4199</v>
      </c>
      <c r="BF182" t="s">
        <v>4200</v>
      </c>
      <c r="BH182" t="s">
        <v>4018</v>
      </c>
      <c r="BI182" t="s">
        <v>4019</v>
      </c>
      <c r="BJ182" t="s">
        <v>4020</v>
      </c>
      <c r="BK182" t="s">
        <v>4021</v>
      </c>
      <c r="BL182" t="s">
        <v>4022</v>
      </c>
      <c r="BM182" t="s">
        <v>4023</v>
      </c>
      <c r="BN182" t="s">
        <v>4024</v>
      </c>
      <c r="BO182" t="s">
        <v>4025</v>
      </c>
      <c r="BR182" t="s">
        <v>4026</v>
      </c>
      <c r="BS182" t="s">
        <v>4027</v>
      </c>
      <c r="BT182" t="s">
        <v>4028</v>
      </c>
      <c r="BU182" t="s">
        <v>4029</v>
      </c>
      <c r="BV182" t="s">
        <v>4030</v>
      </c>
      <c r="BW182" t="s">
        <v>4049</v>
      </c>
      <c r="CB182" t="s">
        <v>4208</v>
      </c>
      <c r="CC182">
        <v>1</v>
      </c>
      <c r="CN182" t="s">
        <v>4050</v>
      </c>
      <c r="CW182">
        <v>2</v>
      </c>
      <c r="CX182" t="s">
        <v>4201</v>
      </c>
    </row>
    <row r="183" spans="3:102" x14ac:dyDescent="0.3">
      <c r="C183" t="s">
        <v>3705</v>
      </c>
    </row>
    <row r="184" spans="3:102" x14ac:dyDescent="0.3">
      <c r="C184" t="s">
        <v>3706</v>
      </c>
      <c r="D184">
        <v>12</v>
      </c>
      <c r="E184">
        <v>10000</v>
      </c>
      <c r="F184" t="s">
        <v>4014</v>
      </c>
      <c r="G184" t="s">
        <v>4015</v>
      </c>
      <c r="H184" t="s">
        <v>4016</v>
      </c>
      <c r="AV184" t="s">
        <v>4204</v>
      </c>
      <c r="AW184" t="s">
        <v>4205</v>
      </c>
      <c r="AX184" t="s">
        <v>4320</v>
      </c>
      <c r="BH184" t="s">
        <v>4018</v>
      </c>
      <c r="BI184" t="s">
        <v>4019</v>
      </c>
      <c r="BJ184" t="s">
        <v>4137</v>
      </c>
      <c r="BK184" t="s">
        <v>4138</v>
      </c>
      <c r="BL184" t="s">
        <v>4139</v>
      </c>
      <c r="BM184" t="s">
        <v>4140</v>
      </c>
      <c r="BN184" t="s">
        <v>4141</v>
      </c>
      <c r="BO184" t="s">
        <v>4142</v>
      </c>
      <c r="BR184" t="s">
        <v>4026</v>
      </c>
      <c r="BS184" t="s">
        <v>4027</v>
      </c>
      <c r="BT184" t="s">
        <v>4028</v>
      </c>
      <c r="BU184" t="s">
        <v>4029</v>
      </c>
      <c r="BV184" t="s">
        <v>4030</v>
      </c>
      <c r="BW184" t="s">
        <v>4321</v>
      </c>
      <c r="CA184" t="s">
        <v>4251</v>
      </c>
      <c r="CB184" t="s">
        <v>4252</v>
      </c>
      <c r="CC184">
        <v>1</v>
      </c>
      <c r="CN184" t="s">
        <v>4032</v>
      </c>
      <c r="CW184">
        <v>2</v>
      </c>
      <c r="CX184" t="s">
        <v>4322</v>
      </c>
    </row>
    <row r="185" spans="3:102" x14ac:dyDescent="0.3">
      <c r="C185" t="s">
        <v>3707</v>
      </c>
    </row>
    <row r="186" spans="3:102" x14ac:dyDescent="0.3">
      <c r="C186" t="s">
        <v>3708</v>
      </c>
      <c r="D186">
        <v>12</v>
      </c>
      <c r="E186">
        <v>10000</v>
      </c>
      <c r="F186" t="s">
        <v>4014</v>
      </c>
      <c r="G186" t="s">
        <v>4015</v>
      </c>
      <c r="H186" t="s">
        <v>4016</v>
      </c>
      <c r="AV186" t="s">
        <v>4204</v>
      </c>
      <c r="AW186" t="s">
        <v>4205</v>
      </c>
      <c r="AX186" t="s">
        <v>4323</v>
      </c>
      <c r="BH186" t="s">
        <v>4018</v>
      </c>
      <c r="BI186" t="s">
        <v>4019</v>
      </c>
      <c r="BJ186" t="s">
        <v>4137</v>
      </c>
      <c r="BK186" t="s">
        <v>4138</v>
      </c>
      <c r="BL186" t="s">
        <v>4139</v>
      </c>
      <c r="BM186" t="s">
        <v>4140</v>
      </c>
      <c r="BN186" t="s">
        <v>4141</v>
      </c>
      <c r="BO186" t="s">
        <v>4142</v>
      </c>
      <c r="BR186" t="s">
        <v>4026</v>
      </c>
      <c r="BS186" t="s">
        <v>4027</v>
      </c>
      <c r="BT186" t="s">
        <v>4028</v>
      </c>
      <c r="BU186" t="s">
        <v>4029</v>
      </c>
      <c r="BV186" t="s">
        <v>4030</v>
      </c>
      <c r="BW186" t="s">
        <v>4321</v>
      </c>
      <c r="CA186" t="s">
        <v>4251</v>
      </c>
      <c r="CB186" t="s">
        <v>4252</v>
      </c>
      <c r="CC186">
        <v>1</v>
      </c>
      <c r="CN186" t="s">
        <v>4032</v>
      </c>
      <c r="CW186">
        <v>2</v>
      </c>
      <c r="CX186" t="s">
        <v>4324</v>
      </c>
    </row>
    <row r="187" spans="3:102" x14ac:dyDescent="0.3">
      <c r="C187" t="s">
        <v>3709</v>
      </c>
    </row>
    <row r="188" spans="3:102" x14ac:dyDescent="0.3">
      <c r="C188" t="s">
        <v>3710</v>
      </c>
      <c r="D188">
        <v>12</v>
      </c>
      <c r="E188">
        <v>10000</v>
      </c>
      <c r="F188" t="s">
        <v>4014</v>
      </c>
      <c r="G188" t="s">
        <v>4015</v>
      </c>
      <c r="H188" t="s">
        <v>4016</v>
      </c>
      <c r="AV188" t="s">
        <v>4204</v>
      </c>
      <c r="AW188" t="s">
        <v>4205</v>
      </c>
      <c r="AX188" t="s">
        <v>4325</v>
      </c>
      <c r="BH188" t="s">
        <v>4018</v>
      </c>
      <c r="BI188" t="s">
        <v>4019</v>
      </c>
      <c r="BJ188" t="s">
        <v>4137</v>
      </c>
      <c r="BK188" t="s">
        <v>4138</v>
      </c>
      <c r="BL188" t="s">
        <v>4139</v>
      </c>
      <c r="BM188" t="s">
        <v>4140</v>
      </c>
      <c r="BN188" t="s">
        <v>4141</v>
      </c>
      <c r="BO188" t="s">
        <v>4142</v>
      </c>
      <c r="BR188" t="s">
        <v>4026</v>
      </c>
      <c r="BS188" t="s">
        <v>4027</v>
      </c>
      <c r="BT188" t="s">
        <v>4028</v>
      </c>
      <c r="BU188" t="s">
        <v>4029</v>
      </c>
      <c r="BV188" t="s">
        <v>4030</v>
      </c>
      <c r="BW188" t="s">
        <v>4321</v>
      </c>
      <c r="CA188" t="s">
        <v>4251</v>
      </c>
      <c r="CB188" t="s">
        <v>4252</v>
      </c>
      <c r="CC188">
        <v>1</v>
      </c>
      <c r="CN188" t="s">
        <v>4032</v>
      </c>
      <c r="CW188">
        <v>2</v>
      </c>
      <c r="CX188" t="s">
        <v>4326</v>
      </c>
    </row>
    <row r="189" spans="3:102" x14ac:dyDescent="0.3">
      <c r="C189" t="s">
        <v>3711</v>
      </c>
    </row>
    <row r="190" spans="3:102" x14ac:dyDescent="0.3">
      <c r="C190" t="s">
        <v>3712</v>
      </c>
      <c r="D190">
        <v>12</v>
      </c>
      <c r="E190">
        <v>10000</v>
      </c>
      <c r="F190" t="s">
        <v>4014</v>
      </c>
      <c r="G190" t="s">
        <v>4015</v>
      </c>
      <c r="H190" t="s">
        <v>4327</v>
      </c>
      <c r="AV190" t="s">
        <v>4204</v>
      </c>
      <c r="AW190" t="s">
        <v>4205</v>
      </c>
      <c r="AX190" t="s">
        <v>4328</v>
      </c>
      <c r="AY190" t="s">
        <v>4329</v>
      </c>
      <c r="BH190" t="s">
        <v>4018</v>
      </c>
      <c r="BI190" t="s">
        <v>4019</v>
      </c>
      <c r="BJ190" t="s">
        <v>4137</v>
      </c>
      <c r="BK190" t="s">
        <v>4138</v>
      </c>
      <c r="BL190" t="s">
        <v>4139</v>
      </c>
      <c r="BM190" t="s">
        <v>4140</v>
      </c>
      <c r="BN190" t="s">
        <v>4141</v>
      </c>
      <c r="BO190" t="s">
        <v>4142</v>
      </c>
      <c r="BR190" t="s">
        <v>4026</v>
      </c>
      <c r="BS190" t="s">
        <v>4027</v>
      </c>
      <c r="BT190" t="s">
        <v>4028</v>
      </c>
      <c r="BU190" t="s">
        <v>4029</v>
      </c>
      <c r="BV190" t="s">
        <v>4030</v>
      </c>
      <c r="BW190" t="s">
        <v>4321</v>
      </c>
      <c r="CA190" t="s">
        <v>4251</v>
      </c>
      <c r="CB190" t="s">
        <v>4252</v>
      </c>
      <c r="CC190">
        <v>1</v>
      </c>
      <c r="CN190" t="s">
        <v>4032</v>
      </c>
      <c r="CW190">
        <v>2</v>
      </c>
      <c r="CX190" t="s">
        <v>4330</v>
      </c>
    </row>
    <row r="191" spans="3:102" x14ac:dyDescent="0.3">
      <c r="C191" t="s">
        <v>3713</v>
      </c>
    </row>
    <row r="192" spans="3:102" x14ac:dyDescent="0.3">
      <c r="C192" t="s">
        <v>3714</v>
      </c>
      <c r="D192">
        <v>12</v>
      </c>
      <c r="E192">
        <v>10000</v>
      </c>
      <c r="F192" t="s">
        <v>4014</v>
      </c>
      <c r="G192" t="s">
        <v>4015</v>
      </c>
      <c r="H192" t="s">
        <v>4327</v>
      </c>
      <c r="AV192" t="s">
        <v>4204</v>
      </c>
      <c r="AW192" t="s">
        <v>4205</v>
      </c>
      <c r="AX192" t="s">
        <v>4331</v>
      </c>
      <c r="AY192" t="s">
        <v>4332</v>
      </c>
      <c r="BH192" t="s">
        <v>4018</v>
      </c>
      <c r="BI192" t="s">
        <v>4019</v>
      </c>
      <c r="BJ192" t="s">
        <v>4137</v>
      </c>
      <c r="BK192" t="s">
        <v>4138</v>
      </c>
      <c r="BL192" t="s">
        <v>4139</v>
      </c>
      <c r="BM192" t="s">
        <v>4140</v>
      </c>
      <c r="BN192" t="s">
        <v>4141</v>
      </c>
      <c r="BO192" t="s">
        <v>4142</v>
      </c>
      <c r="BR192" t="s">
        <v>4026</v>
      </c>
      <c r="BS192" t="s">
        <v>4027</v>
      </c>
      <c r="BT192" t="s">
        <v>4028</v>
      </c>
      <c r="BU192" t="s">
        <v>4029</v>
      </c>
      <c r="BV192" t="s">
        <v>4030</v>
      </c>
      <c r="BW192" t="s">
        <v>4321</v>
      </c>
      <c r="CA192" t="s">
        <v>4251</v>
      </c>
      <c r="CB192" t="s">
        <v>4252</v>
      </c>
      <c r="CC192">
        <v>1</v>
      </c>
      <c r="CN192" t="s">
        <v>4032</v>
      </c>
      <c r="CW192">
        <v>2</v>
      </c>
      <c r="CX192" t="s">
        <v>4333</v>
      </c>
    </row>
    <row r="193" spans="3:102" x14ac:dyDescent="0.3">
      <c r="C193" t="s">
        <v>3715</v>
      </c>
    </row>
    <row r="194" spans="3:102" x14ac:dyDescent="0.3">
      <c r="C194" t="s">
        <v>3716</v>
      </c>
      <c r="D194">
        <v>12</v>
      </c>
      <c r="E194">
        <v>10000</v>
      </c>
      <c r="F194" t="s">
        <v>4014</v>
      </c>
      <c r="G194" t="s">
        <v>4015</v>
      </c>
      <c r="H194" t="s">
        <v>4334</v>
      </c>
      <c r="AV194" t="s">
        <v>4204</v>
      </c>
      <c r="AW194" t="s">
        <v>4205</v>
      </c>
      <c r="AX194" t="s">
        <v>4335</v>
      </c>
      <c r="AY194" t="s">
        <v>4336</v>
      </c>
      <c r="BH194" t="s">
        <v>4018</v>
      </c>
      <c r="BI194" t="s">
        <v>4019</v>
      </c>
      <c r="BJ194" t="s">
        <v>4137</v>
      </c>
      <c r="BK194" t="s">
        <v>4138</v>
      </c>
      <c r="BL194" t="s">
        <v>4139</v>
      </c>
      <c r="BM194" t="s">
        <v>4140</v>
      </c>
      <c r="BN194" t="s">
        <v>4141</v>
      </c>
      <c r="BO194" t="s">
        <v>4142</v>
      </c>
      <c r="BR194" t="s">
        <v>4026</v>
      </c>
      <c r="BS194" t="s">
        <v>4027</v>
      </c>
      <c r="BT194" t="s">
        <v>4028</v>
      </c>
      <c r="BU194" t="s">
        <v>4029</v>
      </c>
      <c r="BV194" t="s">
        <v>4030</v>
      </c>
      <c r="BW194" t="s">
        <v>4321</v>
      </c>
      <c r="CA194" t="s">
        <v>4251</v>
      </c>
      <c r="CB194" t="s">
        <v>4252</v>
      </c>
      <c r="CC194">
        <v>1</v>
      </c>
      <c r="CN194" t="s">
        <v>4032</v>
      </c>
      <c r="CW194">
        <v>2</v>
      </c>
      <c r="CX194" t="s">
        <v>4337</v>
      </c>
    </row>
    <row r="195" spans="3:102" x14ac:dyDescent="0.3">
      <c r="C195" t="s">
        <v>3717</v>
      </c>
    </row>
    <row r="196" spans="3:102" x14ac:dyDescent="0.3">
      <c r="C196" t="s">
        <v>3718</v>
      </c>
      <c r="D196">
        <v>12</v>
      </c>
      <c r="E196">
        <v>10000</v>
      </c>
      <c r="F196" t="s">
        <v>4014</v>
      </c>
      <c r="G196" t="s">
        <v>4015</v>
      </c>
      <c r="H196" t="s">
        <v>4016</v>
      </c>
      <c r="AV196" t="s">
        <v>4204</v>
      </c>
      <c r="AW196" t="s">
        <v>4205</v>
      </c>
      <c r="AX196" t="s">
        <v>4338</v>
      </c>
      <c r="BH196" t="s">
        <v>4018</v>
      </c>
      <c r="BI196" t="s">
        <v>4019</v>
      </c>
      <c r="BJ196" t="s">
        <v>4137</v>
      </c>
      <c r="BK196" t="s">
        <v>4138</v>
      </c>
      <c r="BL196" t="s">
        <v>4139</v>
      </c>
      <c r="BM196" t="s">
        <v>4140</v>
      </c>
      <c r="BN196" t="s">
        <v>4141</v>
      </c>
      <c r="BO196" t="s">
        <v>4142</v>
      </c>
      <c r="BR196" t="s">
        <v>4026</v>
      </c>
      <c r="BS196" t="s">
        <v>4027</v>
      </c>
      <c r="BT196" t="s">
        <v>4028</v>
      </c>
      <c r="BU196" t="s">
        <v>4029</v>
      </c>
      <c r="BV196" t="s">
        <v>4030</v>
      </c>
      <c r="BW196" t="s">
        <v>4321</v>
      </c>
      <c r="CA196" t="s">
        <v>4251</v>
      </c>
      <c r="CB196" t="s">
        <v>4252</v>
      </c>
      <c r="CC196">
        <v>1</v>
      </c>
      <c r="CN196" t="s">
        <v>4032</v>
      </c>
      <c r="CW196">
        <v>2</v>
      </c>
      <c r="CX196" t="s">
        <v>4339</v>
      </c>
    </row>
    <row r="197" spans="3:102" x14ac:dyDescent="0.3">
      <c r="C197" t="s">
        <v>3719</v>
      </c>
    </row>
    <row r="198" spans="3:102" x14ac:dyDescent="0.3">
      <c r="C198" t="s">
        <v>3720</v>
      </c>
      <c r="D198">
        <v>12</v>
      </c>
      <c r="E198">
        <v>10000</v>
      </c>
      <c r="F198" t="s">
        <v>4014</v>
      </c>
      <c r="G198" t="s">
        <v>4015</v>
      </c>
      <c r="H198" t="s">
        <v>4034</v>
      </c>
      <c r="AV198" t="s">
        <v>4204</v>
      </c>
      <c r="AW198" t="s">
        <v>4205</v>
      </c>
      <c r="AX198" t="s">
        <v>4340</v>
      </c>
      <c r="BH198" t="s">
        <v>4018</v>
      </c>
      <c r="BI198" t="s">
        <v>4019</v>
      </c>
      <c r="BJ198" t="s">
        <v>4137</v>
      </c>
      <c r="BK198" t="s">
        <v>4138</v>
      </c>
      <c r="BL198" t="s">
        <v>4139</v>
      </c>
      <c r="BM198" t="s">
        <v>4140</v>
      </c>
      <c r="BN198" t="s">
        <v>4141</v>
      </c>
      <c r="BO198" t="s">
        <v>4142</v>
      </c>
      <c r="BR198" t="s">
        <v>4026</v>
      </c>
      <c r="BS198" t="s">
        <v>4027</v>
      </c>
      <c r="BT198" t="s">
        <v>4028</v>
      </c>
      <c r="BU198" t="s">
        <v>4029</v>
      </c>
      <c r="BV198" t="s">
        <v>4030</v>
      </c>
      <c r="BW198" t="s">
        <v>4321</v>
      </c>
      <c r="CA198" t="s">
        <v>4251</v>
      </c>
      <c r="CB198" t="s">
        <v>4252</v>
      </c>
      <c r="CC198">
        <v>1</v>
      </c>
      <c r="CN198" t="s">
        <v>4032</v>
      </c>
      <c r="CW198">
        <v>2</v>
      </c>
      <c r="CX198" t="s">
        <v>4341</v>
      </c>
    </row>
    <row r="199" spans="3:102" x14ac:dyDescent="0.3">
      <c r="C199" t="s">
        <v>3721</v>
      </c>
    </row>
    <row r="200" spans="3:102" x14ac:dyDescent="0.3">
      <c r="C200" t="s">
        <v>3722</v>
      </c>
      <c r="D200">
        <v>12</v>
      </c>
      <c r="E200">
        <v>1000000</v>
      </c>
      <c r="F200" t="s">
        <v>4014</v>
      </c>
      <c r="G200" t="s">
        <v>4015</v>
      </c>
      <c r="H200" t="s">
        <v>4105</v>
      </c>
      <c r="AV200" t="s">
        <v>4204</v>
      </c>
      <c r="AW200" t="s">
        <v>4205</v>
      </c>
      <c r="AX200" t="s">
        <v>4342</v>
      </c>
      <c r="AY200" t="s">
        <v>4343</v>
      </c>
      <c r="BH200" t="s">
        <v>4018</v>
      </c>
      <c r="BI200" t="s">
        <v>4019</v>
      </c>
      <c r="BJ200" t="s">
        <v>4137</v>
      </c>
      <c r="BK200" t="s">
        <v>4138</v>
      </c>
      <c r="BL200" t="s">
        <v>4139</v>
      </c>
      <c r="BM200" t="s">
        <v>4140</v>
      </c>
      <c r="BN200" t="s">
        <v>4141</v>
      </c>
      <c r="BO200" t="s">
        <v>4142</v>
      </c>
      <c r="BR200" t="s">
        <v>4026</v>
      </c>
      <c r="BS200" t="s">
        <v>4027</v>
      </c>
      <c r="BT200" t="s">
        <v>4028</v>
      </c>
      <c r="BU200" t="s">
        <v>4029</v>
      </c>
      <c r="BV200" t="s">
        <v>4030</v>
      </c>
      <c r="BW200" t="s">
        <v>4039</v>
      </c>
      <c r="CA200" t="s">
        <v>4251</v>
      </c>
      <c r="CB200" t="s">
        <v>4252</v>
      </c>
      <c r="CC200">
        <v>1</v>
      </c>
      <c r="CN200" t="s">
        <v>4032</v>
      </c>
      <c r="CW200">
        <v>2</v>
      </c>
      <c r="CX200" t="s">
        <v>4344</v>
      </c>
    </row>
    <row r="201" spans="3:102" x14ac:dyDescent="0.3">
      <c r="C201" t="s">
        <v>3723</v>
      </c>
    </row>
    <row r="202" spans="3:102" x14ac:dyDescent="0.3">
      <c r="C202" t="s">
        <v>3724</v>
      </c>
      <c r="D202">
        <v>12</v>
      </c>
      <c r="E202">
        <v>1000000</v>
      </c>
      <c r="F202" t="s">
        <v>4014</v>
      </c>
      <c r="G202" t="s">
        <v>4015</v>
      </c>
      <c r="H202" t="s">
        <v>4080</v>
      </c>
      <c r="AV202" t="s">
        <v>4204</v>
      </c>
      <c r="AW202" t="s">
        <v>4205</v>
      </c>
      <c r="AX202" t="s">
        <v>4345</v>
      </c>
      <c r="BH202" t="s">
        <v>4018</v>
      </c>
      <c r="BI202" t="s">
        <v>4019</v>
      </c>
      <c r="BJ202" t="s">
        <v>4137</v>
      </c>
      <c r="BK202" t="s">
        <v>4138</v>
      </c>
      <c r="BL202" t="s">
        <v>4139</v>
      </c>
      <c r="BM202" t="s">
        <v>4140</v>
      </c>
      <c r="BN202" t="s">
        <v>4141</v>
      </c>
      <c r="BO202" t="s">
        <v>4142</v>
      </c>
      <c r="BR202" t="s">
        <v>4026</v>
      </c>
      <c r="BS202" t="s">
        <v>4027</v>
      </c>
      <c r="BT202" t="s">
        <v>4028</v>
      </c>
      <c r="BU202" t="s">
        <v>4029</v>
      </c>
      <c r="BV202" t="s">
        <v>4030</v>
      </c>
      <c r="BW202" t="s">
        <v>4240</v>
      </c>
      <c r="CA202" t="s">
        <v>4251</v>
      </c>
      <c r="CB202" t="s">
        <v>4252</v>
      </c>
      <c r="CC202">
        <v>1</v>
      </c>
      <c r="CN202" t="s">
        <v>4032</v>
      </c>
      <c r="CW202">
        <v>2</v>
      </c>
      <c r="CX202" t="s">
        <v>4346</v>
      </c>
    </row>
    <row r="203" spans="3:102" x14ac:dyDescent="0.3">
      <c r="C203" t="s">
        <v>3725</v>
      </c>
    </row>
    <row r="204" spans="3:102" x14ac:dyDescent="0.3">
      <c r="C204" t="s">
        <v>3726</v>
      </c>
      <c r="D204">
        <v>12</v>
      </c>
      <c r="E204">
        <v>1000000</v>
      </c>
      <c r="F204" t="s">
        <v>4046</v>
      </c>
      <c r="G204" t="s">
        <v>4347</v>
      </c>
      <c r="H204" t="s">
        <v>4080</v>
      </c>
      <c r="AV204" t="s">
        <v>4220</v>
      </c>
      <c r="AW204" t="s">
        <v>4221</v>
      </c>
      <c r="AX204" t="s">
        <v>4348</v>
      </c>
      <c r="BH204" t="s">
        <v>4018</v>
      </c>
      <c r="BI204" t="s">
        <v>4019</v>
      </c>
      <c r="BJ204" t="s">
        <v>4137</v>
      </c>
      <c r="BK204" t="s">
        <v>4138</v>
      </c>
      <c r="BL204" t="s">
        <v>4139</v>
      </c>
      <c r="BM204" t="s">
        <v>4140</v>
      </c>
      <c r="BN204" t="s">
        <v>4141</v>
      </c>
      <c r="BO204" t="s">
        <v>4142</v>
      </c>
      <c r="BR204" t="s">
        <v>4026</v>
      </c>
      <c r="BS204" t="s">
        <v>4027</v>
      </c>
      <c r="BT204" t="s">
        <v>4028</v>
      </c>
      <c r="BU204" t="s">
        <v>4029</v>
      </c>
      <c r="BV204" t="s">
        <v>4030</v>
      </c>
      <c r="BW204" t="s">
        <v>4240</v>
      </c>
      <c r="CA204" t="s">
        <v>4251</v>
      </c>
      <c r="CB204" t="s">
        <v>4252</v>
      </c>
      <c r="CC204">
        <v>1</v>
      </c>
      <c r="CN204" t="s">
        <v>4032</v>
      </c>
      <c r="CW204">
        <v>2</v>
      </c>
      <c r="CX204" t="s">
        <v>4349</v>
      </c>
    </row>
    <row r="205" spans="3:102" x14ac:dyDescent="0.3">
      <c r="C205" t="s">
        <v>3727</v>
      </c>
    </row>
    <row r="206" spans="3:102" x14ac:dyDescent="0.3">
      <c r="C206" t="s">
        <v>3728</v>
      </c>
      <c r="D206">
        <v>12</v>
      </c>
      <c r="E206">
        <v>1000000</v>
      </c>
      <c r="F206" t="s">
        <v>4014</v>
      </c>
      <c r="G206" t="s">
        <v>4015</v>
      </c>
      <c r="H206" t="s">
        <v>4080</v>
      </c>
      <c r="AV206" t="s">
        <v>4204</v>
      </c>
      <c r="AW206" t="s">
        <v>4205</v>
      </c>
      <c r="AX206" t="s">
        <v>4350</v>
      </c>
      <c r="BH206" t="s">
        <v>4018</v>
      </c>
      <c r="BI206" t="s">
        <v>4019</v>
      </c>
      <c r="BJ206" t="s">
        <v>4137</v>
      </c>
      <c r="BK206" t="s">
        <v>4138</v>
      </c>
      <c r="BL206" t="s">
        <v>4139</v>
      </c>
      <c r="BM206" t="s">
        <v>4140</v>
      </c>
      <c r="BN206" t="s">
        <v>4141</v>
      </c>
      <c r="BO206" t="s">
        <v>4142</v>
      </c>
      <c r="BR206" t="s">
        <v>4026</v>
      </c>
      <c r="BS206" t="s">
        <v>4027</v>
      </c>
      <c r="BT206" t="s">
        <v>4028</v>
      </c>
      <c r="BU206" t="s">
        <v>4029</v>
      </c>
      <c r="BV206" t="s">
        <v>4030</v>
      </c>
      <c r="BW206" t="s">
        <v>4257</v>
      </c>
      <c r="CA206" t="s">
        <v>4251</v>
      </c>
      <c r="CB206" t="s">
        <v>4252</v>
      </c>
      <c r="CC206">
        <v>1</v>
      </c>
      <c r="CN206" t="s">
        <v>4032</v>
      </c>
      <c r="CW206">
        <v>2</v>
      </c>
      <c r="CX206" t="s">
        <v>4351</v>
      </c>
    </row>
    <row r="207" spans="3:102" x14ac:dyDescent="0.3">
      <c r="C207" t="s">
        <v>3729</v>
      </c>
    </row>
    <row r="208" spans="3:102" x14ac:dyDescent="0.3">
      <c r="C208" t="s">
        <v>3730</v>
      </c>
      <c r="D208">
        <v>12</v>
      </c>
      <c r="E208">
        <v>1000000</v>
      </c>
      <c r="F208" t="s">
        <v>4014</v>
      </c>
      <c r="G208" t="s">
        <v>4015</v>
      </c>
      <c r="H208" t="s">
        <v>4352</v>
      </c>
      <c r="AV208" t="s">
        <v>4204</v>
      </c>
      <c r="AW208" t="s">
        <v>4205</v>
      </c>
      <c r="AX208" t="s">
        <v>4353</v>
      </c>
      <c r="AY208" t="s">
        <v>4354</v>
      </c>
      <c r="BH208" t="s">
        <v>4018</v>
      </c>
      <c r="BI208" t="s">
        <v>4019</v>
      </c>
      <c r="BJ208" t="s">
        <v>4137</v>
      </c>
      <c r="BK208" t="s">
        <v>4138</v>
      </c>
      <c r="BL208" t="s">
        <v>4139</v>
      </c>
      <c r="BM208" t="s">
        <v>4140</v>
      </c>
      <c r="BN208" t="s">
        <v>4141</v>
      </c>
      <c r="BO208" t="s">
        <v>4142</v>
      </c>
      <c r="BR208" t="s">
        <v>4026</v>
      </c>
      <c r="BS208" t="s">
        <v>4027</v>
      </c>
      <c r="BT208" t="s">
        <v>4028</v>
      </c>
      <c r="BU208" t="s">
        <v>4029</v>
      </c>
      <c r="BV208" t="s">
        <v>4030</v>
      </c>
      <c r="BW208" t="s">
        <v>4240</v>
      </c>
      <c r="BX208" t="s">
        <v>4257</v>
      </c>
      <c r="CA208" t="s">
        <v>4251</v>
      </c>
      <c r="CB208" t="s">
        <v>4252</v>
      </c>
      <c r="CC208">
        <v>1</v>
      </c>
      <c r="CN208" t="s">
        <v>4032</v>
      </c>
      <c r="CW208">
        <v>2</v>
      </c>
      <c r="CX208" t="s">
        <v>4355</v>
      </c>
    </row>
    <row r="209" spans="3:102" x14ac:dyDescent="0.3">
      <c r="C209" t="s">
        <v>3731</v>
      </c>
    </row>
    <row r="210" spans="3:102" x14ac:dyDescent="0.3">
      <c r="C210" t="s">
        <v>3131</v>
      </c>
      <c r="D210">
        <v>12</v>
      </c>
      <c r="E210">
        <v>500000</v>
      </c>
      <c r="F210" t="s">
        <v>4014</v>
      </c>
      <c r="G210" t="s">
        <v>4015</v>
      </c>
      <c r="H210" t="s">
        <v>4043</v>
      </c>
      <c r="AV210" t="s">
        <v>4204</v>
      </c>
      <c r="AW210" t="s">
        <v>4205</v>
      </c>
      <c r="AX210" t="s">
        <v>4202</v>
      </c>
      <c r="BH210" t="s">
        <v>4018</v>
      </c>
      <c r="BI210" t="s">
        <v>4019</v>
      </c>
      <c r="BJ210" t="s">
        <v>4137</v>
      </c>
      <c r="BK210" t="s">
        <v>4138</v>
      </c>
      <c r="BL210" t="s">
        <v>4139</v>
      </c>
      <c r="BM210" t="s">
        <v>4140</v>
      </c>
      <c r="BN210" t="s">
        <v>4141</v>
      </c>
      <c r="BO210" t="s">
        <v>4142</v>
      </c>
      <c r="BR210" t="s">
        <v>4026</v>
      </c>
      <c r="BS210" t="s">
        <v>4027</v>
      </c>
      <c r="BT210" t="s">
        <v>4028</v>
      </c>
      <c r="BU210" t="s">
        <v>4029</v>
      </c>
      <c r="BV210" t="s">
        <v>4030</v>
      </c>
      <c r="BW210" t="s">
        <v>4049</v>
      </c>
      <c r="CA210" t="s">
        <v>4251</v>
      </c>
      <c r="CB210" t="s">
        <v>4252</v>
      </c>
      <c r="CC210">
        <v>1</v>
      </c>
      <c r="CN210" t="s">
        <v>4050</v>
      </c>
      <c r="CW210">
        <v>2</v>
      </c>
      <c r="CX210" t="s">
        <v>4203</v>
      </c>
    </row>
    <row r="211" spans="3:102" x14ac:dyDescent="0.3">
      <c r="C211" t="s">
        <v>3732</v>
      </c>
    </row>
    <row r="212" spans="3:102" x14ac:dyDescent="0.3">
      <c r="C212" t="s">
        <v>3733</v>
      </c>
      <c r="D212">
        <v>12</v>
      </c>
      <c r="E212">
        <v>1000000</v>
      </c>
      <c r="F212" t="s">
        <v>4356</v>
      </c>
      <c r="G212" t="s">
        <v>4055</v>
      </c>
      <c r="H212" t="s">
        <v>4357</v>
      </c>
      <c r="AV212" t="s">
        <v>4224</v>
      </c>
      <c r="AW212" t="s">
        <v>4225</v>
      </c>
      <c r="AX212" t="s">
        <v>4142</v>
      </c>
      <c r="AY212" t="s">
        <v>4358</v>
      </c>
      <c r="AZ212" t="s">
        <v>4359</v>
      </c>
      <c r="BH212" t="s">
        <v>4018</v>
      </c>
      <c r="BI212" t="s">
        <v>4019</v>
      </c>
      <c r="BJ212" t="s">
        <v>4137</v>
      </c>
      <c r="BK212" t="s">
        <v>4138</v>
      </c>
      <c r="BL212" t="s">
        <v>4139</v>
      </c>
      <c r="BM212" t="s">
        <v>4140</v>
      </c>
      <c r="BN212" t="s">
        <v>4141</v>
      </c>
      <c r="BO212" t="s">
        <v>4142</v>
      </c>
      <c r="BR212" t="s">
        <v>4026</v>
      </c>
      <c r="BS212" t="s">
        <v>4027</v>
      </c>
      <c r="BT212" t="s">
        <v>4028</v>
      </c>
      <c r="BU212" t="s">
        <v>4029</v>
      </c>
      <c r="BV212" t="s">
        <v>4030</v>
      </c>
      <c r="BW212" t="s">
        <v>4049</v>
      </c>
      <c r="CA212" t="s">
        <v>4251</v>
      </c>
      <c r="CB212" t="s">
        <v>4252</v>
      </c>
      <c r="CC212">
        <v>1</v>
      </c>
      <c r="CM212" t="s">
        <v>4360</v>
      </c>
      <c r="CN212" t="s">
        <v>4361</v>
      </c>
      <c r="CW212">
        <v>2</v>
      </c>
      <c r="CX212" t="s">
        <v>4362</v>
      </c>
    </row>
    <row r="213" spans="3:102" x14ac:dyDescent="0.3">
      <c r="C213" t="s">
        <v>3734</v>
      </c>
    </row>
    <row r="214" spans="3:102" x14ac:dyDescent="0.3">
      <c r="C214" t="s">
        <v>3735</v>
      </c>
      <c r="D214">
        <v>12</v>
      </c>
      <c r="E214">
        <v>1000000</v>
      </c>
      <c r="F214" t="s">
        <v>4363</v>
      </c>
      <c r="G214" t="s">
        <v>4364</v>
      </c>
      <c r="H214" t="s">
        <v>4365</v>
      </c>
      <c r="AV214" t="s">
        <v>4366</v>
      </c>
      <c r="AW214" t="s">
        <v>4367</v>
      </c>
      <c r="AX214" t="s">
        <v>4142</v>
      </c>
      <c r="AY214" t="s">
        <v>4358</v>
      </c>
      <c r="AZ214" t="s">
        <v>4359</v>
      </c>
      <c r="BH214" t="s">
        <v>4018</v>
      </c>
      <c r="BI214" t="s">
        <v>4019</v>
      </c>
      <c r="BJ214" t="s">
        <v>4137</v>
      </c>
      <c r="BK214" t="s">
        <v>4138</v>
      </c>
      <c r="BL214" t="s">
        <v>4139</v>
      </c>
      <c r="BM214" t="s">
        <v>4140</v>
      </c>
      <c r="BN214" t="s">
        <v>4141</v>
      </c>
      <c r="BO214" t="s">
        <v>4142</v>
      </c>
      <c r="BR214" t="s">
        <v>4026</v>
      </c>
      <c r="BS214" t="s">
        <v>4027</v>
      </c>
      <c r="BT214" t="s">
        <v>4028</v>
      </c>
      <c r="BU214" t="s">
        <v>4029</v>
      </c>
      <c r="BV214" t="s">
        <v>4030</v>
      </c>
      <c r="BW214" t="s">
        <v>4049</v>
      </c>
      <c r="CA214" t="s">
        <v>4251</v>
      </c>
      <c r="CB214" t="s">
        <v>4252</v>
      </c>
      <c r="CC214">
        <v>1</v>
      </c>
      <c r="CM214" t="s">
        <v>4368</v>
      </c>
      <c r="CN214" t="s">
        <v>4369</v>
      </c>
      <c r="CW214">
        <v>2</v>
      </c>
      <c r="CX214" t="s">
        <v>4370</v>
      </c>
    </row>
    <row r="215" spans="3:102" x14ac:dyDescent="0.3">
      <c r="C215" t="s">
        <v>3736</v>
      </c>
    </row>
    <row r="216" spans="3:102" x14ac:dyDescent="0.3">
      <c r="C216" t="s">
        <v>3737</v>
      </c>
      <c r="D216">
        <v>1</v>
      </c>
      <c r="E216">
        <v>1000000</v>
      </c>
      <c r="F216">
        <v>1</v>
      </c>
      <c r="G216">
        <v>1</v>
      </c>
      <c r="H216" t="s">
        <v>4371</v>
      </c>
      <c r="AX216" t="s">
        <v>4372</v>
      </c>
      <c r="BH216" t="s">
        <v>4142</v>
      </c>
      <c r="BI216" t="s">
        <v>4358</v>
      </c>
      <c r="BJ216" t="s">
        <v>4359</v>
      </c>
      <c r="BR216" t="s">
        <v>4373</v>
      </c>
      <c r="BS216" t="s">
        <v>4373</v>
      </c>
      <c r="CW216">
        <v>2</v>
      </c>
      <c r="CX216" t="s">
        <v>4374</v>
      </c>
    </row>
    <row r="217" spans="3:102" x14ac:dyDescent="0.3">
      <c r="C217" t="s">
        <v>3738</v>
      </c>
    </row>
    <row r="218" spans="3:102" x14ac:dyDescent="0.3">
      <c r="C218" t="s">
        <v>3739</v>
      </c>
      <c r="D218">
        <v>1</v>
      </c>
      <c r="E218">
        <v>1000000</v>
      </c>
      <c r="F218">
        <v>1</v>
      </c>
      <c r="G218">
        <v>1</v>
      </c>
      <c r="H218" t="s">
        <v>4375</v>
      </c>
      <c r="AX218" t="s">
        <v>4376</v>
      </c>
      <c r="AY218" t="s">
        <v>4358</v>
      </c>
      <c r="AZ218" t="s">
        <v>4359</v>
      </c>
      <c r="BH218" t="s">
        <v>4018</v>
      </c>
      <c r="BI218" t="s">
        <v>4019</v>
      </c>
      <c r="BJ218" t="s">
        <v>4137</v>
      </c>
      <c r="BK218" t="s">
        <v>4138</v>
      </c>
      <c r="BL218" t="s">
        <v>4139</v>
      </c>
      <c r="BM218" t="s">
        <v>4140</v>
      </c>
      <c r="BN218" t="s">
        <v>4141</v>
      </c>
      <c r="BO218" t="s">
        <v>4142</v>
      </c>
      <c r="BR218" t="s">
        <v>4373</v>
      </c>
      <c r="BS218" t="s">
        <v>4373</v>
      </c>
      <c r="CW218">
        <v>2</v>
      </c>
      <c r="CX218" t="s">
        <v>4377</v>
      </c>
    </row>
    <row r="219" spans="3:102" x14ac:dyDescent="0.3">
      <c r="C219" t="s">
        <v>3740</v>
      </c>
    </row>
    <row r="220" spans="3:102" x14ac:dyDescent="0.3">
      <c r="C220" t="s">
        <v>3741</v>
      </c>
      <c r="D220">
        <v>12</v>
      </c>
      <c r="E220">
        <v>10000</v>
      </c>
      <c r="F220" t="s">
        <v>4014</v>
      </c>
      <c r="G220" t="s">
        <v>4015</v>
      </c>
      <c r="H220" t="s">
        <v>4034</v>
      </c>
      <c r="AV220" t="s">
        <v>4204</v>
      </c>
      <c r="AW220" t="s">
        <v>4205</v>
      </c>
      <c r="AX220" t="s">
        <v>4378</v>
      </c>
      <c r="BH220" t="s">
        <v>4018</v>
      </c>
      <c r="BI220" t="s">
        <v>4019</v>
      </c>
      <c r="BJ220" t="s">
        <v>4137</v>
      </c>
      <c r="BK220" t="s">
        <v>4138</v>
      </c>
      <c r="BL220" t="s">
        <v>4139</v>
      </c>
      <c r="BM220" t="s">
        <v>4140</v>
      </c>
      <c r="BN220" t="s">
        <v>4141</v>
      </c>
      <c r="BO220" t="s">
        <v>4142</v>
      </c>
      <c r="BR220" t="s">
        <v>4026</v>
      </c>
      <c r="BS220" t="s">
        <v>4027</v>
      </c>
      <c r="BT220" t="s">
        <v>4028</v>
      </c>
      <c r="BU220" t="s">
        <v>4029</v>
      </c>
      <c r="BV220" t="s">
        <v>4030</v>
      </c>
      <c r="BW220" t="s">
        <v>4321</v>
      </c>
      <c r="CA220" t="s">
        <v>4251</v>
      </c>
      <c r="CB220" t="s">
        <v>4252</v>
      </c>
      <c r="CC220">
        <v>1</v>
      </c>
      <c r="CN220" t="s">
        <v>4032</v>
      </c>
      <c r="CW220">
        <v>2</v>
      </c>
      <c r="CX220" t="s">
        <v>4379</v>
      </c>
    </row>
    <row r="221" spans="3:102" x14ac:dyDescent="0.3">
      <c r="C221" t="s">
        <v>3742</v>
      </c>
    </row>
    <row r="222" spans="3:102" x14ac:dyDescent="0.3">
      <c r="C222" t="s">
        <v>3743</v>
      </c>
      <c r="D222">
        <v>12</v>
      </c>
      <c r="E222">
        <v>10000</v>
      </c>
      <c r="F222" t="s">
        <v>4014</v>
      </c>
      <c r="G222" t="s">
        <v>4015</v>
      </c>
      <c r="H222" t="s">
        <v>4016</v>
      </c>
      <c r="AV222" t="s">
        <v>4204</v>
      </c>
      <c r="AW222" t="s">
        <v>4205</v>
      </c>
      <c r="AX222" t="s">
        <v>4380</v>
      </c>
      <c r="BH222" t="s">
        <v>4018</v>
      </c>
      <c r="BI222" t="s">
        <v>4019</v>
      </c>
      <c r="BJ222" t="s">
        <v>4137</v>
      </c>
      <c r="BK222" t="s">
        <v>4138</v>
      </c>
      <c r="BL222" t="s">
        <v>4139</v>
      </c>
      <c r="BM222" t="s">
        <v>4140</v>
      </c>
      <c r="BN222" t="s">
        <v>4141</v>
      </c>
      <c r="BO222" t="s">
        <v>4142</v>
      </c>
      <c r="BR222" t="s">
        <v>4026</v>
      </c>
      <c r="BS222" t="s">
        <v>4027</v>
      </c>
      <c r="BT222" t="s">
        <v>4028</v>
      </c>
      <c r="BU222" t="s">
        <v>4029</v>
      </c>
      <c r="BV222" t="s">
        <v>4030</v>
      </c>
      <c r="BW222" t="s">
        <v>4321</v>
      </c>
      <c r="CA222" t="s">
        <v>4251</v>
      </c>
      <c r="CB222" t="s">
        <v>4252</v>
      </c>
      <c r="CC222">
        <v>1</v>
      </c>
      <c r="CN222" t="s">
        <v>4032</v>
      </c>
      <c r="CW222">
        <v>2</v>
      </c>
      <c r="CX222" t="s">
        <v>4381</v>
      </c>
    </row>
    <row r="223" spans="3:102" x14ac:dyDescent="0.3">
      <c r="C223" t="s">
        <v>3744</v>
      </c>
    </row>
    <row r="224" spans="3:102" x14ac:dyDescent="0.3">
      <c r="C224" t="s">
        <v>3745</v>
      </c>
      <c r="D224">
        <v>12</v>
      </c>
      <c r="E224">
        <v>10000</v>
      </c>
      <c r="F224" t="s">
        <v>4014</v>
      </c>
      <c r="G224" t="s">
        <v>4015</v>
      </c>
      <c r="H224" t="s">
        <v>4034</v>
      </c>
      <c r="AV224" t="s">
        <v>4204</v>
      </c>
      <c r="AW224" t="s">
        <v>4205</v>
      </c>
      <c r="AX224" t="s">
        <v>4382</v>
      </c>
      <c r="BH224" t="s">
        <v>4018</v>
      </c>
      <c r="BI224" t="s">
        <v>4019</v>
      </c>
      <c r="BJ224" t="s">
        <v>4137</v>
      </c>
      <c r="BK224" t="s">
        <v>4138</v>
      </c>
      <c r="BL224" t="s">
        <v>4139</v>
      </c>
      <c r="BM224" t="s">
        <v>4140</v>
      </c>
      <c r="BN224" t="s">
        <v>4141</v>
      </c>
      <c r="BO224" t="s">
        <v>4142</v>
      </c>
      <c r="BR224" t="s">
        <v>4026</v>
      </c>
      <c r="BS224" t="s">
        <v>4027</v>
      </c>
      <c r="BT224" t="s">
        <v>4028</v>
      </c>
      <c r="BU224" t="s">
        <v>4029</v>
      </c>
      <c r="BV224" t="s">
        <v>4030</v>
      </c>
      <c r="BW224" t="s">
        <v>4321</v>
      </c>
      <c r="CA224" t="s">
        <v>4251</v>
      </c>
      <c r="CB224" t="s">
        <v>4252</v>
      </c>
      <c r="CC224">
        <v>1</v>
      </c>
      <c r="CN224" t="s">
        <v>4032</v>
      </c>
      <c r="CW224">
        <v>2</v>
      </c>
      <c r="CX224" t="s">
        <v>4383</v>
      </c>
    </row>
    <row r="225" spans="3:102" x14ac:dyDescent="0.3">
      <c r="C225" t="s">
        <v>3746</v>
      </c>
    </row>
    <row r="226" spans="3:102" x14ac:dyDescent="0.3">
      <c r="C226" t="s">
        <v>3747</v>
      </c>
      <c r="D226">
        <v>12</v>
      </c>
      <c r="E226">
        <v>10000</v>
      </c>
      <c r="F226" t="s">
        <v>4014</v>
      </c>
      <c r="G226" t="s">
        <v>4015</v>
      </c>
      <c r="H226" t="s">
        <v>4384</v>
      </c>
      <c r="AV226" t="s">
        <v>4204</v>
      </c>
      <c r="AW226" t="s">
        <v>4205</v>
      </c>
      <c r="AX226" t="s">
        <v>4385</v>
      </c>
      <c r="AY226" t="s">
        <v>4386</v>
      </c>
      <c r="BH226" t="s">
        <v>4018</v>
      </c>
      <c r="BI226" t="s">
        <v>4019</v>
      </c>
      <c r="BJ226" t="s">
        <v>4137</v>
      </c>
      <c r="BK226" t="s">
        <v>4138</v>
      </c>
      <c r="BL226" t="s">
        <v>4139</v>
      </c>
      <c r="BM226" t="s">
        <v>4140</v>
      </c>
      <c r="BN226" t="s">
        <v>4141</v>
      </c>
      <c r="BO226" t="s">
        <v>4142</v>
      </c>
      <c r="BR226" t="s">
        <v>4026</v>
      </c>
      <c r="BS226" t="s">
        <v>4027</v>
      </c>
      <c r="BT226" t="s">
        <v>4028</v>
      </c>
      <c r="BU226" t="s">
        <v>4029</v>
      </c>
      <c r="BV226" t="s">
        <v>4030</v>
      </c>
      <c r="BW226" t="s">
        <v>4321</v>
      </c>
      <c r="CA226" t="s">
        <v>4251</v>
      </c>
      <c r="CB226" t="s">
        <v>4252</v>
      </c>
      <c r="CC226">
        <v>1</v>
      </c>
      <c r="CN226" t="s">
        <v>4032</v>
      </c>
      <c r="CW226">
        <v>2</v>
      </c>
      <c r="CX226" t="s">
        <v>4387</v>
      </c>
    </row>
    <row r="227" spans="3:102" x14ac:dyDescent="0.3">
      <c r="C227" t="s">
        <v>3748</v>
      </c>
    </row>
    <row r="228" spans="3:102" x14ac:dyDescent="0.3">
      <c r="C228" t="s">
        <v>3749</v>
      </c>
      <c r="D228">
        <v>12</v>
      </c>
      <c r="E228">
        <v>10000</v>
      </c>
      <c r="F228" t="s">
        <v>4014</v>
      </c>
      <c r="G228" t="s">
        <v>4015</v>
      </c>
      <c r="H228" t="s">
        <v>4034</v>
      </c>
      <c r="AV228" t="s">
        <v>4204</v>
      </c>
      <c r="AW228" t="s">
        <v>4205</v>
      </c>
      <c r="AX228" t="s">
        <v>4388</v>
      </c>
      <c r="BH228" t="s">
        <v>4018</v>
      </c>
      <c r="BI228" t="s">
        <v>4019</v>
      </c>
      <c r="BJ228" t="s">
        <v>4137</v>
      </c>
      <c r="BK228" t="s">
        <v>4138</v>
      </c>
      <c r="BL228" t="s">
        <v>4139</v>
      </c>
      <c r="BM228" t="s">
        <v>4140</v>
      </c>
      <c r="BN228" t="s">
        <v>4141</v>
      </c>
      <c r="BO228" t="s">
        <v>4142</v>
      </c>
      <c r="BR228" t="s">
        <v>4026</v>
      </c>
      <c r="BS228" t="s">
        <v>4027</v>
      </c>
      <c r="BT228" t="s">
        <v>4028</v>
      </c>
      <c r="BU228" t="s">
        <v>4029</v>
      </c>
      <c r="BV228" t="s">
        <v>4030</v>
      </c>
      <c r="BW228" t="s">
        <v>4321</v>
      </c>
      <c r="CA228" t="s">
        <v>4251</v>
      </c>
      <c r="CB228" t="s">
        <v>4252</v>
      </c>
      <c r="CC228">
        <v>1</v>
      </c>
      <c r="CN228" t="s">
        <v>4032</v>
      </c>
      <c r="CW228">
        <v>2</v>
      </c>
      <c r="CX228" t="s">
        <v>4389</v>
      </c>
    </row>
    <row r="229" spans="3:102" x14ac:dyDescent="0.3">
      <c r="C229" t="s">
        <v>3750</v>
      </c>
      <c r="D229">
        <v>12</v>
      </c>
      <c r="E229">
        <v>100000</v>
      </c>
      <c r="F229" t="s">
        <v>4014</v>
      </c>
      <c r="G229" t="s">
        <v>4015</v>
      </c>
      <c r="H229" t="s">
        <v>4034</v>
      </c>
      <c r="AV229" t="s">
        <v>4204</v>
      </c>
      <c r="AW229" t="s">
        <v>4205</v>
      </c>
      <c r="AX229" t="s">
        <v>4390</v>
      </c>
      <c r="BH229" t="s">
        <v>4018</v>
      </c>
      <c r="BI229" t="s">
        <v>4019</v>
      </c>
      <c r="BJ229" t="s">
        <v>4137</v>
      </c>
      <c r="BK229" t="s">
        <v>4138</v>
      </c>
      <c r="BL229" t="s">
        <v>4139</v>
      </c>
      <c r="BM229" t="s">
        <v>4140</v>
      </c>
      <c r="BN229" t="s">
        <v>4141</v>
      </c>
      <c r="BO229" t="s">
        <v>4142</v>
      </c>
      <c r="BR229" t="s">
        <v>4026</v>
      </c>
      <c r="BS229" t="s">
        <v>4027</v>
      </c>
      <c r="BT229" t="s">
        <v>4028</v>
      </c>
      <c r="BU229" t="s">
        <v>4029</v>
      </c>
      <c r="BV229" t="s">
        <v>4030</v>
      </c>
      <c r="BW229" t="s">
        <v>4039</v>
      </c>
      <c r="CA229" t="s">
        <v>4251</v>
      </c>
      <c r="CB229" t="s">
        <v>4252</v>
      </c>
      <c r="CC229">
        <v>1</v>
      </c>
      <c r="CN229" t="s">
        <v>4032</v>
      </c>
      <c r="CW229">
        <v>2</v>
      </c>
      <c r="CX229" t="s">
        <v>4391</v>
      </c>
    </row>
    <row r="230" spans="3:102" x14ac:dyDescent="0.3">
      <c r="C230" t="s">
        <v>3751</v>
      </c>
    </row>
    <row r="231" spans="3:102" x14ac:dyDescent="0.3">
      <c r="C231" t="s">
        <v>3752</v>
      </c>
    </row>
    <row r="232" spans="3:102" x14ac:dyDescent="0.3">
      <c r="C232" t="s">
        <v>3753</v>
      </c>
    </row>
    <row r="233" spans="3:102" x14ac:dyDescent="0.3">
      <c r="C233" t="s">
        <v>3754</v>
      </c>
      <c r="D233">
        <v>12</v>
      </c>
      <c r="E233">
        <v>1000000</v>
      </c>
      <c r="F233" t="s">
        <v>4392</v>
      </c>
      <c r="G233" t="s">
        <v>4393</v>
      </c>
      <c r="H233" t="s">
        <v>4394</v>
      </c>
      <c r="AV233" t="s">
        <v>4395</v>
      </c>
      <c r="AW233" t="s">
        <v>4396</v>
      </c>
      <c r="AY233" t="s">
        <v>4397</v>
      </c>
      <c r="AZ233" t="s">
        <v>4398</v>
      </c>
      <c r="BH233" t="s">
        <v>4399</v>
      </c>
      <c r="BI233" t="s">
        <v>4019</v>
      </c>
      <c r="BJ233" t="s">
        <v>4137</v>
      </c>
      <c r="BK233" t="s">
        <v>4138</v>
      </c>
      <c r="BL233" t="s">
        <v>4139</v>
      </c>
      <c r="BM233" t="s">
        <v>4140</v>
      </c>
      <c r="BN233" t="s">
        <v>4141</v>
      </c>
      <c r="BO233" t="s">
        <v>4142</v>
      </c>
      <c r="BR233" t="s">
        <v>4026</v>
      </c>
      <c r="BS233" t="s">
        <v>4027</v>
      </c>
      <c r="BT233" t="s">
        <v>4028</v>
      </c>
      <c r="BU233" t="s">
        <v>4029</v>
      </c>
      <c r="BV233" t="s">
        <v>4030</v>
      </c>
      <c r="BW233" t="s">
        <v>4039</v>
      </c>
      <c r="BX233" t="s">
        <v>4049</v>
      </c>
      <c r="BY233" t="s">
        <v>4028</v>
      </c>
      <c r="CA233" t="s">
        <v>4251</v>
      </c>
      <c r="CB233" t="s">
        <v>4252</v>
      </c>
      <c r="CC233">
        <v>1</v>
      </c>
      <c r="CM233" t="s">
        <v>4400</v>
      </c>
      <c r="CN233" t="s">
        <v>4401</v>
      </c>
      <c r="CO233" t="s">
        <v>4402</v>
      </c>
      <c r="CW233">
        <v>2</v>
      </c>
      <c r="CX233" t="s">
        <v>4403</v>
      </c>
    </row>
    <row r="234" spans="3:102" x14ac:dyDescent="0.3">
      <c r="C234" t="s">
        <v>3755</v>
      </c>
      <c r="D234">
        <v>12</v>
      </c>
      <c r="E234">
        <v>1000000</v>
      </c>
      <c r="F234" t="s">
        <v>4392</v>
      </c>
      <c r="G234" t="s">
        <v>4393</v>
      </c>
      <c r="H234" t="s">
        <v>4394</v>
      </c>
      <c r="AV234" t="s">
        <v>4395</v>
      </c>
      <c r="AW234" t="s">
        <v>4396</v>
      </c>
      <c r="AY234" t="s">
        <v>4397</v>
      </c>
      <c r="AZ234" t="s">
        <v>4398</v>
      </c>
      <c r="BH234" t="s">
        <v>4399</v>
      </c>
      <c r="BI234" t="s">
        <v>4019</v>
      </c>
      <c r="BJ234" t="s">
        <v>4137</v>
      </c>
      <c r="BK234" t="s">
        <v>4138</v>
      </c>
      <c r="BL234" t="s">
        <v>4139</v>
      </c>
      <c r="BM234" t="s">
        <v>4140</v>
      </c>
      <c r="BN234" t="s">
        <v>4141</v>
      </c>
      <c r="BO234" t="s">
        <v>4142</v>
      </c>
      <c r="BR234" t="s">
        <v>4026</v>
      </c>
      <c r="BS234" t="s">
        <v>4027</v>
      </c>
      <c r="BT234" t="s">
        <v>4028</v>
      </c>
      <c r="BU234" t="s">
        <v>4029</v>
      </c>
      <c r="BV234" t="s">
        <v>4030</v>
      </c>
      <c r="BW234" t="s">
        <v>4039</v>
      </c>
      <c r="BX234" t="s">
        <v>4049</v>
      </c>
      <c r="BY234" t="s">
        <v>4028</v>
      </c>
      <c r="CA234" t="s">
        <v>4251</v>
      </c>
      <c r="CB234" t="s">
        <v>4252</v>
      </c>
      <c r="CC234">
        <v>1</v>
      </c>
      <c r="CM234" t="s">
        <v>4404</v>
      </c>
      <c r="CN234" t="s">
        <v>4401</v>
      </c>
      <c r="CO234" t="s">
        <v>4402</v>
      </c>
      <c r="CW234">
        <v>2</v>
      </c>
      <c r="CX234" t="s">
        <v>4405</v>
      </c>
    </row>
    <row r="235" spans="3:102" x14ac:dyDescent="0.3">
      <c r="C235" t="s">
        <v>3756</v>
      </c>
    </row>
    <row r="236" spans="3:102" x14ac:dyDescent="0.3">
      <c r="C236" t="s">
        <v>3757</v>
      </c>
    </row>
    <row r="237" spans="3:102" x14ac:dyDescent="0.3">
      <c r="C237" t="s">
        <v>3758</v>
      </c>
      <c r="D237">
        <v>1</v>
      </c>
      <c r="E237">
        <v>1000000</v>
      </c>
      <c r="F237">
        <v>1</v>
      </c>
      <c r="G237">
        <v>1</v>
      </c>
      <c r="H237" t="s">
        <v>4406</v>
      </c>
      <c r="AX237" t="s">
        <v>4407</v>
      </c>
      <c r="AY237" t="s">
        <v>4397</v>
      </c>
      <c r="AZ237" t="s">
        <v>4398</v>
      </c>
      <c r="BH237" t="s">
        <v>4018</v>
      </c>
      <c r="BI237" t="s">
        <v>4019</v>
      </c>
      <c r="BJ237" t="s">
        <v>4137</v>
      </c>
      <c r="BK237" t="s">
        <v>4138</v>
      </c>
      <c r="BL237" t="s">
        <v>4139</v>
      </c>
      <c r="BM237" t="s">
        <v>4140</v>
      </c>
      <c r="BN237" t="s">
        <v>4141</v>
      </c>
      <c r="BO237" t="s">
        <v>4142</v>
      </c>
      <c r="BP237" t="s">
        <v>4373</v>
      </c>
      <c r="BQ237" t="s">
        <v>4373</v>
      </c>
      <c r="BR237" t="s">
        <v>4373</v>
      </c>
      <c r="BS237" t="s">
        <v>4373</v>
      </c>
      <c r="BT237" t="s">
        <v>4373</v>
      </c>
      <c r="BU237" t="s">
        <v>4373</v>
      </c>
      <c r="BV237" t="s">
        <v>4373</v>
      </c>
      <c r="BW237" t="s">
        <v>4373</v>
      </c>
      <c r="CA237" t="s">
        <v>4251</v>
      </c>
      <c r="CB237" t="s">
        <v>4252</v>
      </c>
      <c r="CC237">
        <v>1</v>
      </c>
      <c r="CN237" t="s">
        <v>4408</v>
      </c>
      <c r="CW237">
        <v>2</v>
      </c>
      <c r="CX237" t="s">
        <v>4409</v>
      </c>
    </row>
    <row r="238" spans="3:102" x14ac:dyDescent="0.3">
      <c r="C238" t="s">
        <v>3759</v>
      </c>
      <c r="D238">
        <v>1</v>
      </c>
      <c r="E238">
        <v>1000000</v>
      </c>
      <c r="F238">
        <v>1</v>
      </c>
      <c r="G238">
        <v>1</v>
      </c>
      <c r="H238" t="s">
        <v>4406</v>
      </c>
      <c r="AX238" t="s">
        <v>4410</v>
      </c>
      <c r="AY238" t="s">
        <v>4397</v>
      </c>
      <c r="AZ238" t="s">
        <v>4398</v>
      </c>
      <c r="BH238" t="s">
        <v>4018</v>
      </c>
      <c r="BI238" t="s">
        <v>4019</v>
      </c>
      <c r="BJ238" t="s">
        <v>4137</v>
      </c>
      <c r="BK238" t="s">
        <v>4138</v>
      </c>
      <c r="BL238" t="s">
        <v>4139</v>
      </c>
      <c r="BM238" t="s">
        <v>4140</v>
      </c>
      <c r="BN238" t="s">
        <v>4141</v>
      </c>
      <c r="BO238" t="s">
        <v>4142</v>
      </c>
      <c r="BP238" t="s">
        <v>4373</v>
      </c>
      <c r="BQ238" t="s">
        <v>4373</v>
      </c>
      <c r="BR238" t="s">
        <v>4373</v>
      </c>
      <c r="BS238" t="s">
        <v>4373</v>
      </c>
      <c r="BT238" t="s">
        <v>4373</v>
      </c>
      <c r="BU238" t="s">
        <v>4373</v>
      </c>
      <c r="BV238" t="s">
        <v>4373</v>
      </c>
      <c r="BW238" t="s">
        <v>4373</v>
      </c>
      <c r="CA238" t="s">
        <v>4251</v>
      </c>
      <c r="CB238" t="s">
        <v>4252</v>
      </c>
      <c r="CC238">
        <v>1</v>
      </c>
      <c r="CN238" t="s">
        <v>4408</v>
      </c>
      <c r="CW238">
        <v>2</v>
      </c>
      <c r="CX238" t="s">
        <v>4411</v>
      </c>
    </row>
    <row r="239" spans="3:102" x14ac:dyDescent="0.3">
      <c r="C239" t="s">
        <v>3760</v>
      </c>
    </row>
    <row r="240" spans="3:102" x14ac:dyDescent="0.3">
      <c r="C240" t="s">
        <v>3761</v>
      </c>
    </row>
    <row r="241" spans="3:102" x14ac:dyDescent="0.3">
      <c r="C241" t="s">
        <v>3762</v>
      </c>
      <c r="D241">
        <v>12</v>
      </c>
      <c r="E241">
        <v>1000000</v>
      </c>
      <c r="F241" t="s">
        <v>4014</v>
      </c>
      <c r="G241" t="s">
        <v>4015</v>
      </c>
      <c r="H241" t="s">
        <v>4080</v>
      </c>
      <c r="AV241" t="s">
        <v>4204</v>
      </c>
      <c r="AW241" t="s">
        <v>4205</v>
      </c>
      <c r="AX241" t="s">
        <v>4412</v>
      </c>
      <c r="BH241" t="s">
        <v>4018</v>
      </c>
      <c r="BI241" t="s">
        <v>4019</v>
      </c>
      <c r="BJ241" t="s">
        <v>4137</v>
      </c>
      <c r="BK241" t="s">
        <v>4138</v>
      </c>
      <c r="BL241" t="s">
        <v>4139</v>
      </c>
      <c r="BM241" t="s">
        <v>4140</v>
      </c>
      <c r="BN241" t="s">
        <v>4141</v>
      </c>
      <c r="BO241" t="s">
        <v>4142</v>
      </c>
      <c r="BR241" t="s">
        <v>4026</v>
      </c>
      <c r="BS241" t="s">
        <v>4027</v>
      </c>
      <c r="BT241" t="s">
        <v>4028</v>
      </c>
      <c r="BU241" t="s">
        <v>4029</v>
      </c>
      <c r="BV241" t="s">
        <v>4030</v>
      </c>
      <c r="BW241" t="s">
        <v>4039</v>
      </c>
      <c r="CA241" t="s">
        <v>4251</v>
      </c>
      <c r="CB241" t="s">
        <v>4252</v>
      </c>
      <c r="CC241">
        <v>1</v>
      </c>
      <c r="CN241" t="s">
        <v>4032</v>
      </c>
      <c r="CW241">
        <v>2</v>
      </c>
      <c r="CX241" t="s">
        <v>4413</v>
      </c>
    </row>
    <row r="242" spans="3:102" x14ac:dyDescent="0.3">
      <c r="C242" t="s">
        <v>3763</v>
      </c>
    </row>
    <row r="243" spans="3:102" x14ac:dyDescent="0.3">
      <c r="C243" t="s">
        <v>3764</v>
      </c>
      <c r="D243">
        <v>12</v>
      </c>
      <c r="E243">
        <v>1000000</v>
      </c>
      <c r="F243" t="s">
        <v>4014</v>
      </c>
      <c r="G243" t="s">
        <v>4015</v>
      </c>
      <c r="H243" t="s">
        <v>4080</v>
      </c>
      <c r="AV243" t="s">
        <v>4204</v>
      </c>
      <c r="AW243" t="s">
        <v>4205</v>
      </c>
      <c r="AX243" t="s">
        <v>4414</v>
      </c>
      <c r="BH243" t="s">
        <v>4018</v>
      </c>
      <c r="BI243" t="s">
        <v>4019</v>
      </c>
      <c r="BJ243" t="s">
        <v>4137</v>
      </c>
      <c r="BK243" t="s">
        <v>4138</v>
      </c>
      <c r="BL243" t="s">
        <v>4139</v>
      </c>
      <c r="BM243" t="s">
        <v>4140</v>
      </c>
      <c r="BN243" t="s">
        <v>4141</v>
      </c>
      <c r="BO243" t="s">
        <v>4142</v>
      </c>
      <c r="BR243" t="s">
        <v>4026</v>
      </c>
      <c r="BS243" t="s">
        <v>4027</v>
      </c>
      <c r="BT243" t="s">
        <v>4028</v>
      </c>
      <c r="BU243" t="s">
        <v>4029</v>
      </c>
      <c r="BV243" t="s">
        <v>4030</v>
      </c>
      <c r="BW243" t="s">
        <v>4039</v>
      </c>
      <c r="CA243" t="s">
        <v>4251</v>
      </c>
      <c r="CB243" t="s">
        <v>4252</v>
      </c>
      <c r="CC243">
        <v>1</v>
      </c>
      <c r="CN243" t="s">
        <v>4032</v>
      </c>
      <c r="CW243">
        <v>2</v>
      </c>
      <c r="CX243" t="s">
        <v>4415</v>
      </c>
    </row>
    <row r="244" spans="3:102" x14ac:dyDescent="0.3">
      <c r="C244" t="s">
        <v>3765</v>
      </c>
      <c r="D244">
        <v>12</v>
      </c>
      <c r="E244">
        <v>1000000</v>
      </c>
      <c r="F244" t="s">
        <v>4014</v>
      </c>
      <c r="G244" t="s">
        <v>4015</v>
      </c>
      <c r="H244" t="s">
        <v>4080</v>
      </c>
      <c r="AV244" t="s">
        <v>4204</v>
      </c>
      <c r="AW244" t="s">
        <v>4205</v>
      </c>
      <c r="AX244" t="s">
        <v>4416</v>
      </c>
      <c r="BH244" t="s">
        <v>4018</v>
      </c>
      <c r="BI244" t="s">
        <v>4019</v>
      </c>
      <c r="BJ244" t="s">
        <v>4137</v>
      </c>
      <c r="BK244" t="s">
        <v>4138</v>
      </c>
      <c r="BL244" t="s">
        <v>4139</v>
      </c>
      <c r="BM244" t="s">
        <v>4140</v>
      </c>
      <c r="BN244" t="s">
        <v>4141</v>
      </c>
      <c r="BO244" t="s">
        <v>4142</v>
      </c>
      <c r="BR244" t="s">
        <v>4026</v>
      </c>
      <c r="BS244" t="s">
        <v>4027</v>
      </c>
      <c r="BT244" t="s">
        <v>4028</v>
      </c>
      <c r="BU244" t="s">
        <v>4029</v>
      </c>
      <c r="BV244" t="s">
        <v>4030</v>
      </c>
      <c r="BW244" t="s">
        <v>4039</v>
      </c>
      <c r="CA244" t="s">
        <v>4251</v>
      </c>
      <c r="CB244" t="s">
        <v>4252</v>
      </c>
      <c r="CC244">
        <v>1</v>
      </c>
      <c r="CN244" t="s">
        <v>4032</v>
      </c>
      <c r="CW244">
        <v>2</v>
      </c>
      <c r="CX244" t="s">
        <v>4417</v>
      </c>
    </row>
    <row r="245" spans="3:102" x14ac:dyDescent="0.3">
      <c r="C245" t="s">
        <v>3766</v>
      </c>
      <c r="D245">
        <v>12</v>
      </c>
      <c r="E245">
        <v>1000000</v>
      </c>
      <c r="F245" t="s">
        <v>4014</v>
      </c>
      <c r="G245" t="s">
        <v>4015</v>
      </c>
      <c r="H245" t="s">
        <v>4080</v>
      </c>
      <c r="AV245" t="s">
        <v>4204</v>
      </c>
      <c r="AW245" t="s">
        <v>4205</v>
      </c>
      <c r="AX245" t="s">
        <v>4418</v>
      </c>
      <c r="BH245" t="s">
        <v>4018</v>
      </c>
      <c r="BI245" t="s">
        <v>4019</v>
      </c>
      <c r="BJ245" t="s">
        <v>4137</v>
      </c>
      <c r="BK245" t="s">
        <v>4138</v>
      </c>
      <c r="BL245" t="s">
        <v>4139</v>
      </c>
      <c r="BM245" t="s">
        <v>4140</v>
      </c>
      <c r="BN245" t="s">
        <v>4141</v>
      </c>
      <c r="BO245" t="s">
        <v>4142</v>
      </c>
      <c r="BR245" t="s">
        <v>4026</v>
      </c>
      <c r="BS245" t="s">
        <v>4027</v>
      </c>
      <c r="BT245" t="s">
        <v>4028</v>
      </c>
      <c r="BU245" t="s">
        <v>4029</v>
      </c>
      <c r="BV245" t="s">
        <v>4030</v>
      </c>
      <c r="BW245" t="s">
        <v>4039</v>
      </c>
      <c r="CA245" t="s">
        <v>4251</v>
      </c>
      <c r="CB245" t="s">
        <v>4252</v>
      </c>
      <c r="CC245">
        <v>1</v>
      </c>
      <c r="CN245" t="s">
        <v>4032</v>
      </c>
      <c r="CW245">
        <v>2</v>
      </c>
      <c r="CX245" t="s">
        <v>4419</v>
      </c>
    </row>
    <row r="246" spans="3:102" x14ac:dyDescent="0.3">
      <c r="C246" t="s">
        <v>3767</v>
      </c>
      <c r="D246">
        <v>12</v>
      </c>
      <c r="E246">
        <v>1000000</v>
      </c>
      <c r="F246" t="s">
        <v>4014</v>
      </c>
      <c r="G246" t="s">
        <v>4015</v>
      </c>
      <c r="H246" t="s">
        <v>4080</v>
      </c>
      <c r="AV246" t="s">
        <v>4204</v>
      </c>
      <c r="AW246" t="s">
        <v>4205</v>
      </c>
      <c r="AX246" t="s">
        <v>4420</v>
      </c>
      <c r="BH246" t="s">
        <v>4018</v>
      </c>
      <c r="BI246" t="s">
        <v>4019</v>
      </c>
      <c r="BJ246" t="s">
        <v>4137</v>
      </c>
      <c r="BK246" t="s">
        <v>4138</v>
      </c>
      <c r="BL246" t="s">
        <v>4139</v>
      </c>
      <c r="BM246" t="s">
        <v>4140</v>
      </c>
      <c r="BN246" t="s">
        <v>4141</v>
      </c>
      <c r="BO246" t="s">
        <v>4142</v>
      </c>
      <c r="BR246" t="s">
        <v>4026</v>
      </c>
      <c r="BS246" t="s">
        <v>4027</v>
      </c>
      <c r="BT246" t="s">
        <v>4028</v>
      </c>
      <c r="BU246" t="s">
        <v>4029</v>
      </c>
      <c r="BV246" t="s">
        <v>4030</v>
      </c>
      <c r="BW246" t="s">
        <v>4039</v>
      </c>
      <c r="CA246" t="s">
        <v>4251</v>
      </c>
      <c r="CB246" t="s">
        <v>4252</v>
      </c>
      <c r="CC246">
        <v>1</v>
      </c>
      <c r="CN246" t="s">
        <v>4032</v>
      </c>
      <c r="CW246">
        <v>2</v>
      </c>
      <c r="CX246" t="s">
        <v>4421</v>
      </c>
    </row>
    <row r="247" spans="3:102" x14ac:dyDescent="0.3">
      <c r="C247" t="s">
        <v>3768</v>
      </c>
    </row>
    <row r="248" spans="3:102" x14ac:dyDescent="0.3">
      <c r="C248" t="s">
        <v>3769</v>
      </c>
    </row>
    <row r="249" spans="3:102" x14ac:dyDescent="0.3">
      <c r="C249" t="s">
        <v>3770</v>
      </c>
    </row>
    <row r="250" spans="3:102" x14ac:dyDescent="0.3">
      <c r="C250" t="s">
        <v>3771</v>
      </c>
    </row>
    <row r="251" spans="3:102" x14ac:dyDescent="0.3">
      <c r="C251" t="s">
        <v>3772</v>
      </c>
      <c r="D251">
        <v>12</v>
      </c>
      <c r="E251">
        <v>100000</v>
      </c>
      <c r="F251" t="s">
        <v>4041</v>
      </c>
      <c r="G251" t="s">
        <v>4042</v>
      </c>
      <c r="H251" t="s">
        <v>4080</v>
      </c>
      <c r="AV251" t="s">
        <v>4220</v>
      </c>
      <c r="AW251" t="s">
        <v>4221</v>
      </c>
      <c r="AX251" t="s">
        <v>4422</v>
      </c>
      <c r="BH251" t="s">
        <v>4018</v>
      </c>
      <c r="BI251" t="s">
        <v>4019</v>
      </c>
      <c r="BJ251" t="s">
        <v>4137</v>
      </c>
      <c r="BK251" t="s">
        <v>4138</v>
      </c>
      <c r="BL251" t="s">
        <v>4139</v>
      </c>
      <c r="BM251" t="s">
        <v>4140</v>
      </c>
      <c r="BN251" t="s">
        <v>4141</v>
      </c>
      <c r="BO251" t="s">
        <v>4142</v>
      </c>
      <c r="BR251" t="s">
        <v>4026</v>
      </c>
      <c r="BS251" t="s">
        <v>4027</v>
      </c>
      <c r="BT251" t="s">
        <v>4028</v>
      </c>
      <c r="BU251" t="s">
        <v>4029</v>
      </c>
      <c r="BV251" t="s">
        <v>4030</v>
      </c>
      <c r="BW251" t="s">
        <v>4030</v>
      </c>
      <c r="CA251" t="s">
        <v>4251</v>
      </c>
      <c r="CB251" t="s">
        <v>4252</v>
      </c>
      <c r="CC251">
        <v>1</v>
      </c>
      <c r="CN251" t="s">
        <v>4032</v>
      </c>
      <c r="CW251">
        <v>2</v>
      </c>
      <c r="CX251" t="s">
        <v>4423</v>
      </c>
    </row>
    <row r="252" spans="3:102" x14ac:dyDescent="0.3">
      <c r="C252" t="s">
        <v>3773</v>
      </c>
      <c r="D252">
        <v>12</v>
      </c>
      <c r="E252">
        <v>100000</v>
      </c>
      <c r="F252" t="s">
        <v>4014</v>
      </c>
      <c r="G252" t="s">
        <v>4015</v>
      </c>
      <c r="H252" t="s">
        <v>4080</v>
      </c>
      <c r="AV252" t="s">
        <v>4204</v>
      </c>
      <c r="AW252" t="s">
        <v>4205</v>
      </c>
      <c r="AX252" t="s">
        <v>4424</v>
      </c>
      <c r="BH252" t="s">
        <v>4018</v>
      </c>
      <c r="BI252" t="s">
        <v>4019</v>
      </c>
      <c r="BJ252" t="s">
        <v>4137</v>
      </c>
      <c r="BK252" t="s">
        <v>4138</v>
      </c>
      <c r="BL252" t="s">
        <v>4139</v>
      </c>
      <c r="BM252" t="s">
        <v>4140</v>
      </c>
      <c r="BN252" t="s">
        <v>4141</v>
      </c>
      <c r="BO252" t="s">
        <v>4142</v>
      </c>
      <c r="BR252" t="s">
        <v>4026</v>
      </c>
      <c r="BS252" t="s">
        <v>4027</v>
      </c>
      <c r="BT252" t="s">
        <v>4028</v>
      </c>
      <c r="BU252" t="s">
        <v>4029</v>
      </c>
      <c r="BV252" t="s">
        <v>4030</v>
      </c>
      <c r="BW252" t="s">
        <v>4030</v>
      </c>
      <c r="CA252" t="s">
        <v>4251</v>
      </c>
      <c r="CB252" t="s">
        <v>4252</v>
      </c>
      <c r="CC252">
        <v>1</v>
      </c>
      <c r="CN252" t="s">
        <v>4032</v>
      </c>
      <c r="CW252">
        <v>2</v>
      </c>
      <c r="CX252" t="s">
        <v>4425</v>
      </c>
    </row>
    <row r="253" spans="3:102" x14ac:dyDescent="0.3">
      <c r="C253" t="s">
        <v>3774</v>
      </c>
    </row>
    <row r="254" spans="3:102" x14ac:dyDescent="0.3">
      <c r="C254" t="s">
        <v>3775</v>
      </c>
    </row>
    <row r="255" spans="3:102" x14ac:dyDescent="0.3">
      <c r="C255" t="s">
        <v>3776</v>
      </c>
      <c r="D255">
        <v>12</v>
      </c>
      <c r="E255">
        <v>100000</v>
      </c>
      <c r="F255" t="s">
        <v>4041</v>
      </c>
      <c r="G255" t="s">
        <v>4042</v>
      </c>
      <c r="H255" t="s">
        <v>4080</v>
      </c>
      <c r="AV255" t="s">
        <v>4220</v>
      </c>
      <c r="AW255" t="s">
        <v>4221</v>
      </c>
      <c r="AX255" t="s">
        <v>4426</v>
      </c>
      <c r="BH255" t="s">
        <v>4018</v>
      </c>
      <c r="BI255" t="s">
        <v>4019</v>
      </c>
      <c r="BJ255" t="s">
        <v>4137</v>
      </c>
      <c r="BK255" t="s">
        <v>4138</v>
      </c>
      <c r="BL255" t="s">
        <v>4139</v>
      </c>
      <c r="BM255" t="s">
        <v>4140</v>
      </c>
      <c r="BN255" t="s">
        <v>4141</v>
      </c>
      <c r="BO255" t="s">
        <v>4142</v>
      </c>
      <c r="BR255" t="s">
        <v>4026</v>
      </c>
      <c r="BS255" t="s">
        <v>4027</v>
      </c>
      <c r="BT255" t="s">
        <v>4028</v>
      </c>
      <c r="BU255" t="s">
        <v>4029</v>
      </c>
      <c r="BV255" t="s">
        <v>4030</v>
      </c>
      <c r="BW255" t="s">
        <v>4030</v>
      </c>
      <c r="CA255" t="s">
        <v>4251</v>
      </c>
      <c r="CB255" t="s">
        <v>4252</v>
      </c>
      <c r="CC255">
        <v>1</v>
      </c>
      <c r="CN255" t="s">
        <v>4032</v>
      </c>
      <c r="CW255">
        <v>2</v>
      </c>
      <c r="CX255" t="s">
        <v>4427</v>
      </c>
    </row>
    <row r="256" spans="3:102" x14ac:dyDescent="0.3">
      <c r="C256" t="s">
        <v>3777</v>
      </c>
    </row>
    <row r="257" spans="3:102" x14ac:dyDescent="0.3">
      <c r="C257" t="s">
        <v>3778</v>
      </c>
      <c r="D257">
        <v>12</v>
      </c>
      <c r="E257">
        <v>100000</v>
      </c>
      <c r="F257" t="s">
        <v>4041</v>
      </c>
      <c r="G257" t="s">
        <v>4042</v>
      </c>
      <c r="H257" t="s">
        <v>4080</v>
      </c>
      <c r="AV257" t="s">
        <v>4220</v>
      </c>
      <c r="AW257" t="s">
        <v>4221</v>
      </c>
      <c r="AX257" t="s">
        <v>4428</v>
      </c>
      <c r="BH257" t="s">
        <v>4018</v>
      </c>
      <c r="BI257" t="s">
        <v>4019</v>
      </c>
      <c r="BJ257" t="s">
        <v>4137</v>
      </c>
      <c r="BK257" t="s">
        <v>4138</v>
      </c>
      <c r="BL257" t="s">
        <v>4139</v>
      </c>
      <c r="BM257" t="s">
        <v>4140</v>
      </c>
      <c r="BN257" t="s">
        <v>4141</v>
      </c>
      <c r="BO257" t="s">
        <v>4142</v>
      </c>
      <c r="BR257" t="s">
        <v>4026</v>
      </c>
      <c r="BS257" t="s">
        <v>4027</v>
      </c>
      <c r="BT257" t="s">
        <v>4028</v>
      </c>
      <c r="BU257" t="s">
        <v>4029</v>
      </c>
      <c r="BV257" t="s">
        <v>4030</v>
      </c>
      <c r="BW257" t="s">
        <v>4030</v>
      </c>
      <c r="CA257" t="s">
        <v>4251</v>
      </c>
      <c r="CB257" t="s">
        <v>4252</v>
      </c>
      <c r="CC257">
        <v>1</v>
      </c>
      <c r="CN257" t="s">
        <v>4032</v>
      </c>
      <c r="CW257">
        <v>2</v>
      </c>
      <c r="CX257" t="s">
        <v>4429</v>
      </c>
    </row>
    <row r="258" spans="3:102" x14ac:dyDescent="0.3">
      <c r="C258" t="s">
        <v>3779</v>
      </c>
      <c r="D258">
        <v>12</v>
      </c>
      <c r="E258">
        <v>100000</v>
      </c>
      <c r="F258" t="s">
        <v>4014</v>
      </c>
      <c r="G258" t="s">
        <v>4015</v>
      </c>
      <c r="H258" t="s">
        <v>4080</v>
      </c>
      <c r="AV258" t="s">
        <v>4204</v>
      </c>
      <c r="AW258" t="s">
        <v>4205</v>
      </c>
      <c r="AX258" t="s">
        <v>4430</v>
      </c>
      <c r="BH258" t="s">
        <v>4018</v>
      </c>
      <c r="BI258" t="s">
        <v>4019</v>
      </c>
      <c r="BJ258" t="s">
        <v>4137</v>
      </c>
      <c r="BK258" t="s">
        <v>4138</v>
      </c>
      <c r="BL258" t="s">
        <v>4139</v>
      </c>
      <c r="BM258" t="s">
        <v>4140</v>
      </c>
      <c r="BN258" t="s">
        <v>4141</v>
      </c>
      <c r="BO258" t="s">
        <v>4142</v>
      </c>
      <c r="BR258" t="s">
        <v>4026</v>
      </c>
      <c r="BS258" t="s">
        <v>4027</v>
      </c>
      <c r="BT258" t="s">
        <v>4028</v>
      </c>
      <c r="BU258" t="s">
        <v>4029</v>
      </c>
      <c r="BV258" t="s">
        <v>4030</v>
      </c>
      <c r="BW258" t="s">
        <v>4030</v>
      </c>
      <c r="CA258" t="s">
        <v>4251</v>
      </c>
      <c r="CB258" t="s">
        <v>4252</v>
      </c>
      <c r="CC258">
        <v>1</v>
      </c>
      <c r="CN258" t="s">
        <v>4032</v>
      </c>
      <c r="CW258">
        <v>2</v>
      </c>
      <c r="CX258" t="s">
        <v>4431</v>
      </c>
    </row>
    <row r="259" spans="3:102" x14ac:dyDescent="0.3">
      <c r="C259" t="s">
        <v>3780</v>
      </c>
    </row>
    <row r="260" spans="3:102" x14ac:dyDescent="0.3">
      <c r="C260" t="s">
        <v>3781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DE83C-975E-4252-A865-7D126DD79574}">
  <sheetPr codeName="Sheet3"/>
  <dimension ref="A1:X259"/>
  <sheetViews>
    <sheetView zoomScale="70" zoomScaleNormal="70" workbookViewId="0"/>
  </sheetViews>
  <sheetFormatPr defaultRowHeight="16.5" x14ac:dyDescent="0.3"/>
  <cols>
    <col min="1" max="1" width="31.125" bestFit="1" customWidth="1"/>
    <col min="2" max="2" width="14" bestFit="1" customWidth="1"/>
    <col min="3" max="3" width="14.75" style="19" customWidth="1"/>
    <col min="4" max="4" width="14.25" bestFit="1" customWidth="1"/>
    <col min="5" max="5" width="10.625" customWidth="1"/>
    <col min="6" max="6" width="21.5" style="9" customWidth="1"/>
    <col min="7" max="7" width="10.625" style="9" customWidth="1"/>
    <col min="8" max="8" width="15.625" style="9" customWidth="1"/>
    <col min="9" max="9" width="15.25" style="9" customWidth="1"/>
    <col min="10" max="13" width="5.25" bestFit="1" customWidth="1"/>
    <col min="14" max="14" width="8.625" customWidth="1"/>
    <col min="15" max="15" width="14.25" bestFit="1" customWidth="1"/>
    <col min="16" max="18" width="5.875" bestFit="1" customWidth="1"/>
    <col min="19" max="19" width="14.875" bestFit="1" customWidth="1"/>
    <col min="20" max="20" width="9.75" customWidth="1"/>
    <col min="21" max="21" width="9.5" bestFit="1" customWidth="1"/>
    <col min="22" max="22" width="14.5" bestFit="1" customWidth="1"/>
    <col min="23" max="23" width="8.25" customWidth="1"/>
    <col min="24" max="24" width="11" customWidth="1"/>
  </cols>
  <sheetData>
    <row r="1" spans="1:24" ht="49.5" x14ac:dyDescent="0.3">
      <c r="A1" s="3" t="s">
        <v>102</v>
      </c>
      <c r="B1" s="2" t="s">
        <v>103</v>
      </c>
      <c r="C1" s="3" t="s">
        <v>104</v>
      </c>
      <c r="D1" s="3" t="s">
        <v>105</v>
      </c>
      <c r="E1" s="3" t="s">
        <v>106</v>
      </c>
      <c r="F1" s="3" t="s">
        <v>107</v>
      </c>
      <c r="G1" s="3" t="s">
        <v>108</v>
      </c>
      <c r="H1" s="3" t="s">
        <v>109</v>
      </c>
      <c r="I1" s="3" t="s">
        <v>110</v>
      </c>
      <c r="J1" s="3" t="s">
        <v>111</v>
      </c>
      <c r="K1" s="3" t="s">
        <v>112</v>
      </c>
      <c r="L1" s="3" t="s">
        <v>113</v>
      </c>
      <c r="M1" s="3" t="s">
        <v>114</v>
      </c>
      <c r="N1" s="3" t="s">
        <v>115</v>
      </c>
      <c r="O1" s="3" t="s">
        <v>116</v>
      </c>
      <c r="P1" s="3" t="s">
        <v>117</v>
      </c>
      <c r="Q1" s="3" t="s">
        <v>118</v>
      </c>
      <c r="R1" s="3" t="s">
        <v>119</v>
      </c>
      <c r="S1" s="7" t="s">
        <v>120</v>
      </c>
      <c r="T1" s="3" t="s">
        <v>121</v>
      </c>
      <c r="U1" s="3" t="s">
        <v>122</v>
      </c>
      <c r="V1" s="3" t="s">
        <v>123</v>
      </c>
      <c r="W1" s="3" t="s">
        <v>124</v>
      </c>
      <c r="X1" s="3" t="s">
        <v>125</v>
      </c>
    </row>
    <row r="2" spans="1:24" x14ac:dyDescent="0.3">
      <c r="B2" t="s">
        <v>4458</v>
      </c>
      <c r="C2" s="16" t="s">
        <v>4442</v>
      </c>
      <c r="F2" t="s">
        <v>4437</v>
      </c>
      <c r="G2" s="9">
        <v>40</v>
      </c>
      <c r="H2" s="9" t="str">
        <f>I2</f>
        <v>10,20,30</v>
      </c>
      <c r="I2" s="9" t="s">
        <v>4433</v>
      </c>
      <c r="O2" s="9"/>
      <c r="S2" t="s">
        <v>4457</v>
      </c>
      <c r="T2" s="10" t="s">
        <v>4434</v>
      </c>
      <c r="U2" s="10" t="s">
        <v>4435</v>
      </c>
      <c r="V2" s="10" t="s">
        <v>4436</v>
      </c>
    </row>
    <row r="3" spans="1:24" x14ac:dyDescent="0.3">
      <c r="B3" t="s">
        <v>4458</v>
      </c>
      <c r="C3" s="16" t="s">
        <v>4438</v>
      </c>
      <c r="F3" t="s">
        <v>4437</v>
      </c>
      <c r="G3" s="9">
        <v>40</v>
      </c>
      <c r="H3" s="9" t="str">
        <f t="shared" ref="H3:H19" si="0">I3</f>
        <v>10,20,30</v>
      </c>
      <c r="I3" s="9" t="s">
        <v>4433</v>
      </c>
      <c r="O3" s="9"/>
      <c r="S3" t="s">
        <v>4457</v>
      </c>
      <c r="T3" s="10" t="s">
        <v>4434</v>
      </c>
      <c r="U3" s="10" t="s">
        <v>4435</v>
      </c>
      <c r="V3" s="10" t="s">
        <v>4436</v>
      </c>
    </row>
    <row r="4" spans="1:24" x14ac:dyDescent="0.3">
      <c r="B4" t="s">
        <v>4458</v>
      </c>
      <c r="C4" s="16" t="s">
        <v>4443</v>
      </c>
      <c r="F4" t="s">
        <v>4437</v>
      </c>
      <c r="G4" s="9">
        <v>40</v>
      </c>
      <c r="H4" s="9" t="str">
        <f t="shared" si="0"/>
        <v>10,20,30</v>
      </c>
      <c r="I4" s="9" t="s">
        <v>4433</v>
      </c>
      <c r="O4" s="9"/>
      <c r="S4" t="s">
        <v>4457</v>
      </c>
      <c r="T4" s="10" t="s">
        <v>4434</v>
      </c>
      <c r="U4" s="10" t="s">
        <v>4435</v>
      </c>
      <c r="V4" s="10" t="s">
        <v>4436</v>
      </c>
    </row>
    <row r="5" spans="1:24" x14ac:dyDescent="0.3">
      <c r="B5" t="s">
        <v>4458</v>
      </c>
      <c r="C5" s="16" t="s">
        <v>4440</v>
      </c>
      <c r="F5" t="s">
        <v>4437</v>
      </c>
      <c r="G5" s="9">
        <v>40</v>
      </c>
      <c r="H5" s="9" t="str">
        <f t="shared" si="0"/>
        <v>10,20,30</v>
      </c>
      <c r="I5" s="9" t="s">
        <v>4433</v>
      </c>
      <c r="O5" s="9"/>
      <c r="S5" t="s">
        <v>4457</v>
      </c>
      <c r="T5" s="10" t="s">
        <v>4434</v>
      </c>
      <c r="U5" s="10" t="s">
        <v>4435</v>
      </c>
      <c r="V5" s="10" t="s">
        <v>4436</v>
      </c>
    </row>
    <row r="6" spans="1:24" x14ac:dyDescent="0.3">
      <c r="B6" t="s">
        <v>4458</v>
      </c>
      <c r="C6" s="16" t="s">
        <v>4444</v>
      </c>
      <c r="F6" t="s">
        <v>4437</v>
      </c>
      <c r="G6" s="9">
        <v>40</v>
      </c>
      <c r="H6" s="9" t="str">
        <f t="shared" si="0"/>
        <v>10,20,30</v>
      </c>
      <c r="I6" s="9" t="s">
        <v>4433</v>
      </c>
      <c r="O6" s="9"/>
      <c r="S6" t="s">
        <v>4457</v>
      </c>
      <c r="T6" s="10" t="s">
        <v>4434</v>
      </c>
      <c r="U6" s="10" t="s">
        <v>4435</v>
      </c>
      <c r="V6" s="10" t="s">
        <v>4436</v>
      </c>
    </row>
    <row r="7" spans="1:24" x14ac:dyDescent="0.3">
      <c r="B7" t="s">
        <v>4458</v>
      </c>
      <c r="C7" s="16" t="s">
        <v>4441</v>
      </c>
      <c r="F7" t="s">
        <v>4437</v>
      </c>
      <c r="G7" s="9">
        <v>40</v>
      </c>
      <c r="H7" s="9" t="str">
        <f t="shared" si="0"/>
        <v>10,20,30</v>
      </c>
      <c r="I7" s="9" t="s">
        <v>4433</v>
      </c>
      <c r="O7" s="9"/>
      <c r="S7" t="s">
        <v>4457</v>
      </c>
      <c r="T7" s="10" t="s">
        <v>4434</v>
      </c>
      <c r="U7" s="10" t="s">
        <v>4435</v>
      </c>
      <c r="V7" s="10" t="s">
        <v>4436</v>
      </c>
    </row>
    <row r="8" spans="1:24" x14ac:dyDescent="0.3">
      <c r="B8" t="s">
        <v>4458</v>
      </c>
      <c r="C8" s="16" t="s">
        <v>4445</v>
      </c>
      <c r="F8" t="s">
        <v>4437</v>
      </c>
      <c r="G8" s="9">
        <v>40</v>
      </c>
      <c r="H8" s="9" t="str">
        <f t="shared" si="0"/>
        <v>10,20,30</v>
      </c>
      <c r="I8" s="9" t="s">
        <v>4433</v>
      </c>
      <c r="O8" s="9"/>
      <c r="S8" t="s">
        <v>4457</v>
      </c>
      <c r="T8" s="10" t="s">
        <v>4434</v>
      </c>
      <c r="U8" s="10" t="s">
        <v>4435</v>
      </c>
      <c r="V8" s="10" t="s">
        <v>4436</v>
      </c>
    </row>
    <row r="9" spans="1:24" x14ac:dyDescent="0.3">
      <c r="B9" t="s">
        <v>4458</v>
      </c>
      <c r="C9" s="16" t="s">
        <v>4446</v>
      </c>
      <c r="F9" t="s">
        <v>4437</v>
      </c>
      <c r="G9" s="9">
        <v>40</v>
      </c>
      <c r="H9" s="9" t="str">
        <f t="shared" si="0"/>
        <v>10,20,30</v>
      </c>
      <c r="I9" s="9" t="s">
        <v>4433</v>
      </c>
      <c r="O9" s="9"/>
      <c r="S9" t="s">
        <v>4457</v>
      </c>
      <c r="T9" s="10" t="s">
        <v>4434</v>
      </c>
      <c r="U9" s="10" t="s">
        <v>4435</v>
      </c>
      <c r="V9" s="10" t="s">
        <v>4436</v>
      </c>
    </row>
    <row r="10" spans="1:24" x14ac:dyDescent="0.3">
      <c r="B10" t="s">
        <v>4458</v>
      </c>
      <c r="C10" s="16" t="s">
        <v>4447</v>
      </c>
      <c r="F10" t="s">
        <v>4437</v>
      </c>
      <c r="G10" s="9">
        <v>40</v>
      </c>
      <c r="H10" s="9" t="str">
        <f t="shared" si="0"/>
        <v>10,20,30</v>
      </c>
      <c r="I10" s="9" t="s">
        <v>4433</v>
      </c>
      <c r="O10" s="9"/>
      <c r="S10" t="s">
        <v>4457</v>
      </c>
      <c r="T10" s="10" t="s">
        <v>4434</v>
      </c>
      <c r="U10" s="10" t="s">
        <v>4435</v>
      </c>
      <c r="V10" s="10" t="s">
        <v>4436</v>
      </c>
    </row>
    <row r="11" spans="1:24" x14ac:dyDescent="0.3">
      <c r="B11" t="s">
        <v>4458</v>
      </c>
      <c r="C11" s="16" t="s">
        <v>4448</v>
      </c>
      <c r="F11" t="s">
        <v>4437</v>
      </c>
      <c r="G11" s="9">
        <v>40</v>
      </c>
      <c r="H11" s="9" t="str">
        <f t="shared" si="0"/>
        <v>10,20,30</v>
      </c>
      <c r="I11" s="9" t="s">
        <v>4433</v>
      </c>
      <c r="O11" s="9"/>
      <c r="S11" t="s">
        <v>4457</v>
      </c>
      <c r="T11" s="10" t="s">
        <v>4434</v>
      </c>
      <c r="U11" s="10" t="s">
        <v>4435</v>
      </c>
      <c r="V11" s="10" t="s">
        <v>4436</v>
      </c>
    </row>
    <row r="12" spans="1:24" x14ac:dyDescent="0.3">
      <c r="B12" t="s">
        <v>4458</v>
      </c>
      <c r="C12" s="16" t="s">
        <v>4449</v>
      </c>
      <c r="F12" t="s">
        <v>4437</v>
      </c>
      <c r="G12" s="9">
        <v>40</v>
      </c>
      <c r="H12" s="9" t="str">
        <f t="shared" si="0"/>
        <v>10,20,30</v>
      </c>
      <c r="I12" s="9" t="s">
        <v>4433</v>
      </c>
      <c r="O12" s="9"/>
      <c r="S12" t="s">
        <v>4457</v>
      </c>
      <c r="T12" s="10" t="s">
        <v>4434</v>
      </c>
      <c r="U12" s="10" t="s">
        <v>4435</v>
      </c>
      <c r="V12" s="10" t="s">
        <v>4436</v>
      </c>
    </row>
    <row r="13" spans="1:24" x14ac:dyDescent="0.3">
      <c r="B13" t="s">
        <v>4458</v>
      </c>
      <c r="C13" s="16" t="s">
        <v>4450</v>
      </c>
      <c r="F13" t="s">
        <v>4437</v>
      </c>
      <c r="G13" s="9">
        <v>40</v>
      </c>
      <c r="H13" s="9" t="str">
        <f t="shared" si="0"/>
        <v>10,20,30</v>
      </c>
      <c r="I13" s="9" t="s">
        <v>4433</v>
      </c>
      <c r="O13" s="9"/>
      <c r="S13" t="s">
        <v>4457</v>
      </c>
      <c r="T13" s="10" t="s">
        <v>4434</v>
      </c>
      <c r="U13" s="10" t="s">
        <v>4435</v>
      </c>
      <c r="V13" s="10" t="s">
        <v>4436</v>
      </c>
    </row>
    <row r="14" spans="1:24" x14ac:dyDescent="0.3">
      <c r="B14" t="s">
        <v>4458</v>
      </c>
      <c r="C14" s="16" t="s">
        <v>4451</v>
      </c>
      <c r="F14" t="s">
        <v>4437</v>
      </c>
      <c r="G14" s="9">
        <v>40</v>
      </c>
      <c r="H14" s="9" t="str">
        <f t="shared" si="0"/>
        <v>10,20,30</v>
      </c>
      <c r="I14" s="9" t="s">
        <v>4433</v>
      </c>
      <c r="O14" s="9"/>
      <c r="S14" t="s">
        <v>4457</v>
      </c>
      <c r="T14" s="10" t="s">
        <v>4434</v>
      </c>
      <c r="U14" s="10" t="s">
        <v>4435</v>
      </c>
      <c r="V14" s="10" t="s">
        <v>4436</v>
      </c>
    </row>
    <row r="15" spans="1:24" x14ac:dyDescent="0.3">
      <c r="B15" t="s">
        <v>4458</v>
      </c>
      <c r="C15" s="16" t="s">
        <v>4452</v>
      </c>
      <c r="F15" t="s">
        <v>4437</v>
      </c>
      <c r="G15" s="9">
        <v>40</v>
      </c>
      <c r="H15" s="9" t="str">
        <f t="shared" si="0"/>
        <v>10,20,30</v>
      </c>
      <c r="I15" s="9" t="s">
        <v>4433</v>
      </c>
      <c r="O15" s="9"/>
      <c r="S15" t="s">
        <v>4457</v>
      </c>
      <c r="T15" s="10" t="s">
        <v>4434</v>
      </c>
      <c r="U15" s="10" t="s">
        <v>4435</v>
      </c>
      <c r="V15" s="10" t="s">
        <v>4436</v>
      </c>
    </row>
    <row r="16" spans="1:24" x14ac:dyDescent="0.3">
      <c r="B16" t="s">
        <v>4458</v>
      </c>
      <c r="C16" s="16" t="s">
        <v>4453</v>
      </c>
      <c r="F16" t="s">
        <v>4437</v>
      </c>
      <c r="G16" s="9">
        <v>40</v>
      </c>
      <c r="H16" s="9" t="str">
        <f t="shared" si="0"/>
        <v>10,20,30</v>
      </c>
      <c r="I16" s="9" t="s">
        <v>4433</v>
      </c>
      <c r="O16" s="9"/>
      <c r="S16" t="s">
        <v>4457</v>
      </c>
      <c r="T16" s="10" t="s">
        <v>4434</v>
      </c>
      <c r="U16" s="10" t="s">
        <v>4435</v>
      </c>
      <c r="V16" s="10" t="s">
        <v>4436</v>
      </c>
    </row>
    <row r="17" spans="2:22" x14ac:dyDescent="0.3">
      <c r="B17" t="s">
        <v>4458</v>
      </c>
      <c r="C17" s="16" t="s">
        <v>4454</v>
      </c>
      <c r="F17" t="s">
        <v>4437</v>
      </c>
      <c r="G17" s="9">
        <v>40</v>
      </c>
      <c r="H17" s="9" t="str">
        <f t="shared" si="0"/>
        <v>10,20,30</v>
      </c>
      <c r="I17" s="9" t="s">
        <v>4433</v>
      </c>
      <c r="O17" s="9"/>
      <c r="S17" t="s">
        <v>4457</v>
      </c>
      <c r="T17" s="10" t="s">
        <v>4434</v>
      </c>
      <c r="U17" s="10" t="s">
        <v>4435</v>
      </c>
      <c r="V17" s="10" t="s">
        <v>4436</v>
      </c>
    </row>
    <row r="18" spans="2:22" x14ac:dyDescent="0.3">
      <c r="B18" t="s">
        <v>4458</v>
      </c>
      <c r="C18" s="16" t="s">
        <v>4455</v>
      </c>
      <c r="F18" t="s">
        <v>4437</v>
      </c>
      <c r="G18" s="9">
        <v>40</v>
      </c>
      <c r="H18" s="9" t="str">
        <f t="shared" si="0"/>
        <v>10,20,30</v>
      </c>
      <c r="I18" s="9" t="s">
        <v>4433</v>
      </c>
      <c r="O18" s="9"/>
      <c r="S18" t="s">
        <v>4457</v>
      </c>
      <c r="T18" s="10" t="s">
        <v>4434</v>
      </c>
      <c r="U18" s="10" t="s">
        <v>4435</v>
      </c>
      <c r="V18" s="10" t="s">
        <v>4436</v>
      </c>
    </row>
    <row r="19" spans="2:22" x14ac:dyDescent="0.3">
      <c r="B19" t="s">
        <v>4458</v>
      </c>
      <c r="C19" s="16" t="s">
        <v>4439</v>
      </c>
      <c r="F19" t="s">
        <v>4437</v>
      </c>
      <c r="G19" s="9">
        <v>40</v>
      </c>
      <c r="H19" s="9" t="str">
        <f t="shared" si="0"/>
        <v>10,20,30</v>
      </c>
      <c r="I19" s="9" t="s">
        <v>4433</v>
      </c>
      <c r="O19" s="9"/>
      <c r="S19" t="s">
        <v>4457</v>
      </c>
      <c r="T19" s="10" t="s">
        <v>4434</v>
      </c>
      <c r="U19" s="10" t="s">
        <v>4435</v>
      </c>
      <c r="V19" s="10" t="s">
        <v>4436</v>
      </c>
    </row>
    <row r="20" spans="2:22" x14ac:dyDescent="0.3">
      <c r="F20"/>
      <c r="O20" s="9"/>
      <c r="T20" s="10"/>
      <c r="U20" s="10"/>
      <c r="V20" s="10"/>
    </row>
    <row r="21" spans="2:22" x14ac:dyDescent="0.3">
      <c r="F21"/>
      <c r="O21" s="9"/>
      <c r="T21" s="10"/>
      <c r="U21" s="10"/>
      <c r="V21" s="10"/>
    </row>
    <row r="22" spans="2:22" x14ac:dyDescent="0.3">
      <c r="F22"/>
      <c r="O22" s="9"/>
      <c r="T22" s="10"/>
      <c r="U22" s="10"/>
      <c r="V22" s="10"/>
    </row>
    <row r="23" spans="2:22" x14ac:dyDescent="0.3">
      <c r="F23"/>
      <c r="O23" s="9"/>
      <c r="T23" s="10"/>
      <c r="U23" s="10"/>
      <c r="V23" s="10"/>
    </row>
    <row r="24" spans="2:22" x14ac:dyDescent="0.3">
      <c r="F24"/>
      <c r="O24" s="9"/>
      <c r="T24" s="10"/>
      <c r="U24" s="10"/>
      <c r="V24" s="10"/>
    </row>
    <row r="25" spans="2:22" x14ac:dyDescent="0.3">
      <c r="F25"/>
      <c r="O25" s="9"/>
      <c r="T25" s="10"/>
      <c r="U25" s="10"/>
      <c r="V25" s="10"/>
    </row>
    <row r="26" spans="2:22" x14ac:dyDescent="0.3">
      <c r="C26" s="17"/>
      <c r="F26"/>
      <c r="O26" s="9"/>
      <c r="T26" s="10"/>
      <c r="U26" s="10"/>
      <c r="V26" s="10"/>
    </row>
    <row r="27" spans="2:22" x14ac:dyDescent="0.3">
      <c r="C27" s="17"/>
      <c r="F27"/>
      <c r="O27" s="9"/>
      <c r="T27" s="10"/>
      <c r="U27" s="10"/>
      <c r="V27" s="10"/>
    </row>
    <row r="28" spans="2:22" x14ac:dyDescent="0.3">
      <c r="C28" s="17"/>
      <c r="F28"/>
      <c r="O28" s="9"/>
      <c r="T28" s="10"/>
      <c r="U28" s="10"/>
      <c r="V28" s="10"/>
    </row>
    <row r="29" spans="2:22" x14ac:dyDescent="0.3">
      <c r="C29" s="17"/>
      <c r="F29"/>
      <c r="O29" s="9"/>
      <c r="T29" s="10"/>
      <c r="U29" s="10"/>
      <c r="V29" s="10"/>
    </row>
    <row r="30" spans="2:22" x14ac:dyDescent="0.3">
      <c r="C30" s="17"/>
      <c r="F30"/>
      <c r="O30" s="9"/>
      <c r="T30" s="10"/>
      <c r="U30" s="10"/>
      <c r="V30" s="10"/>
    </row>
    <row r="31" spans="2:22" x14ac:dyDescent="0.3">
      <c r="C31" s="17"/>
      <c r="F31"/>
      <c r="O31" s="9"/>
      <c r="T31" s="10"/>
      <c r="U31" s="10"/>
      <c r="V31" s="10"/>
    </row>
    <row r="32" spans="2:22" x14ac:dyDescent="0.3">
      <c r="C32" s="17"/>
      <c r="F32"/>
      <c r="O32" s="9"/>
      <c r="T32" s="10"/>
      <c r="U32" s="10"/>
      <c r="V32" s="10"/>
    </row>
    <row r="33" spans="3:22" x14ac:dyDescent="0.3">
      <c r="C33" s="17"/>
      <c r="F33"/>
      <c r="O33" s="9"/>
      <c r="T33" s="10"/>
      <c r="U33" s="10"/>
      <c r="V33" s="10"/>
    </row>
    <row r="34" spans="3:22" x14ac:dyDescent="0.3">
      <c r="C34" s="17"/>
      <c r="F34"/>
      <c r="O34" s="9"/>
      <c r="T34" s="10"/>
      <c r="U34" s="10"/>
      <c r="V34" s="10"/>
    </row>
    <row r="35" spans="3:22" x14ac:dyDescent="0.3">
      <c r="C35" s="17"/>
      <c r="F35"/>
      <c r="O35" s="9"/>
      <c r="T35" s="10"/>
      <c r="U35" s="10"/>
      <c r="V35" s="10"/>
    </row>
    <row r="36" spans="3:22" x14ac:dyDescent="0.3">
      <c r="C36" s="17"/>
      <c r="F36"/>
      <c r="O36" s="9"/>
      <c r="T36" s="10"/>
      <c r="U36" s="10"/>
      <c r="V36" s="10"/>
    </row>
    <row r="37" spans="3:22" x14ac:dyDescent="0.3">
      <c r="C37" s="17"/>
      <c r="F37"/>
      <c r="O37" s="9"/>
      <c r="T37" s="10"/>
      <c r="U37" s="10"/>
      <c r="V37" s="10"/>
    </row>
    <row r="38" spans="3:22" x14ac:dyDescent="0.3">
      <c r="C38" s="17"/>
      <c r="F38"/>
      <c r="O38" s="9"/>
      <c r="T38" s="10"/>
      <c r="U38" s="10"/>
      <c r="V38" s="10"/>
    </row>
    <row r="39" spans="3:22" x14ac:dyDescent="0.3">
      <c r="C39" s="17"/>
      <c r="F39"/>
      <c r="O39" s="9"/>
      <c r="T39" s="10"/>
      <c r="U39" s="10"/>
      <c r="V39" s="10"/>
    </row>
    <row r="40" spans="3:22" x14ac:dyDescent="0.3">
      <c r="C40" s="17"/>
      <c r="F40"/>
      <c r="O40" s="9"/>
      <c r="T40" s="10"/>
      <c r="U40" s="10"/>
      <c r="V40" s="10"/>
    </row>
    <row r="41" spans="3:22" x14ac:dyDescent="0.3">
      <c r="C41" s="17"/>
      <c r="F41"/>
      <c r="O41" s="9"/>
      <c r="T41" s="10"/>
      <c r="U41" s="10"/>
      <c r="V41" s="10"/>
    </row>
    <row r="42" spans="3:22" x14ac:dyDescent="0.3">
      <c r="C42" s="17"/>
      <c r="F42"/>
      <c r="O42" s="9"/>
      <c r="T42" s="10"/>
      <c r="U42" s="10"/>
      <c r="V42" s="10"/>
    </row>
    <row r="43" spans="3:22" x14ac:dyDescent="0.3">
      <c r="C43" s="17"/>
      <c r="F43"/>
      <c r="O43" s="9"/>
      <c r="T43" s="10"/>
      <c r="U43" s="10"/>
      <c r="V43" s="10"/>
    </row>
    <row r="44" spans="3:22" x14ac:dyDescent="0.3">
      <c r="C44" s="17"/>
      <c r="F44"/>
      <c r="O44" s="9"/>
      <c r="T44" s="10"/>
      <c r="U44" s="10"/>
      <c r="V44" s="10"/>
    </row>
    <row r="45" spans="3:22" x14ac:dyDescent="0.3">
      <c r="C45" s="17"/>
      <c r="F45"/>
      <c r="O45" s="9"/>
      <c r="T45" s="10"/>
      <c r="U45" s="10"/>
      <c r="V45" s="10"/>
    </row>
    <row r="46" spans="3:22" x14ac:dyDescent="0.3">
      <c r="C46" s="17"/>
      <c r="F46"/>
      <c r="O46" s="9"/>
      <c r="T46" s="10"/>
      <c r="U46" s="10"/>
      <c r="V46" s="10"/>
    </row>
    <row r="47" spans="3:22" x14ac:dyDescent="0.3">
      <c r="C47" s="17"/>
      <c r="F47"/>
      <c r="O47" s="9"/>
      <c r="T47" s="10"/>
      <c r="U47" s="10"/>
      <c r="V47" s="10"/>
    </row>
    <row r="48" spans="3:22" x14ac:dyDescent="0.3">
      <c r="C48" s="17"/>
      <c r="F48"/>
      <c r="O48" s="9"/>
      <c r="T48" s="10"/>
      <c r="U48" s="10"/>
      <c r="V48" s="10"/>
    </row>
    <row r="49" spans="3:22" x14ac:dyDescent="0.3">
      <c r="C49" s="17"/>
      <c r="F49"/>
      <c r="O49" s="9"/>
      <c r="T49" s="10"/>
      <c r="U49" s="10"/>
      <c r="V49" s="10"/>
    </row>
    <row r="50" spans="3:22" x14ac:dyDescent="0.3">
      <c r="C50" s="17"/>
      <c r="F50"/>
      <c r="O50" s="9"/>
      <c r="T50" s="10"/>
      <c r="U50" s="10"/>
      <c r="V50" s="10"/>
    </row>
    <row r="51" spans="3:22" x14ac:dyDescent="0.3">
      <c r="C51" s="17"/>
      <c r="F51"/>
      <c r="O51" s="9"/>
      <c r="T51" s="10"/>
      <c r="U51" s="10"/>
      <c r="V51" s="10"/>
    </row>
    <row r="52" spans="3:22" x14ac:dyDescent="0.3">
      <c r="C52" s="17"/>
      <c r="F52"/>
      <c r="O52" s="9"/>
      <c r="T52" s="10"/>
      <c r="U52" s="10"/>
      <c r="V52" s="10"/>
    </row>
    <row r="53" spans="3:22" x14ac:dyDescent="0.3">
      <c r="C53" s="17"/>
      <c r="F53"/>
      <c r="O53" s="9"/>
      <c r="T53" s="10"/>
      <c r="U53" s="10"/>
      <c r="V53" s="10"/>
    </row>
    <row r="54" spans="3:22" x14ac:dyDescent="0.3">
      <c r="C54" s="17"/>
      <c r="F54"/>
      <c r="O54" s="9"/>
      <c r="T54" s="10"/>
      <c r="U54" s="10"/>
      <c r="V54" s="10"/>
    </row>
    <row r="55" spans="3:22" x14ac:dyDescent="0.3">
      <c r="C55" s="17"/>
      <c r="F55"/>
      <c r="O55" s="9"/>
      <c r="T55" s="10"/>
      <c r="U55" s="10"/>
      <c r="V55" s="10"/>
    </row>
    <row r="56" spans="3:22" x14ac:dyDescent="0.3">
      <c r="C56" s="17"/>
      <c r="F56"/>
      <c r="O56" s="9"/>
      <c r="T56" s="10"/>
      <c r="U56" s="10"/>
      <c r="V56" s="10"/>
    </row>
    <row r="57" spans="3:22" x14ac:dyDescent="0.3">
      <c r="C57" s="17"/>
      <c r="F57"/>
      <c r="O57" s="9"/>
      <c r="T57" s="10"/>
      <c r="U57" s="10"/>
      <c r="V57" s="10"/>
    </row>
    <row r="58" spans="3:22" x14ac:dyDescent="0.3">
      <c r="C58" s="17"/>
      <c r="F58"/>
      <c r="O58" s="9"/>
      <c r="T58" s="10"/>
      <c r="U58" s="10"/>
      <c r="V58" s="10"/>
    </row>
    <row r="59" spans="3:22" x14ac:dyDescent="0.3">
      <c r="C59" s="17"/>
      <c r="F59"/>
      <c r="O59" s="9"/>
      <c r="T59" s="10"/>
      <c r="U59" s="10"/>
      <c r="V59" s="10"/>
    </row>
    <row r="60" spans="3:22" x14ac:dyDescent="0.3">
      <c r="C60" s="17"/>
      <c r="F60"/>
      <c r="O60" s="9"/>
      <c r="T60" s="10"/>
      <c r="U60" s="10"/>
      <c r="V60" s="10"/>
    </row>
    <row r="61" spans="3:22" x14ac:dyDescent="0.3">
      <c r="C61" s="17"/>
      <c r="F61"/>
      <c r="O61" s="9"/>
      <c r="T61" s="10"/>
      <c r="U61" s="10"/>
      <c r="V61" s="10"/>
    </row>
    <row r="62" spans="3:22" x14ac:dyDescent="0.3">
      <c r="C62" s="17"/>
      <c r="F62"/>
      <c r="O62" s="9"/>
      <c r="T62" s="10"/>
      <c r="U62" s="10"/>
      <c r="V62" s="10"/>
    </row>
    <row r="63" spans="3:22" x14ac:dyDescent="0.3">
      <c r="C63" s="17"/>
      <c r="F63"/>
      <c r="O63" s="9"/>
      <c r="T63" s="10"/>
      <c r="U63" s="10"/>
      <c r="V63" s="10"/>
    </row>
    <row r="64" spans="3:22" x14ac:dyDescent="0.3">
      <c r="C64" s="17"/>
      <c r="F64"/>
      <c r="O64" s="9"/>
      <c r="T64" s="10"/>
      <c r="U64" s="10"/>
      <c r="V64" s="10"/>
    </row>
    <row r="65" spans="3:22" x14ac:dyDescent="0.3">
      <c r="C65" s="17"/>
      <c r="F65"/>
      <c r="O65" s="9"/>
      <c r="T65" s="10"/>
      <c r="U65" s="10"/>
      <c r="V65" s="10"/>
    </row>
    <row r="66" spans="3:22" x14ac:dyDescent="0.3">
      <c r="C66" s="17"/>
      <c r="F66"/>
      <c r="O66" s="9"/>
      <c r="T66" s="10"/>
      <c r="U66" s="10"/>
      <c r="V66" s="10"/>
    </row>
    <row r="67" spans="3:22" x14ac:dyDescent="0.3">
      <c r="C67" s="17"/>
      <c r="F67"/>
      <c r="O67" s="9"/>
      <c r="T67" s="10"/>
      <c r="U67" s="10"/>
      <c r="V67" s="10"/>
    </row>
    <row r="68" spans="3:22" x14ac:dyDescent="0.3">
      <c r="C68" s="17"/>
      <c r="F68"/>
      <c r="O68" s="9"/>
      <c r="T68" s="10"/>
      <c r="U68" s="10"/>
      <c r="V68" s="10"/>
    </row>
    <row r="69" spans="3:22" x14ac:dyDescent="0.3">
      <c r="C69" s="17"/>
      <c r="F69"/>
      <c r="O69" s="9"/>
      <c r="T69" s="10"/>
      <c r="U69" s="10"/>
      <c r="V69" s="10"/>
    </row>
    <row r="70" spans="3:22" x14ac:dyDescent="0.3">
      <c r="C70" s="17"/>
      <c r="F70"/>
      <c r="O70" s="9"/>
      <c r="T70" s="10"/>
      <c r="U70" s="10"/>
      <c r="V70" s="10"/>
    </row>
    <row r="71" spans="3:22" x14ac:dyDescent="0.3">
      <c r="C71" s="17"/>
      <c r="F71"/>
      <c r="O71" s="9"/>
      <c r="T71" s="10"/>
      <c r="U71" s="10"/>
      <c r="V71" s="10"/>
    </row>
    <row r="72" spans="3:22" x14ac:dyDescent="0.3">
      <c r="C72" s="17"/>
      <c r="F72"/>
      <c r="O72" s="9"/>
      <c r="T72" s="10"/>
      <c r="U72" s="10"/>
      <c r="V72" s="10"/>
    </row>
    <row r="73" spans="3:22" x14ac:dyDescent="0.3">
      <c r="C73" s="17"/>
      <c r="F73"/>
      <c r="O73" s="9"/>
      <c r="T73" s="10"/>
      <c r="U73" s="10"/>
      <c r="V73" s="10"/>
    </row>
    <row r="74" spans="3:22" x14ac:dyDescent="0.3">
      <c r="C74" s="17"/>
      <c r="F74"/>
      <c r="O74" s="9"/>
      <c r="T74" s="10"/>
      <c r="U74" s="10"/>
      <c r="V74" s="10"/>
    </row>
    <row r="75" spans="3:22" x14ac:dyDescent="0.3">
      <c r="C75" s="17"/>
      <c r="F75"/>
      <c r="O75" s="9"/>
      <c r="T75" s="10"/>
      <c r="U75" s="10"/>
      <c r="V75" s="10"/>
    </row>
    <row r="76" spans="3:22" x14ac:dyDescent="0.3">
      <c r="C76" s="17"/>
      <c r="F76"/>
      <c r="O76" s="9"/>
      <c r="T76" s="10"/>
      <c r="U76" s="10"/>
      <c r="V76" s="10"/>
    </row>
    <row r="77" spans="3:22" x14ac:dyDescent="0.3">
      <c r="C77" s="17"/>
      <c r="F77"/>
      <c r="O77" s="9"/>
      <c r="T77" s="10"/>
      <c r="U77" s="10"/>
      <c r="V77" s="10"/>
    </row>
    <row r="78" spans="3:22" x14ac:dyDescent="0.3">
      <c r="C78" s="17"/>
      <c r="F78"/>
      <c r="O78" s="9"/>
      <c r="T78" s="10"/>
      <c r="U78" s="10"/>
      <c r="V78" s="10"/>
    </row>
    <row r="79" spans="3:22" x14ac:dyDescent="0.3">
      <c r="C79" s="17"/>
      <c r="F79"/>
      <c r="O79" s="9"/>
      <c r="T79" s="10"/>
      <c r="U79" s="10"/>
      <c r="V79" s="10"/>
    </row>
    <row r="80" spans="3:22" x14ac:dyDescent="0.3">
      <c r="C80" s="17"/>
      <c r="F80"/>
      <c r="O80" s="9"/>
      <c r="T80" s="10"/>
      <c r="U80" s="10"/>
      <c r="V80" s="10"/>
    </row>
    <row r="81" spans="3:22" x14ac:dyDescent="0.3">
      <c r="C81" s="17"/>
      <c r="F81"/>
      <c r="O81" s="9"/>
      <c r="T81" s="10"/>
      <c r="U81" s="10"/>
      <c r="V81" s="10"/>
    </row>
    <row r="82" spans="3:22" x14ac:dyDescent="0.3">
      <c r="C82" s="17"/>
      <c r="F82"/>
      <c r="O82" s="9"/>
      <c r="T82" s="10"/>
      <c r="U82" s="10"/>
      <c r="V82" s="10"/>
    </row>
    <row r="83" spans="3:22" x14ac:dyDescent="0.3">
      <c r="C83" s="17"/>
      <c r="F83"/>
      <c r="O83" s="9"/>
      <c r="T83" s="10"/>
      <c r="U83" s="10"/>
      <c r="V83" s="10"/>
    </row>
    <row r="84" spans="3:22" x14ac:dyDescent="0.3">
      <c r="C84" s="17"/>
      <c r="F84"/>
      <c r="O84" s="9"/>
      <c r="T84" s="10"/>
      <c r="U84" s="10"/>
      <c r="V84" s="10"/>
    </row>
    <row r="85" spans="3:22" x14ac:dyDescent="0.3">
      <c r="C85" s="17"/>
      <c r="F85"/>
      <c r="O85" s="9"/>
      <c r="T85" s="10"/>
      <c r="U85" s="10"/>
      <c r="V85" s="10"/>
    </row>
    <row r="86" spans="3:22" x14ac:dyDescent="0.3">
      <c r="C86" s="17"/>
      <c r="F86"/>
      <c r="O86" s="9"/>
      <c r="T86" s="10"/>
      <c r="U86" s="10"/>
      <c r="V86" s="10"/>
    </row>
    <row r="87" spans="3:22" x14ac:dyDescent="0.3">
      <c r="C87" s="17"/>
      <c r="F87"/>
      <c r="O87" s="9"/>
      <c r="T87" s="10"/>
      <c r="U87" s="10"/>
      <c r="V87" s="10"/>
    </row>
    <row r="88" spans="3:22" x14ac:dyDescent="0.3">
      <c r="C88" s="17"/>
      <c r="F88"/>
      <c r="O88" s="9"/>
      <c r="T88" s="10"/>
      <c r="U88" s="10"/>
      <c r="V88" s="10"/>
    </row>
    <row r="89" spans="3:22" x14ac:dyDescent="0.3">
      <c r="C89" s="17"/>
      <c r="F89"/>
      <c r="O89" s="9"/>
      <c r="T89" s="10"/>
      <c r="U89" s="10"/>
      <c r="V89" s="10"/>
    </row>
    <row r="90" spans="3:22" x14ac:dyDescent="0.3">
      <c r="C90" s="17"/>
      <c r="F90"/>
      <c r="O90" s="9"/>
      <c r="T90" s="10"/>
      <c r="U90" s="10"/>
      <c r="V90" s="10"/>
    </row>
    <row r="91" spans="3:22" x14ac:dyDescent="0.3">
      <c r="C91" s="17"/>
      <c r="F91"/>
      <c r="O91" s="9"/>
      <c r="T91" s="10"/>
      <c r="U91" s="10"/>
      <c r="V91" s="10"/>
    </row>
    <row r="92" spans="3:22" x14ac:dyDescent="0.3">
      <c r="C92" s="17"/>
      <c r="F92"/>
      <c r="O92" s="9"/>
      <c r="T92" s="10"/>
      <c r="U92" s="10"/>
      <c r="V92" s="10"/>
    </row>
    <row r="93" spans="3:22" x14ac:dyDescent="0.3">
      <c r="C93" s="17"/>
      <c r="F93"/>
      <c r="O93" s="9"/>
      <c r="T93" s="10"/>
      <c r="U93" s="10"/>
      <c r="V93" s="10"/>
    </row>
    <row r="94" spans="3:22" x14ac:dyDescent="0.3">
      <c r="C94" s="17"/>
      <c r="F94"/>
      <c r="O94" s="9"/>
      <c r="T94" s="10"/>
      <c r="U94" s="10"/>
      <c r="V94" s="10"/>
    </row>
    <row r="95" spans="3:22" x14ac:dyDescent="0.3">
      <c r="C95" s="17"/>
      <c r="F95"/>
      <c r="O95" s="9"/>
      <c r="T95" s="10"/>
      <c r="U95" s="10"/>
      <c r="V95" s="10"/>
    </row>
    <row r="96" spans="3:22" x14ac:dyDescent="0.3">
      <c r="C96" s="17"/>
      <c r="F96"/>
      <c r="O96" s="9"/>
      <c r="T96" s="10"/>
      <c r="U96" s="10"/>
      <c r="V96" s="10"/>
    </row>
    <row r="97" spans="3:22" x14ac:dyDescent="0.3">
      <c r="C97" s="17"/>
      <c r="F97"/>
      <c r="O97" s="9"/>
      <c r="T97" s="10"/>
      <c r="U97" s="10"/>
      <c r="V97" s="10"/>
    </row>
    <row r="98" spans="3:22" x14ac:dyDescent="0.3">
      <c r="C98" s="17"/>
      <c r="F98"/>
      <c r="O98" s="9"/>
      <c r="T98" s="10"/>
      <c r="U98" s="10"/>
      <c r="V98" s="10"/>
    </row>
    <row r="99" spans="3:22" x14ac:dyDescent="0.3">
      <c r="C99" s="17"/>
      <c r="F99"/>
      <c r="O99" s="9"/>
      <c r="T99" s="10"/>
      <c r="U99" s="10"/>
      <c r="V99" s="10"/>
    </row>
    <row r="100" spans="3:22" x14ac:dyDescent="0.3">
      <c r="C100" s="17"/>
      <c r="F100"/>
      <c r="O100" s="9"/>
      <c r="T100" s="10"/>
      <c r="U100" s="10"/>
      <c r="V100" s="10"/>
    </row>
    <row r="101" spans="3:22" x14ac:dyDescent="0.3">
      <c r="C101" s="17"/>
      <c r="F101"/>
      <c r="O101" s="9"/>
      <c r="T101" s="10"/>
      <c r="U101" s="10"/>
      <c r="V101" s="10"/>
    </row>
    <row r="102" spans="3:22" x14ac:dyDescent="0.3">
      <c r="C102" s="17"/>
      <c r="F102"/>
      <c r="O102" s="9"/>
      <c r="T102" s="10"/>
      <c r="U102" s="10"/>
      <c r="V102" s="10"/>
    </row>
    <row r="103" spans="3:22" x14ac:dyDescent="0.3">
      <c r="C103" s="17"/>
      <c r="F103"/>
      <c r="O103" s="9"/>
      <c r="T103" s="10"/>
      <c r="U103" s="10"/>
      <c r="V103" s="10"/>
    </row>
    <row r="104" spans="3:22" x14ac:dyDescent="0.3">
      <c r="C104" s="17"/>
      <c r="F104"/>
      <c r="O104" s="9"/>
      <c r="T104" s="10"/>
      <c r="U104" s="10"/>
      <c r="V104" s="10"/>
    </row>
    <row r="105" spans="3:22" x14ac:dyDescent="0.3">
      <c r="C105" s="17"/>
      <c r="F105"/>
      <c r="O105" s="9"/>
      <c r="T105" s="10"/>
      <c r="U105" s="10"/>
      <c r="V105" s="10"/>
    </row>
    <row r="106" spans="3:22" x14ac:dyDescent="0.3">
      <c r="C106" s="17"/>
      <c r="F106"/>
      <c r="O106" s="9"/>
      <c r="T106" s="10"/>
      <c r="U106" s="10"/>
      <c r="V106" s="10"/>
    </row>
    <row r="107" spans="3:22" x14ac:dyDescent="0.3">
      <c r="C107" s="17"/>
      <c r="F107"/>
      <c r="O107" s="9"/>
      <c r="T107" s="10"/>
      <c r="U107" s="10"/>
      <c r="V107" s="10"/>
    </row>
    <row r="108" spans="3:22" x14ac:dyDescent="0.3">
      <c r="C108" s="17"/>
      <c r="F108"/>
      <c r="O108" s="9"/>
      <c r="T108" s="10"/>
      <c r="U108" s="10"/>
      <c r="V108" s="10"/>
    </row>
    <row r="109" spans="3:22" x14ac:dyDescent="0.3">
      <c r="C109" s="17"/>
      <c r="F109"/>
      <c r="O109" s="9"/>
      <c r="T109" s="10"/>
      <c r="U109" s="10"/>
      <c r="V109" s="10"/>
    </row>
    <row r="110" spans="3:22" x14ac:dyDescent="0.3">
      <c r="C110" s="17"/>
      <c r="F110"/>
      <c r="O110" s="9"/>
      <c r="T110" s="10"/>
      <c r="U110" s="10"/>
      <c r="V110" s="10"/>
    </row>
    <row r="111" spans="3:22" x14ac:dyDescent="0.3">
      <c r="C111" s="17"/>
      <c r="F111"/>
      <c r="O111" s="9"/>
      <c r="T111" s="10"/>
      <c r="U111" s="10"/>
      <c r="V111" s="10"/>
    </row>
    <row r="112" spans="3:22" x14ac:dyDescent="0.3">
      <c r="C112" s="17"/>
      <c r="F112"/>
      <c r="O112" s="9"/>
      <c r="T112" s="10"/>
      <c r="U112" s="10"/>
      <c r="V112" s="10"/>
    </row>
    <row r="113" spans="3:22" x14ac:dyDescent="0.3">
      <c r="C113" s="17"/>
      <c r="F113"/>
      <c r="O113" s="9"/>
      <c r="T113" s="10"/>
      <c r="U113" s="10"/>
      <c r="V113" s="10"/>
    </row>
    <row r="114" spans="3:22" x14ac:dyDescent="0.3">
      <c r="C114" s="17"/>
      <c r="F114"/>
      <c r="O114" s="9"/>
      <c r="T114" s="10"/>
      <c r="U114" s="10"/>
      <c r="V114" s="10"/>
    </row>
    <row r="115" spans="3:22" x14ac:dyDescent="0.3">
      <c r="C115" s="17"/>
      <c r="F115"/>
      <c r="O115" s="9"/>
      <c r="T115" s="10"/>
      <c r="U115" s="10"/>
      <c r="V115" s="10"/>
    </row>
    <row r="116" spans="3:22" x14ac:dyDescent="0.3">
      <c r="C116" s="17"/>
      <c r="F116"/>
      <c r="O116" s="9"/>
      <c r="T116" s="10"/>
      <c r="U116" s="10"/>
      <c r="V116" s="10"/>
    </row>
    <row r="117" spans="3:22" x14ac:dyDescent="0.3">
      <c r="C117" s="17"/>
      <c r="F117"/>
      <c r="O117" s="9"/>
      <c r="T117" s="10"/>
      <c r="U117" s="10"/>
      <c r="V117" s="10"/>
    </row>
    <row r="118" spans="3:22" x14ac:dyDescent="0.3">
      <c r="C118" s="17"/>
      <c r="F118"/>
      <c r="O118" s="9"/>
      <c r="T118" s="10"/>
      <c r="U118" s="10"/>
      <c r="V118" s="10"/>
    </row>
    <row r="119" spans="3:22" x14ac:dyDescent="0.3">
      <c r="C119" s="17"/>
      <c r="F119"/>
      <c r="O119" s="9"/>
      <c r="T119" s="10"/>
      <c r="U119" s="10"/>
      <c r="V119" s="10"/>
    </row>
    <row r="120" spans="3:22" x14ac:dyDescent="0.3">
      <c r="C120" s="17"/>
      <c r="F120"/>
      <c r="O120" s="9"/>
      <c r="T120" s="10"/>
      <c r="U120" s="10"/>
      <c r="V120" s="10"/>
    </row>
    <row r="121" spans="3:22" x14ac:dyDescent="0.3">
      <c r="C121" s="17"/>
      <c r="F121"/>
      <c r="O121" s="9"/>
      <c r="T121" s="10"/>
      <c r="U121" s="10"/>
      <c r="V121" s="10"/>
    </row>
    <row r="122" spans="3:22" x14ac:dyDescent="0.3">
      <c r="C122" s="17"/>
      <c r="F122"/>
      <c r="O122" s="9"/>
      <c r="T122" s="10"/>
      <c r="U122" s="10"/>
      <c r="V122" s="10"/>
    </row>
    <row r="123" spans="3:22" x14ac:dyDescent="0.3">
      <c r="C123" s="17"/>
      <c r="F123"/>
      <c r="O123" s="9"/>
      <c r="T123" s="10"/>
      <c r="U123" s="10"/>
      <c r="V123" s="10"/>
    </row>
    <row r="124" spans="3:22" x14ac:dyDescent="0.3">
      <c r="C124" s="17"/>
      <c r="F124"/>
      <c r="O124" s="9"/>
      <c r="T124" s="10"/>
      <c r="U124" s="10"/>
      <c r="V124" s="10"/>
    </row>
    <row r="125" spans="3:22" x14ac:dyDescent="0.3">
      <c r="C125" s="17"/>
      <c r="F125"/>
      <c r="O125" s="9"/>
      <c r="T125" s="10"/>
      <c r="U125" s="10"/>
      <c r="V125" s="10"/>
    </row>
    <row r="126" spans="3:22" x14ac:dyDescent="0.3">
      <c r="C126" s="17"/>
      <c r="F126"/>
      <c r="O126" s="9"/>
      <c r="T126" s="10"/>
      <c r="U126" s="10"/>
      <c r="V126" s="10"/>
    </row>
    <row r="127" spans="3:22" x14ac:dyDescent="0.3">
      <c r="C127" s="17"/>
      <c r="F127"/>
      <c r="O127" s="9"/>
      <c r="T127" s="10"/>
      <c r="U127" s="10"/>
      <c r="V127" s="10"/>
    </row>
    <row r="128" spans="3:22" x14ac:dyDescent="0.3">
      <c r="C128" s="17"/>
      <c r="F128"/>
      <c r="O128" s="9"/>
      <c r="T128" s="10"/>
      <c r="U128" s="10"/>
      <c r="V128" s="10"/>
    </row>
    <row r="129" spans="3:22" x14ac:dyDescent="0.3">
      <c r="C129" s="17"/>
      <c r="F129"/>
      <c r="O129" s="9"/>
      <c r="T129" s="10"/>
      <c r="U129" s="10"/>
      <c r="V129" s="10"/>
    </row>
    <row r="130" spans="3:22" x14ac:dyDescent="0.3">
      <c r="C130" s="17"/>
      <c r="F130"/>
      <c r="O130" s="9"/>
      <c r="T130" s="10"/>
      <c r="U130" s="10"/>
      <c r="V130" s="10"/>
    </row>
    <row r="131" spans="3:22" x14ac:dyDescent="0.3">
      <c r="C131" s="17"/>
      <c r="F131"/>
      <c r="O131" s="9"/>
      <c r="T131" s="10"/>
      <c r="U131" s="10"/>
      <c r="V131" s="10"/>
    </row>
    <row r="132" spans="3:22" x14ac:dyDescent="0.3">
      <c r="C132" s="17"/>
      <c r="F132"/>
      <c r="O132" s="9"/>
      <c r="T132" s="10"/>
      <c r="U132" s="10"/>
      <c r="V132" s="10"/>
    </row>
    <row r="133" spans="3:22" x14ac:dyDescent="0.3">
      <c r="C133" s="17"/>
      <c r="F133"/>
      <c r="O133" s="9"/>
      <c r="T133" s="10"/>
      <c r="U133" s="10"/>
      <c r="V133" s="10"/>
    </row>
    <row r="134" spans="3:22" x14ac:dyDescent="0.3">
      <c r="C134" s="17"/>
      <c r="F134"/>
      <c r="O134" s="9"/>
      <c r="T134" s="10"/>
      <c r="U134" s="10"/>
      <c r="V134" s="10"/>
    </row>
    <row r="135" spans="3:22" x14ac:dyDescent="0.3">
      <c r="C135" s="17"/>
      <c r="F135"/>
      <c r="O135" s="9"/>
      <c r="T135" s="10"/>
      <c r="U135" s="10"/>
      <c r="V135" s="10"/>
    </row>
    <row r="136" spans="3:22" x14ac:dyDescent="0.3">
      <c r="C136" s="17"/>
      <c r="F136"/>
      <c r="O136" s="9"/>
      <c r="T136" s="10"/>
      <c r="U136" s="10"/>
      <c r="V136" s="10"/>
    </row>
    <row r="137" spans="3:22" x14ac:dyDescent="0.3">
      <c r="C137" s="17"/>
      <c r="F137"/>
      <c r="O137" s="9"/>
      <c r="T137" s="10"/>
      <c r="U137" s="10"/>
      <c r="V137" s="10"/>
    </row>
    <row r="138" spans="3:22" x14ac:dyDescent="0.3">
      <c r="C138" s="17"/>
      <c r="F138"/>
      <c r="O138" s="9"/>
      <c r="T138" s="10"/>
      <c r="U138" s="10"/>
      <c r="V138" s="10"/>
    </row>
    <row r="139" spans="3:22" x14ac:dyDescent="0.3">
      <c r="C139" s="17"/>
      <c r="F139"/>
      <c r="O139" s="9"/>
      <c r="T139" s="10"/>
      <c r="U139" s="10"/>
      <c r="V139" s="10"/>
    </row>
    <row r="140" spans="3:22" x14ac:dyDescent="0.3">
      <c r="C140" s="17"/>
      <c r="F140"/>
      <c r="O140" s="9"/>
      <c r="T140" s="10"/>
      <c r="U140" s="10"/>
      <c r="V140" s="10"/>
    </row>
    <row r="141" spans="3:22" x14ac:dyDescent="0.3">
      <c r="C141" s="17"/>
      <c r="F141"/>
      <c r="O141" s="9"/>
      <c r="T141" s="10"/>
      <c r="U141" s="10"/>
      <c r="V141" s="10"/>
    </row>
    <row r="142" spans="3:22" x14ac:dyDescent="0.3">
      <c r="C142" s="17"/>
      <c r="F142"/>
      <c r="O142" s="9"/>
      <c r="T142" s="10"/>
      <c r="U142" s="10"/>
      <c r="V142" s="10"/>
    </row>
    <row r="143" spans="3:22" x14ac:dyDescent="0.3">
      <c r="C143" s="17"/>
      <c r="F143"/>
      <c r="O143" s="9"/>
      <c r="T143" s="10"/>
      <c r="U143" s="10"/>
      <c r="V143" s="10"/>
    </row>
    <row r="144" spans="3:22" x14ac:dyDescent="0.3">
      <c r="C144" s="17"/>
      <c r="F144"/>
      <c r="O144" s="9"/>
      <c r="T144" s="10"/>
      <c r="U144" s="10"/>
      <c r="V144" s="10"/>
    </row>
    <row r="145" spans="3:22" x14ac:dyDescent="0.3">
      <c r="C145" s="17"/>
      <c r="F145"/>
      <c r="O145" s="9"/>
      <c r="T145" s="10"/>
      <c r="U145" s="10"/>
      <c r="V145" s="10"/>
    </row>
    <row r="146" spans="3:22" x14ac:dyDescent="0.3">
      <c r="C146" s="17"/>
      <c r="F146"/>
      <c r="O146" s="9"/>
      <c r="T146" s="10"/>
      <c r="U146" s="10"/>
      <c r="V146" s="10"/>
    </row>
    <row r="147" spans="3:22" x14ac:dyDescent="0.3">
      <c r="C147" s="17"/>
      <c r="F147"/>
      <c r="O147" s="9"/>
      <c r="T147" s="10"/>
      <c r="U147" s="10"/>
      <c r="V147" s="10"/>
    </row>
    <row r="148" spans="3:22" x14ac:dyDescent="0.3">
      <c r="C148" s="17"/>
      <c r="F148"/>
      <c r="O148" s="9"/>
      <c r="T148" s="10"/>
      <c r="U148" s="10"/>
      <c r="V148" s="10"/>
    </row>
    <row r="149" spans="3:22" x14ac:dyDescent="0.3">
      <c r="C149" s="17"/>
      <c r="F149"/>
      <c r="O149" s="9"/>
      <c r="T149" s="10"/>
      <c r="U149" s="10"/>
      <c r="V149" s="10"/>
    </row>
    <row r="150" spans="3:22" x14ac:dyDescent="0.3">
      <c r="C150" s="17"/>
      <c r="F150"/>
      <c r="O150" s="9"/>
      <c r="T150" s="10"/>
      <c r="U150" s="10"/>
      <c r="V150" s="10"/>
    </row>
    <row r="151" spans="3:22" x14ac:dyDescent="0.3">
      <c r="C151" s="17"/>
      <c r="F151"/>
      <c r="O151" s="9"/>
      <c r="T151" s="10"/>
      <c r="U151" s="10"/>
      <c r="V151" s="10"/>
    </row>
    <row r="152" spans="3:22" x14ac:dyDescent="0.3">
      <c r="C152" s="17"/>
      <c r="F152"/>
      <c r="O152" s="9"/>
      <c r="T152" s="10"/>
      <c r="U152" s="10"/>
      <c r="V152" s="10"/>
    </row>
    <row r="153" spans="3:22" x14ac:dyDescent="0.3">
      <c r="C153" s="17"/>
      <c r="F153"/>
      <c r="O153" s="9"/>
      <c r="T153" s="10"/>
      <c r="U153" s="10"/>
      <c r="V153" s="10"/>
    </row>
    <row r="154" spans="3:22" x14ac:dyDescent="0.3">
      <c r="C154" s="17"/>
      <c r="F154"/>
      <c r="O154" s="9"/>
      <c r="T154" s="10"/>
      <c r="U154" s="10"/>
      <c r="V154" s="10"/>
    </row>
    <row r="155" spans="3:22" x14ac:dyDescent="0.3">
      <c r="C155" s="17"/>
      <c r="F155"/>
      <c r="O155" s="9"/>
      <c r="T155" s="10"/>
      <c r="U155" s="10"/>
      <c r="V155" s="10"/>
    </row>
    <row r="156" spans="3:22" x14ac:dyDescent="0.3">
      <c r="C156" s="17"/>
      <c r="F156"/>
      <c r="O156" s="9"/>
      <c r="T156" s="10"/>
      <c r="U156" s="10"/>
      <c r="V156" s="10"/>
    </row>
    <row r="157" spans="3:22" x14ac:dyDescent="0.3">
      <c r="C157" s="17"/>
      <c r="F157"/>
      <c r="O157" s="9"/>
      <c r="T157" s="10"/>
      <c r="U157" s="10"/>
      <c r="V157" s="10"/>
    </row>
    <row r="158" spans="3:22" x14ac:dyDescent="0.3">
      <c r="C158" s="17"/>
      <c r="F158"/>
      <c r="O158" s="9"/>
      <c r="T158" s="10"/>
      <c r="U158" s="10"/>
      <c r="V158" s="10"/>
    </row>
    <row r="159" spans="3:22" x14ac:dyDescent="0.3">
      <c r="C159" s="17"/>
      <c r="F159"/>
      <c r="O159" s="9"/>
      <c r="T159" s="10"/>
      <c r="U159" s="10"/>
      <c r="V159" s="10"/>
    </row>
    <row r="160" spans="3:22" x14ac:dyDescent="0.3">
      <c r="C160" s="17"/>
      <c r="F160"/>
      <c r="O160" s="9"/>
      <c r="T160" s="10"/>
      <c r="U160" s="10"/>
      <c r="V160" s="10"/>
    </row>
    <row r="161" spans="3:22" x14ac:dyDescent="0.3">
      <c r="C161" s="17"/>
      <c r="F161"/>
      <c r="O161" s="9"/>
      <c r="T161" s="10"/>
      <c r="U161" s="10"/>
      <c r="V161" s="10"/>
    </row>
    <row r="162" spans="3:22" x14ac:dyDescent="0.3">
      <c r="C162" s="17"/>
      <c r="F162"/>
      <c r="O162" s="9"/>
      <c r="T162" s="10"/>
      <c r="U162" s="10"/>
      <c r="V162" s="10"/>
    </row>
    <row r="163" spans="3:22" x14ac:dyDescent="0.3">
      <c r="C163" s="17"/>
      <c r="F163"/>
      <c r="O163" s="9"/>
      <c r="T163" s="10"/>
      <c r="U163" s="10"/>
      <c r="V163" s="10"/>
    </row>
    <row r="164" spans="3:22" x14ac:dyDescent="0.3">
      <c r="C164" s="17"/>
      <c r="F164"/>
      <c r="O164" s="9"/>
      <c r="T164" s="10"/>
      <c r="U164" s="10"/>
      <c r="V164" s="10"/>
    </row>
    <row r="165" spans="3:22" x14ac:dyDescent="0.3">
      <c r="C165" s="17"/>
      <c r="F165"/>
      <c r="O165" s="9"/>
      <c r="T165" s="10"/>
      <c r="U165" s="10"/>
      <c r="V165" s="10"/>
    </row>
    <row r="166" spans="3:22" x14ac:dyDescent="0.3">
      <c r="C166" s="17"/>
      <c r="F166"/>
      <c r="O166" s="9"/>
      <c r="T166" s="10"/>
      <c r="U166" s="10"/>
      <c r="V166" s="10"/>
    </row>
    <row r="167" spans="3:22" x14ac:dyDescent="0.3">
      <c r="C167" s="17"/>
      <c r="F167"/>
      <c r="O167" s="9"/>
      <c r="T167" s="10"/>
      <c r="U167" s="10"/>
      <c r="V167" s="10"/>
    </row>
    <row r="168" spans="3:22" x14ac:dyDescent="0.3">
      <c r="C168" s="17"/>
      <c r="F168"/>
      <c r="O168" s="9"/>
      <c r="T168" s="10"/>
      <c r="U168" s="10"/>
      <c r="V168" s="10"/>
    </row>
    <row r="169" spans="3:22" x14ac:dyDescent="0.3">
      <c r="C169" s="17"/>
      <c r="F169"/>
      <c r="O169" s="9"/>
      <c r="T169" s="10"/>
      <c r="U169" s="10"/>
      <c r="V169" s="10"/>
    </row>
    <row r="170" spans="3:22" x14ac:dyDescent="0.3">
      <c r="C170" s="17"/>
      <c r="F170"/>
      <c r="O170" s="9"/>
      <c r="T170" s="10"/>
      <c r="U170" s="10"/>
      <c r="V170" s="10"/>
    </row>
    <row r="171" spans="3:22" x14ac:dyDescent="0.3">
      <c r="C171" s="17"/>
      <c r="F171"/>
      <c r="O171" s="9"/>
      <c r="T171" s="10"/>
      <c r="U171" s="10"/>
      <c r="V171" s="10"/>
    </row>
    <row r="172" spans="3:22" x14ac:dyDescent="0.3">
      <c r="C172" s="17"/>
      <c r="F172"/>
      <c r="O172" s="9"/>
      <c r="T172" s="10"/>
      <c r="U172" s="10"/>
      <c r="V172" s="10"/>
    </row>
    <row r="173" spans="3:22" x14ac:dyDescent="0.3">
      <c r="C173" s="17"/>
      <c r="F173"/>
      <c r="O173" s="9"/>
      <c r="T173" s="10"/>
      <c r="U173" s="10"/>
      <c r="V173" s="10"/>
    </row>
    <row r="174" spans="3:22" x14ac:dyDescent="0.3">
      <c r="C174" s="17"/>
      <c r="F174"/>
      <c r="O174" s="9"/>
      <c r="T174" s="10"/>
      <c r="U174" s="10"/>
      <c r="V174" s="10"/>
    </row>
    <row r="175" spans="3:22" x14ac:dyDescent="0.3">
      <c r="C175" s="17"/>
      <c r="F175"/>
      <c r="O175" s="9"/>
      <c r="T175" s="10"/>
      <c r="U175" s="10"/>
      <c r="V175" s="10"/>
    </row>
    <row r="176" spans="3:22" x14ac:dyDescent="0.3">
      <c r="C176" s="17"/>
      <c r="F176"/>
      <c r="O176" s="9"/>
      <c r="T176" s="10"/>
      <c r="U176" s="10"/>
      <c r="V176" s="10"/>
    </row>
    <row r="177" spans="3:22" x14ac:dyDescent="0.3">
      <c r="C177" s="17"/>
      <c r="F177"/>
      <c r="O177" s="9"/>
      <c r="T177" s="10"/>
      <c r="U177" s="10"/>
      <c r="V177" s="10"/>
    </row>
    <row r="178" spans="3:22" x14ac:dyDescent="0.3">
      <c r="C178" s="17"/>
      <c r="F178"/>
      <c r="O178" s="9"/>
      <c r="T178" s="10"/>
      <c r="U178" s="10"/>
      <c r="V178" s="10"/>
    </row>
    <row r="179" spans="3:22" x14ac:dyDescent="0.3">
      <c r="C179" s="17"/>
      <c r="F179"/>
      <c r="O179" s="9"/>
      <c r="T179" s="10"/>
      <c r="U179" s="10"/>
      <c r="V179" s="10"/>
    </row>
    <row r="180" spans="3:22" x14ac:dyDescent="0.3">
      <c r="C180" s="17"/>
      <c r="F180"/>
      <c r="O180" s="9"/>
      <c r="T180" s="10"/>
      <c r="U180" s="10"/>
      <c r="V180" s="10"/>
    </row>
    <row r="181" spans="3:22" x14ac:dyDescent="0.3">
      <c r="C181" s="17"/>
      <c r="F181"/>
      <c r="O181" s="9"/>
      <c r="T181" s="10"/>
      <c r="U181" s="10"/>
      <c r="V181" s="10"/>
    </row>
    <row r="182" spans="3:22" x14ac:dyDescent="0.3">
      <c r="C182" s="17"/>
      <c r="F182"/>
      <c r="O182" s="9"/>
      <c r="T182" s="10"/>
      <c r="U182" s="10"/>
      <c r="V182" s="10"/>
    </row>
    <row r="183" spans="3:22" x14ac:dyDescent="0.3">
      <c r="C183" s="17"/>
      <c r="F183"/>
      <c r="O183" s="9"/>
      <c r="T183" s="10"/>
      <c r="U183" s="10"/>
      <c r="V183" s="10"/>
    </row>
    <row r="184" spans="3:22" x14ac:dyDescent="0.3">
      <c r="C184" s="17"/>
      <c r="F184"/>
      <c r="O184" s="9"/>
      <c r="T184" s="10"/>
      <c r="U184" s="10"/>
      <c r="V184" s="10"/>
    </row>
    <row r="185" spans="3:22" x14ac:dyDescent="0.3">
      <c r="C185" s="17"/>
      <c r="F185"/>
      <c r="O185" s="9"/>
      <c r="T185" s="10"/>
      <c r="U185" s="10"/>
      <c r="V185" s="10"/>
    </row>
    <row r="186" spans="3:22" x14ac:dyDescent="0.3">
      <c r="C186" s="17"/>
      <c r="F186"/>
      <c r="O186" s="9"/>
      <c r="T186" s="10"/>
      <c r="U186" s="10"/>
      <c r="V186" s="10"/>
    </row>
    <row r="187" spans="3:22" x14ac:dyDescent="0.3">
      <c r="C187" s="17"/>
      <c r="F187"/>
      <c r="O187" s="9"/>
      <c r="T187" s="10"/>
      <c r="U187" s="10"/>
      <c r="V187" s="10"/>
    </row>
    <row r="188" spans="3:22" x14ac:dyDescent="0.3">
      <c r="C188" s="17"/>
      <c r="F188"/>
      <c r="O188" s="9"/>
      <c r="T188" s="10"/>
      <c r="U188" s="10"/>
      <c r="V188" s="10"/>
    </row>
    <row r="189" spans="3:22" x14ac:dyDescent="0.3">
      <c r="C189" s="17"/>
      <c r="F189"/>
      <c r="O189" s="9"/>
      <c r="T189" s="10"/>
      <c r="U189" s="10"/>
      <c r="V189" s="10"/>
    </row>
    <row r="190" spans="3:22" x14ac:dyDescent="0.3">
      <c r="C190" s="17"/>
      <c r="F190"/>
      <c r="O190" s="9"/>
      <c r="T190" s="10"/>
      <c r="U190" s="10"/>
      <c r="V190" s="10"/>
    </row>
    <row r="191" spans="3:22" x14ac:dyDescent="0.3">
      <c r="C191" s="17"/>
      <c r="F191"/>
      <c r="O191" s="9"/>
      <c r="T191" s="10"/>
      <c r="U191" s="10"/>
      <c r="V191" s="10"/>
    </row>
    <row r="192" spans="3:22" x14ac:dyDescent="0.3">
      <c r="C192" s="17"/>
      <c r="F192"/>
      <c r="O192" s="9"/>
      <c r="T192" s="10"/>
      <c r="U192" s="10"/>
      <c r="V192" s="10"/>
    </row>
    <row r="193" spans="3:22" x14ac:dyDescent="0.3">
      <c r="C193" s="17"/>
      <c r="F193"/>
      <c r="O193" s="9"/>
      <c r="T193" s="10"/>
      <c r="U193" s="10"/>
      <c r="V193" s="10"/>
    </row>
    <row r="194" spans="3:22" x14ac:dyDescent="0.3">
      <c r="C194" s="17"/>
      <c r="F194"/>
      <c r="O194" s="9"/>
      <c r="T194" s="10"/>
      <c r="U194" s="10"/>
      <c r="V194" s="10"/>
    </row>
    <row r="195" spans="3:22" x14ac:dyDescent="0.3">
      <c r="C195" s="17"/>
      <c r="F195"/>
      <c r="O195" s="9"/>
      <c r="T195" s="10"/>
      <c r="U195" s="10"/>
      <c r="V195" s="10"/>
    </row>
    <row r="196" spans="3:22" x14ac:dyDescent="0.3">
      <c r="C196" s="17"/>
      <c r="F196"/>
      <c r="O196" s="9"/>
      <c r="T196" s="10"/>
      <c r="U196" s="10"/>
      <c r="V196" s="10"/>
    </row>
    <row r="197" spans="3:22" x14ac:dyDescent="0.3">
      <c r="C197" s="17"/>
      <c r="F197"/>
      <c r="O197" s="9"/>
      <c r="T197" s="10"/>
      <c r="U197" s="10"/>
      <c r="V197" s="10"/>
    </row>
    <row r="198" spans="3:22" x14ac:dyDescent="0.3">
      <c r="C198" s="17"/>
      <c r="F198"/>
      <c r="O198" s="9"/>
      <c r="T198" s="10"/>
      <c r="U198" s="10"/>
      <c r="V198" s="10"/>
    </row>
    <row r="199" spans="3:22" x14ac:dyDescent="0.3">
      <c r="C199" s="17"/>
      <c r="F199"/>
      <c r="O199" s="9"/>
      <c r="T199" s="10"/>
      <c r="U199" s="10"/>
      <c r="V199" s="10"/>
    </row>
    <row r="200" spans="3:22" x14ac:dyDescent="0.3">
      <c r="C200" s="17"/>
      <c r="F200"/>
      <c r="O200" s="9"/>
      <c r="T200" s="10"/>
      <c r="U200" s="10"/>
      <c r="V200" s="10"/>
    </row>
    <row r="201" spans="3:22" x14ac:dyDescent="0.3">
      <c r="C201" s="17"/>
      <c r="F201"/>
      <c r="O201" s="9"/>
      <c r="T201" s="10"/>
      <c r="U201" s="10"/>
      <c r="V201" s="10"/>
    </row>
    <row r="202" spans="3:22" x14ac:dyDescent="0.3">
      <c r="C202" s="17"/>
      <c r="F202"/>
      <c r="O202" s="9"/>
      <c r="T202" s="10"/>
      <c r="U202" s="10"/>
      <c r="V202" s="10"/>
    </row>
    <row r="203" spans="3:22" x14ac:dyDescent="0.3">
      <c r="C203" s="17"/>
      <c r="F203"/>
      <c r="O203" s="9"/>
      <c r="T203" s="10"/>
      <c r="U203" s="10"/>
      <c r="V203" s="10"/>
    </row>
    <row r="204" spans="3:22" x14ac:dyDescent="0.3">
      <c r="C204" s="17"/>
      <c r="F204"/>
      <c r="O204" s="9"/>
      <c r="T204" s="10"/>
      <c r="U204" s="10"/>
      <c r="V204" s="10"/>
    </row>
    <row r="205" spans="3:22" x14ac:dyDescent="0.3">
      <c r="C205" s="17"/>
      <c r="F205"/>
      <c r="O205" s="9"/>
      <c r="T205" s="10"/>
      <c r="U205" s="10"/>
      <c r="V205" s="10"/>
    </row>
    <row r="206" spans="3:22" x14ac:dyDescent="0.3">
      <c r="C206" s="17"/>
      <c r="F206"/>
      <c r="O206" s="9"/>
      <c r="T206" s="10"/>
      <c r="U206" s="10"/>
      <c r="V206" s="10"/>
    </row>
    <row r="207" spans="3:22" x14ac:dyDescent="0.3">
      <c r="C207" s="17"/>
      <c r="F207"/>
      <c r="O207" s="9"/>
      <c r="T207" s="10"/>
      <c r="U207" s="10"/>
      <c r="V207" s="10"/>
    </row>
    <row r="208" spans="3:22" x14ac:dyDescent="0.3">
      <c r="C208" s="17"/>
      <c r="F208"/>
      <c r="O208" s="9"/>
      <c r="T208" s="10"/>
      <c r="U208" s="10"/>
      <c r="V208" s="10"/>
    </row>
    <row r="209" spans="3:22" x14ac:dyDescent="0.3">
      <c r="C209" s="17"/>
      <c r="F209"/>
      <c r="O209" s="9"/>
      <c r="T209" s="10"/>
      <c r="U209" s="10"/>
      <c r="V209" s="10"/>
    </row>
    <row r="210" spans="3:22" x14ac:dyDescent="0.3">
      <c r="C210" s="17"/>
      <c r="F210"/>
      <c r="O210" s="9"/>
      <c r="T210" s="10"/>
      <c r="U210" s="10"/>
      <c r="V210" s="10"/>
    </row>
    <row r="211" spans="3:22" x14ac:dyDescent="0.3">
      <c r="C211" s="17"/>
      <c r="F211"/>
      <c r="O211" s="9"/>
      <c r="T211" s="10"/>
      <c r="U211" s="10"/>
      <c r="V211" s="10"/>
    </row>
    <row r="212" spans="3:22" x14ac:dyDescent="0.3">
      <c r="C212" s="17"/>
      <c r="F212"/>
      <c r="O212" s="9"/>
      <c r="T212" s="10"/>
      <c r="U212" s="10"/>
      <c r="V212" s="10"/>
    </row>
    <row r="213" spans="3:22" x14ac:dyDescent="0.3">
      <c r="C213" s="17"/>
      <c r="F213"/>
      <c r="O213" s="9"/>
      <c r="T213" s="10"/>
      <c r="U213" s="10"/>
      <c r="V213" s="10"/>
    </row>
    <row r="214" spans="3:22" x14ac:dyDescent="0.3">
      <c r="C214" s="17"/>
      <c r="F214"/>
      <c r="O214" s="9"/>
      <c r="T214" s="10"/>
      <c r="U214" s="10"/>
      <c r="V214" s="10"/>
    </row>
    <row r="215" spans="3:22" x14ac:dyDescent="0.3">
      <c r="C215" s="17"/>
      <c r="F215"/>
      <c r="O215" s="9"/>
      <c r="T215" s="10"/>
      <c r="U215" s="10"/>
      <c r="V215" s="10"/>
    </row>
    <row r="216" spans="3:22" x14ac:dyDescent="0.3">
      <c r="C216" s="17"/>
      <c r="F216"/>
      <c r="O216" s="9"/>
      <c r="T216" s="10"/>
      <c r="U216" s="10"/>
      <c r="V216" s="10"/>
    </row>
    <row r="217" spans="3:22" x14ac:dyDescent="0.3">
      <c r="C217" s="17"/>
      <c r="F217"/>
      <c r="O217" s="9"/>
      <c r="T217" s="10"/>
      <c r="U217" s="10"/>
      <c r="V217" s="10"/>
    </row>
    <row r="218" spans="3:22" x14ac:dyDescent="0.3">
      <c r="C218" s="17"/>
      <c r="F218"/>
      <c r="O218" s="9"/>
      <c r="T218" s="10"/>
      <c r="U218" s="10"/>
      <c r="V218" s="10"/>
    </row>
    <row r="219" spans="3:22" x14ac:dyDescent="0.3">
      <c r="C219" s="17"/>
      <c r="F219"/>
      <c r="O219" s="9"/>
      <c r="T219" s="10"/>
      <c r="U219" s="10"/>
      <c r="V219" s="10"/>
    </row>
    <row r="220" spans="3:22" x14ac:dyDescent="0.3">
      <c r="C220" s="18"/>
      <c r="F220"/>
      <c r="O220" s="9"/>
      <c r="T220" s="10"/>
      <c r="U220" s="10"/>
      <c r="V220" s="10"/>
    </row>
    <row r="221" spans="3:22" x14ac:dyDescent="0.3">
      <c r="C221" s="17"/>
      <c r="F221"/>
      <c r="O221" s="9"/>
      <c r="T221" s="10"/>
      <c r="U221" s="10"/>
      <c r="V221" s="10"/>
    </row>
    <row r="222" spans="3:22" x14ac:dyDescent="0.3">
      <c r="C222" s="18"/>
      <c r="F222"/>
      <c r="O222" s="9"/>
      <c r="T222" s="10"/>
      <c r="U222" s="10"/>
      <c r="V222" s="10"/>
    </row>
    <row r="223" spans="3:22" x14ac:dyDescent="0.3">
      <c r="C223" s="17"/>
      <c r="F223"/>
      <c r="O223" s="9"/>
      <c r="T223" s="10"/>
      <c r="U223" s="10"/>
      <c r="V223" s="10"/>
    </row>
    <row r="224" spans="3:22" x14ac:dyDescent="0.3">
      <c r="C224" s="18"/>
      <c r="F224"/>
      <c r="O224" s="9"/>
      <c r="T224" s="10"/>
      <c r="U224" s="10"/>
      <c r="V224" s="10"/>
    </row>
    <row r="225" spans="3:22" x14ac:dyDescent="0.3">
      <c r="C225" s="17"/>
      <c r="F225"/>
      <c r="O225" s="9"/>
      <c r="T225" s="10"/>
      <c r="U225" s="10"/>
      <c r="V225" s="10"/>
    </row>
    <row r="226" spans="3:22" x14ac:dyDescent="0.3">
      <c r="C226" s="18"/>
      <c r="F226"/>
      <c r="O226" s="9"/>
      <c r="T226" s="10"/>
      <c r="U226" s="10"/>
      <c r="V226" s="10"/>
    </row>
    <row r="227" spans="3:22" x14ac:dyDescent="0.3">
      <c r="C227" s="17"/>
      <c r="F227"/>
      <c r="O227" s="9"/>
      <c r="T227" s="10"/>
      <c r="U227" s="10"/>
      <c r="V227" s="10"/>
    </row>
    <row r="228" spans="3:22" x14ac:dyDescent="0.3">
      <c r="C228" s="17"/>
      <c r="F228"/>
      <c r="O228" s="9"/>
      <c r="T228" s="10"/>
      <c r="U228" s="10"/>
      <c r="V228" s="10"/>
    </row>
    <row r="229" spans="3:22" x14ac:dyDescent="0.3">
      <c r="C229" s="17"/>
      <c r="F229"/>
      <c r="O229" s="9"/>
      <c r="T229" s="10"/>
      <c r="U229" s="10"/>
      <c r="V229" s="10"/>
    </row>
    <row r="230" spans="3:22" x14ac:dyDescent="0.3">
      <c r="C230" s="17"/>
      <c r="F230"/>
      <c r="O230" s="9"/>
      <c r="T230" s="10"/>
      <c r="U230" s="10"/>
      <c r="V230" s="10"/>
    </row>
    <row r="231" spans="3:22" x14ac:dyDescent="0.3">
      <c r="C231" s="17"/>
      <c r="F231"/>
      <c r="O231" s="9"/>
      <c r="T231" s="10"/>
      <c r="U231" s="10"/>
      <c r="V231" s="10"/>
    </row>
    <row r="232" spans="3:22" x14ac:dyDescent="0.3">
      <c r="C232" s="17"/>
      <c r="F232"/>
      <c r="O232" s="9"/>
      <c r="T232" s="10"/>
      <c r="U232" s="10"/>
      <c r="V232" s="10"/>
    </row>
    <row r="233" spans="3:22" x14ac:dyDescent="0.3">
      <c r="C233" s="17"/>
      <c r="F233"/>
      <c r="O233" s="9"/>
      <c r="T233" s="10"/>
      <c r="U233" s="10"/>
      <c r="V233" s="10"/>
    </row>
    <row r="234" spans="3:22" x14ac:dyDescent="0.3">
      <c r="C234" s="17"/>
      <c r="F234"/>
      <c r="O234" s="9"/>
      <c r="T234" s="10"/>
      <c r="U234" s="10"/>
      <c r="V234" s="10"/>
    </row>
    <row r="235" spans="3:22" x14ac:dyDescent="0.3">
      <c r="C235" s="17"/>
      <c r="F235"/>
      <c r="O235" s="9"/>
      <c r="T235" s="10"/>
      <c r="U235" s="10"/>
      <c r="V235" s="10"/>
    </row>
    <row r="236" spans="3:22" x14ac:dyDescent="0.3">
      <c r="C236" s="17"/>
      <c r="F236"/>
      <c r="O236" s="9"/>
      <c r="T236" s="10"/>
      <c r="U236" s="10"/>
      <c r="V236" s="10"/>
    </row>
    <row r="237" spans="3:22" x14ac:dyDescent="0.3">
      <c r="C237" s="17"/>
      <c r="F237"/>
      <c r="O237" s="9"/>
      <c r="T237" s="10"/>
      <c r="U237" s="10"/>
      <c r="V237" s="10"/>
    </row>
    <row r="238" spans="3:22" x14ac:dyDescent="0.3">
      <c r="C238" s="17"/>
      <c r="F238"/>
      <c r="O238" s="9"/>
      <c r="T238" s="10"/>
      <c r="U238" s="10"/>
      <c r="V238" s="10"/>
    </row>
    <row r="239" spans="3:22" x14ac:dyDescent="0.3">
      <c r="C239" s="17"/>
      <c r="F239"/>
      <c r="O239" s="9"/>
      <c r="T239" s="10"/>
      <c r="U239" s="10"/>
      <c r="V239" s="10"/>
    </row>
    <row r="240" spans="3:22" x14ac:dyDescent="0.3">
      <c r="C240" s="17"/>
      <c r="F240"/>
      <c r="O240" s="9"/>
      <c r="T240" s="10"/>
      <c r="U240" s="10"/>
      <c r="V240" s="10"/>
    </row>
    <row r="241" spans="3:22" x14ac:dyDescent="0.3">
      <c r="C241" s="17"/>
      <c r="F241"/>
      <c r="O241" s="9"/>
      <c r="T241" s="10"/>
      <c r="U241" s="10"/>
      <c r="V241" s="10"/>
    </row>
    <row r="242" spans="3:22" x14ac:dyDescent="0.3">
      <c r="C242" s="17"/>
      <c r="F242"/>
      <c r="O242" s="9"/>
      <c r="T242" s="10"/>
      <c r="U242" s="10"/>
      <c r="V242" s="10"/>
    </row>
    <row r="243" spans="3:22" x14ac:dyDescent="0.3">
      <c r="C243" s="17"/>
      <c r="F243"/>
      <c r="O243" s="9"/>
      <c r="T243" s="10"/>
      <c r="U243" s="10"/>
      <c r="V243" s="10"/>
    </row>
    <row r="244" spans="3:22" x14ac:dyDescent="0.3">
      <c r="C244" s="17"/>
      <c r="F244"/>
      <c r="O244" s="9"/>
      <c r="T244" s="10"/>
      <c r="U244" s="10"/>
      <c r="V244" s="10"/>
    </row>
    <row r="245" spans="3:22" x14ac:dyDescent="0.3">
      <c r="C245" s="17"/>
      <c r="F245"/>
      <c r="O245" s="9"/>
      <c r="T245" s="10"/>
      <c r="U245" s="10"/>
      <c r="V245" s="10"/>
    </row>
    <row r="246" spans="3:22" x14ac:dyDescent="0.3">
      <c r="C246" s="17"/>
      <c r="F246"/>
      <c r="O246" s="9"/>
      <c r="T246" s="10"/>
      <c r="U246" s="10"/>
      <c r="V246" s="10"/>
    </row>
    <row r="247" spans="3:22" x14ac:dyDescent="0.3">
      <c r="C247" s="17"/>
      <c r="F247"/>
      <c r="O247" s="9"/>
      <c r="T247" s="10"/>
      <c r="U247" s="10"/>
      <c r="V247" s="10"/>
    </row>
    <row r="248" spans="3:22" x14ac:dyDescent="0.3">
      <c r="C248" s="17"/>
      <c r="F248"/>
      <c r="O248" s="9"/>
      <c r="T248" s="10"/>
      <c r="U248" s="10"/>
      <c r="V248" s="10"/>
    </row>
    <row r="249" spans="3:22" x14ac:dyDescent="0.3">
      <c r="C249" s="17"/>
      <c r="F249"/>
      <c r="O249" s="9"/>
      <c r="T249" s="10"/>
      <c r="U249" s="10"/>
      <c r="V249" s="10"/>
    </row>
    <row r="250" spans="3:22" x14ac:dyDescent="0.3">
      <c r="C250" s="17"/>
      <c r="F250"/>
      <c r="O250" s="9"/>
      <c r="T250" s="10"/>
      <c r="U250" s="10"/>
      <c r="V250" s="10"/>
    </row>
    <row r="251" spans="3:22" x14ac:dyDescent="0.3">
      <c r="C251" s="17"/>
      <c r="F251"/>
      <c r="O251" s="9"/>
      <c r="T251" s="10"/>
      <c r="U251" s="10"/>
      <c r="V251" s="10"/>
    </row>
    <row r="252" spans="3:22" x14ac:dyDescent="0.3">
      <c r="C252" s="17"/>
      <c r="F252"/>
      <c r="O252" s="9"/>
      <c r="T252" s="10"/>
      <c r="U252" s="10"/>
      <c r="V252" s="10"/>
    </row>
    <row r="253" spans="3:22" x14ac:dyDescent="0.3">
      <c r="C253" s="17"/>
      <c r="F253"/>
      <c r="O253" s="9"/>
      <c r="T253" s="10"/>
      <c r="U253" s="10"/>
      <c r="V253" s="10"/>
    </row>
    <row r="254" spans="3:22" x14ac:dyDescent="0.3">
      <c r="C254" s="17"/>
      <c r="F254"/>
      <c r="O254" s="9"/>
      <c r="T254" s="10"/>
      <c r="U254" s="10"/>
      <c r="V254" s="10"/>
    </row>
    <row r="255" spans="3:22" x14ac:dyDescent="0.3">
      <c r="C255" s="17"/>
      <c r="F255"/>
      <c r="O255" s="9"/>
      <c r="T255" s="10"/>
      <c r="U255" s="10"/>
      <c r="V255" s="10"/>
    </row>
    <row r="256" spans="3:22" x14ac:dyDescent="0.3">
      <c r="C256" s="17"/>
      <c r="F256"/>
      <c r="O256" s="9"/>
      <c r="T256" s="10"/>
      <c r="U256" s="10"/>
      <c r="V256" s="10"/>
    </row>
    <row r="257" spans="3:22" x14ac:dyDescent="0.3">
      <c r="C257" s="17"/>
      <c r="F257"/>
      <c r="O257" s="9"/>
      <c r="T257" s="10"/>
      <c r="U257" s="10"/>
      <c r="V257" s="10"/>
    </row>
    <row r="258" spans="3:22" x14ac:dyDescent="0.3">
      <c r="C258" s="17"/>
      <c r="F258"/>
      <c r="O258" s="9"/>
      <c r="T258" s="10"/>
      <c r="U258" s="10"/>
      <c r="V258" s="10"/>
    </row>
    <row r="259" spans="3:22" x14ac:dyDescent="0.3">
      <c r="C259" s="17"/>
      <c r="F259"/>
      <c r="O259" s="9"/>
      <c r="T259" s="10"/>
      <c r="U259" s="10"/>
      <c r="V259" s="10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3950D-9392-464D-AEC6-1BF1E0B2AE52}">
  <sheetPr codeName="Sheet4"/>
  <dimension ref="A1:X109"/>
  <sheetViews>
    <sheetView zoomScale="85" zoomScaleNormal="85" workbookViewId="0">
      <selection activeCell="G1" sqref="G1:R1"/>
    </sheetView>
  </sheetViews>
  <sheetFormatPr defaultRowHeight="16.5" x14ac:dyDescent="0.3"/>
  <cols>
    <col min="1" max="1" width="16.25" bestFit="1" customWidth="1"/>
    <col min="2" max="2" width="9" bestFit="1" customWidth="1"/>
    <col min="3" max="3" width="10.125" bestFit="1" customWidth="1"/>
    <col min="4" max="5" width="10.375" bestFit="1" customWidth="1"/>
    <col min="6" max="6" width="11" bestFit="1" customWidth="1"/>
    <col min="7" max="9" width="3.75" bestFit="1" customWidth="1"/>
    <col min="10" max="13" width="5.25" bestFit="1" customWidth="1"/>
    <col min="14" max="14" width="9.5" bestFit="1" customWidth="1"/>
    <col min="15" max="18" width="5.875" bestFit="1" customWidth="1"/>
    <col min="19" max="19" width="7.875" bestFit="1" customWidth="1"/>
    <col min="20" max="20" width="11" bestFit="1" customWidth="1"/>
    <col min="21" max="21" width="18.5" bestFit="1" customWidth="1"/>
    <col min="22" max="22" width="15" bestFit="1" customWidth="1"/>
    <col min="23" max="23" width="6.625" bestFit="1" customWidth="1"/>
    <col min="24" max="24" width="10.875" bestFit="1" customWidth="1"/>
  </cols>
  <sheetData>
    <row r="1" spans="1:24" ht="33" x14ac:dyDescent="0.3">
      <c r="A1" s="3" t="s">
        <v>102</v>
      </c>
      <c r="B1" s="2" t="s">
        <v>103</v>
      </c>
      <c r="C1" s="3" t="s">
        <v>104</v>
      </c>
      <c r="D1" s="3" t="s">
        <v>105</v>
      </c>
      <c r="E1" s="3" t="s">
        <v>106</v>
      </c>
      <c r="F1" s="3" t="s">
        <v>107</v>
      </c>
      <c r="G1" s="3" t="s">
        <v>108</v>
      </c>
      <c r="H1" s="3" t="s">
        <v>109</v>
      </c>
      <c r="I1" s="3" t="s">
        <v>110</v>
      </c>
      <c r="J1" s="3" t="s">
        <v>111</v>
      </c>
      <c r="K1" s="3" t="s">
        <v>112</v>
      </c>
      <c r="L1" s="3" t="s">
        <v>113</v>
      </c>
      <c r="M1" s="3" t="s">
        <v>114</v>
      </c>
      <c r="N1" s="3" t="s">
        <v>115</v>
      </c>
      <c r="O1" s="3" t="s">
        <v>116</v>
      </c>
      <c r="P1" s="3" t="s">
        <v>117</v>
      </c>
      <c r="Q1" s="3" t="s">
        <v>118</v>
      </c>
      <c r="R1" s="3" t="s">
        <v>119</v>
      </c>
      <c r="S1" s="7" t="s">
        <v>120</v>
      </c>
      <c r="T1" s="3" t="s">
        <v>121</v>
      </c>
      <c r="U1" s="3" t="s">
        <v>122</v>
      </c>
      <c r="V1" s="3" t="s">
        <v>123</v>
      </c>
      <c r="W1" s="3" t="s">
        <v>124</v>
      </c>
      <c r="X1" s="3" t="s">
        <v>125</v>
      </c>
    </row>
    <row r="2" spans="1:24" x14ac:dyDescent="0.3">
      <c r="B2" t="s">
        <v>4432</v>
      </c>
      <c r="C2" t="s">
        <v>4438</v>
      </c>
      <c r="F2">
        <v>0</v>
      </c>
      <c r="G2">
        <v>40</v>
      </c>
      <c r="H2">
        <f t="shared" ref="H2:H33" si="0">I2</f>
        <v>10</v>
      </c>
      <c r="I2">
        <v>10</v>
      </c>
      <c r="S2" t="s">
        <v>4456</v>
      </c>
      <c r="T2" t="s">
        <v>4434</v>
      </c>
      <c r="U2" t="s">
        <v>4435</v>
      </c>
      <c r="V2" t="s">
        <v>4436</v>
      </c>
    </row>
    <row r="3" spans="1:24" x14ac:dyDescent="0.3">
      <c r="B3" t="s">
        <v>4432</v>
      </c>
      <c r="C3" t="s">
        <v>4438</v>
      </c>
      <c r="F3">
        <v>0</v>
      </c>
      <c r="G3">
        <v>40</v>
      </c>
      <c r="H3">
        <f t="shared" si="0"/>
        <v>20</v>
      </c>
      <c r="I3">
        <v>20</v>
      </c>
      <c r="S3" t="s">
        <v>4456</v>
      </c>
      <c r="T3" t="s">
        <v>4434</v>
      </c>
      <c r="U3" t="s">
        <v>4435</v>
      </c>
      <c r="V3" t="s">
        <v>4436</v>
      </c>
    </row>
    <row r="4" spans="1:24" x14ac:dyDescent="0.3">
      <c r="B4" t="s">
        <v>4432</v>
      </c>
      <c r="C4" t="s">
        <v>4438</v>
      </c>
      <c r="F4">
        <v>0</v>
      </c>
      <c r="G4">
        <v>40</v>
      </c>
      <c r="H4">
        <f t="shared" si="0"/>
        <v>30</v>
      </c>
      <c r="I4">
        <v>30</v>
      </c>
      <c r="S4" t="s">
        <v>4456</v>
      </c>
      <c r="T4" t="s">
        <v>4434</v>
      </c>
      <c r="U4" t="s">
        <v>4435</v>
      </c>
      <c r="V4" t="s">
        <v>4436</v>
      </c>
    </row>
    <row r="5" spans="1:24" x14ac:dyDescent="0.3">
      <c r="B5" t="s">
        <v>4432</v>
      </c>
      <c r="C5" t="s">
        <v>4438</v>
      </c>
      <c r="F5">
        <v>10</v>
      </c>
      <c r="G5">
        <v>40</v>
      </c>
      <c r="H5">
        <f t="shared" si="0"/>
        <v>10</v>
      </c>
      <c r="I5">
        <v>10</v>
      </c>
      <c r="S5" t="s">
        <v>4456</v>
      </c>
      <c r="T5" t="s">
        <v>4434</v>
      </c>
      <c r="U5" t="s">
        <v>4435</v>
      </c>
      <c r="V5" t="s">
        <v>4436</v>
      </c>
    </row>
    <row r="6" spans="1:24" x14ac:dyDescent="0.3">
      <c r="B6" t="s">
        <v>4432</v>
      </c>
      <c r="C6" t="s">
        <v>4438</v>
      </c>
      <c r="F6">
        <v>20</v>
      </c>
      <c r="G6">
        <v>40</v>
      </c>
      <c r="H6">
        <f t="shared" si="0"/>
        <v>20</v>
      </c>
      <c r="I6">
        <v>20</v>
      </c>
      <c r="S6" t="s">
        <v>4456</v>
      </c>
      <c r="T6" t="s">
        <v>4434</v>
      </c>
      <c r="U6" t="s">
        <v>4435</v>
      </c>
      <c r="V6" t="s">
        <v>4436</v>
      </c>
    </row>
    <row r="7" spans="1:24" x14ac:dyDescent="0.3">
      <c r="B7" t="s">
        <v>4432</v>
      </c>
      <c r="C7" t="s">
        <v>4438</v>
      </c>
      <c r="F7">
        <v>30</v>
      </c>
      <c r="G7">
        <v>40</v>
      </c>
      <c r="H7">
        <f t="shared" si="0"/>
        <v>30</v>
      </c>
      <c r="I7">
        <v>30</v>
      </c>
      <c r="S7" t="s">
        <v>4456</v>
      </c>
      <c r="T7" t="s">
        <v>4434</v>
      </c>
      <c r="U7" t="s">
        <v>4435</v>
      </c>
      <c r="V7" t="s">
        <v>4436</v>
      </c>
    </row>
    <row r="8" spans="1:24" x14ac:dyDescent="0.3">
      <c r="B8" t="s">
        <v>4432</v>
      </c>
      <c r="C8" t="s">
        <v>4439</v>
      </c>
      <c r="F8">
        <v>0</v>
      </c>
      <c r="G8">
        <v>40</v>
      </c>
      <c r="H8">
        <f t="shared" si="0"/>
        <v>10</v>
      </c>
      <c r="I8">
        <v>10</v>
      </c>
      <c r="S8" t="s">
        <v>4456</v>
      </c>
      <c r="T8" t="s">
        <v>4434</v>
      </c>
      <c r="U8" t="s">
        <v>4435</v>
      </c>
      <c r="V8" t="s">
        <v>4436</v>
      </c>
    </row>
    <row r="9" spans="1:24" x14ac:dyDescent="0.3">
      <c r="B9" t="s">
        <v>4432</v>
      </c>
      <c r="C9" t="s">
        <v>4439</v>
      </c>
      <c r="F9">
        <v>0</v>
      </c>
      <c r="G9">
        <v>40</v>
      </c>
      <c r="H9">
        <f t="shared" si="0"/>
        <v>20</v>
      </c>
      <c r="I9">
        <v>20</v>
      </c>
      <c r="S9" t="s">
        <v>4456</v>
      </c>
      <c r="T9" t="s">
        <v>4434</v>
      </c>
      <c r="U9" t="s">
        <v>4435</v>
      </c>
      <c r="V9" t="s">
        <v>4436</v>
      </c>
    </row>
    <row r="10" spans="1:24" x14ac:dyDescent="0.3">
      <c r="B10" t="s">
        <v>4432</v>
      </c>
      <c r="C10" t="s">
        <v>4439</v>
      </c>
      <c r="F10">
        <v>0</v>
      </c>
      <c r="G10">
        <v>40</v>
      </c>
      <c r="H10">
        <f t="shared" si="0"/>
        <v>30</v>
      </c>
      <c r="I10">
        <v>30</v>
      </c>
      <c r="S10" t="s">
        <v>4456</v>
      </c>
      <c r="T10" t="s">
        <v>4434</v>
      </c>
      <c r="U10" t="s">
        <v>4435</v>
      </c>
      <c r="V10" t="s">
        <v>4436</v>
      </c>
    </row>
    <row r="11" spans="1:24" x14ac:dyDescent="0.3">
      <c r="B11" t="s">
        <v>4432</v>
      </c>
      <c r="C11" t="s">
        <v>4439</v>
      </c>
      <c r="F11">
        <v>10</v>
      </c>
      <c r="G11">
        <v>40</v>
      </c>
      <c r="H11">
        <f t="shared" si="0"/>
        <v>10</v>
      </c>
      <c r="I11">
        <v>10</v>
      </c>
      <c r="S11" t="s">
        <v>4456</v>
      </c>
      <c r="T11" t="s">
        <v>4434</v>
      </c>
      <c r="U11" t="s">
        <v>4435</v>
      </c>
      <c r="V11" t="s">
        <v>4436</v>
      </c>
    </row>
    <row r="12" spans="1:24" x14ac:dyDescent="0.3">
      <c r="B12" t="s">
        <v>4432</v>
      </c>
      <c r="C12" t="s">
        <v>4439</v>
      </c>
      <c r="F12">
        <v>20</v>
      </c>
      <c r="G12">
        <v>40</v>
      </c>
      <c r="H12">
        <f t="shared" si="0"/>
        <v>20</v>
      </c>
      <c r="I12">
        <v>20</v>
      </c>
      <c r="S12" t="s">
        <v>4456</v>
      </c>
      <c r="T12" t="s">
        <v>4434</v>
      </c>
      <c r="U12" t="s">
        <v>4435</v>
      </c>
      <c r="V12" t="s">
        <v>4436</v>
      </c>
    </row>
    <row r="13" spans="1:24" x14ac:dyDescent="0.3">
      <c r="B13" t="s">
        <v>4432</v>
      </c>
      <c r="C13" t="s">
        <v>4439</v>
      </c>
      <c r="F13">
        <v>30</v>
      </c>
      <c r="G13">
        <v>40</v>
      </c>
      <c r="H13">
        <f t="shared" si="0"/>
        <v>30</v>
      </c>
      <c r="I13">
        <v>30</v>
      </c>
      <c r="S13" t="s">
        <v>4456</v>
      </c>
      <c r="T13" t="s">
        <v>4434</v>
      </c>
      <c r="U13" t="s">
        <v>4435</v>
      </c>
      <c r="V13" t="s">
        <v>4436</v>
      </c>
    </row>
    <row r="14" spans="1:24" x14ac:dyDescent="0.3">
      <c r="B14" t="s">
        <v>4432</v>
      </c>
      <c r="C14" t="s">
        <v>4440</v>
      </c>
      <c r="F14">
        <v>0</v>
      </c>
      <c r="G14">
        <v>40</v>
      </c>
      <c r="H14">
        <f t="shared" si="0"/>
        <v>10</v>
      </c>
      <c r="I14">
        <v>10</v>
      </c>
      <c r="S14" t="s">
        <v>4456</v>
      </c>
      <c r="T14" t="s">
        <v>4434</v>
      </c>
      <c r="U14" t="s">
        <v>4435</v>
      </c>
      <c r="V14" t="s">
        <v>4436</v>
      </c>
    </row>
    <row r="15" spans="1:24" x14ac:dyDescent="0.3">
      <c r="B15" t="s">
        <v>4432</v>
      </c>
      <c r="C15" t="s">
        <v>4440</v>
      </c>
      <c r="F15">
        <v>0</v>
      </c>
      <c r="G15">
        <v>40</v>
      </c>
      <c r="H15">
        <f t="shared" si="0"/>
        <v>20</v>
      </c>
      <c r="I15">
        <v>20</v>
      </c>
      <c r="S15" t="s">
        <v>4456</v>
      </c>
      <c r="T15" t="s">
        <v>4434</v>
      </c>
      <c r="U15" t="s">
        <v>4435</v>
      </c>
      <c r="V15" t="s">
        <v>4436</v>
      </c>
    </row>
    <row r="16" spans="1:24" x14ac:dyDescent="0.3">
      <c r="B16" t="s">
        <v>4432</v>
      </c>
      <c r="C16" t="s">
        <v>4440</v>
      </c>
      <c r="F16">
        <v>0</v>
      </c>
      <c r="G16">
        <v>40</v>
      </c>
      <c r="H16">
        <f t="shared" si="0"/>
        <v>30</v>
      </c>
      <c r="I16">
        <v>30</v>
      </c>
      <c r="S16" t="s">
        <v>4456</v>
      </c>
      <c r="T16" t="s">
        <v>4434</v>
      </c>
      <c r="U16" t="s">
        <v>4435</v>
      </c>
      <c r="V16" t="s">
        <v>4436</v>
      </c>
    </row>
    <row r="17" spans="2:22" x14ac:dyDescent="0.3">
      <c r="B17" t="s">
        <v>4432</v>
      </c>
      <c r="C17" t="s">
        <v>4440</v>
      </c>
      <c r="F17">
        <v>10</v>
      </c>
      <c r="G17">
        <v>40</v>
      </c>
      <c r="H17">
        <f t="shared" si="0"/>
        <v>10</v>
      </c>
      <c r="I17">
        <v>10</v>
      </c>
      <c r="S17" t="s">
        <v>4456</v>
      </c>
      <c r="T17" t="s">
        <v>4434</v>
      </c>
      <c r="U17" t="s">
        <v>4435</v>
      </c>
      <c r="V17" t="s">
        <v>4436</v>
      </c>
    </row>
    <row r="18" spans="2:22" x14ac:dyDescent="0.3">
      <c r="B18" t="s">
        <v>4432</v>
      </c>
      <c r="C18" t="s">
        <v>4440</v>
      </c>
      <c r="F18">
        <v>20</v>
      </c>
      <c r="G18">
        <v>40</v>
      </c>
      <c r="H18">
        <f t="shared" si="0"/>
        <v>20</v>
      </c>
      <c r="I18">
        <v>20</v>
      </c>
      <c r="S18" t="s">
        <v>4456</v>
      </c>
      <c r="T18" t="s">
        <v>4434</v>
      </c>
      <c r="U18" t="s">
        <v>4435</v>
      </c>
      <c r="V18" t="s">
        <v>4436</v>
      </c>
    </row>
    <row r="19" spans="2:22" x14ac:dyDescent="0.3">
      <c r="B19" t="s">
        <v>4432</v>
      </c>
      <c r="C19" t="s">
        <v>4440</v>
      </c>
      <c r="F19">
        <v>30</v>
      </c>
      <c r="G19">
        <v>40</v>
      </c>
      <c r="H19">
        <f t="shared" si="0"/>
        <v>30</v>
      </c>
      <c r="I19">
        <v>30</v>
      </c>
      <c r="S19" t="s">
        <v>4456</v>
      </c>
      <c r="T19" t="s">
        <v>4434</v>
      </c>
      <c r="U19" t="s">
        <v>4435</v>
      </c>
      <c r="V19" t="s">
        <v>4436</v>
      </c>
    </row>
    <row r="20" spans="2:22" x14ac:dyDescent="0.3">
      <c r="B20" t="s">
        <v>4432</v>
      </c>
      <c r="C20" t="s">
        <v>4441</v>
      </c>
      <c r="F20">
        <v>0</v>
      </c>
      <c r="G20">
        <v>40</v>
      </c>
      <c r="H20">
        <f t="shared" si="0"/>
        <v>10</v>
      </c>
      <c r="I20">
        <v>10</v>
      </c>
      <c r="S20" t="s">
        <v>4456</v>
      </c>
      <c r="T20" t="s">
        <v>4434</v>
      </c>
      <c r="U20" t="s">
        <v>4435</v>
      </c>
      <c r="V20" t="s">
        <v>4436</v>
      </c>
    </row>
    <row r="21" spans="2:22" x14ac:dyDescent="0.3">
      <c r="B21" t="s">
        <v>4432</v>
      </c>
      <c r="C21" t="s">
        <v>4441</v>
      </c>
      <c r="F21">
        <v>0</v>
      </c>
      <c r="G21">
        <v>40</v>
      </c>
      <c r="H21">
        <f t="shared" si="0"/>
        <v>20</v>
      </c>
      <c r="I21">
        <v>20</v>
      </c>
      <c r="S21" t="s">
        <v>4456</v>
      </c>
      <c r="T21" t="s">
        <v>4434</v>
      </c>
      <c r="U21" t="s">
        <v>4435</v>
      </c>
      <c r="V21" t="s">
        <v>4436</v>
      </c>
    </row>
    <row r="22" spans="2:22" x14ac:dyDescent="0.3">
      <c r="B22" t="s">
        <v>4432</v>
      </c>
      <c r="C22" t="s">
        <v>4441</v>
      </c>
      <c r="F22">
        <v>0</v>
      </c>
      <c r="G22">
        <v>40</v>
      </c>
      <c r="H22">
        <f t="shared" si="0"/>
        <v>30</v>
      </c>
      <c r="I22">
        <v>30</v>
      </c>
      <c r="S22" t="s">
        <v>4456</v>
      </c>
      <c r="T22" t="s">
        <v>4434</v>
      </c>
      <c r="U22" t="s">
        <v>4435</v>
      </c>
      <c r="V22" t="s">
        <v>4436</v>
      </c>
    </row>
    <row r="23" spans="2:22" x14ac:dyDescent="0.3">
      <c r="B23" t="s">
        <v>4432</v>
      </c>
      <c r="C23" t="s">
        <v>4441</v>
      </c>
      <c r="F23">
        <v>10</v>
      </c>
      <c r="G23">
        <v>40</v>
      </c>
      <c r="H23">
        <f t="shared" si="0"/>
        <v>10</v>
      </c>
      <c r="I23">
        <v>10</v>
      </c>
      <c r="S23" t="s">
        <v>4456</v>
      </c>
      <c r="T23" t="s">
        <v>4434</v>
      </c>
      <c r="U23" t="s">
        <v>4435</v>
      </c>
      <c r="V23" t="s">
        <v>4436</v>
      </c>
    </row>
    <row r="24" spans="2:22" x14ac:dyDescent="0.3">
      <c r="B24" t="s">
        <v>4432</v>
      </c>
      <c r="C24" t="s">
        <v>4441</v>
      </c>
      <c r="F24">
        <v>20</v>
      </c>
      <c r="G24">
        <v>40</v>
      </c>
      <c r="H24">
        <f t="shared" si="0"/>
        <v>20</v>
      </c>
      <c r="I24">
        <v>20</v>
      </c>
      <c r="S24" t="s">
        <v>4456</v>
      </c>
      <c r="T24" t="s">
        <v>4434</v>
      </c>
      <c r="U24" t="s">
        <v>4435</v>
      </c>
      <c r="V24" t="s">
        <v>4436</v>
      </c>
    </row>
    <row r="25" spans="2:22" x14ac:dyDescent="0.3">
      <c r="B25" t="s">
        <v>4432</v>
      </c>
      <c r="C25" t="s">
        <v>4441</v>
      </c>
      <c r="F25">
        <v>30</v>
      </c>
      <c r="G25">
        <v>40</v>
      </c>
      <c r="H25">
        <f t="shared" si="0"/>
        <v>30</v>
      </c>
      <c r="I25">
        <v>30</v>
      </c>
      <c r="S25" t="s">
        <v>4456</v>
      </c>
      <c r="T25" t="s">
        <v>4434</v>
      </c>
      <c r="U25" t="s">
        <v>4435</v>
      </c>
      <c r="V25" t="s">
        <v>4436</v>
      </c>
    </row>
    <row r="26" spans="2:22" x14ac:dyDescent="0.3">
      <c r="B26" t="s">
        <v>4432</v>
      </c>
      <c r="C26" t="s">
        <v>4444</v>
      </c>
      <c r="F26">
        <v>0</v>
      </c>
      <c r="G26">
        <v>40</v>
      </c>
      <c r="H26">
        <f t="shared" si="0"/>
        <v>10</v>
      </c>
      <c r="I26">
        <v>10</v>
      </c>
      <c r="S26" t="s">
        <v>4456</v>
      </c>
      <c r="T26" t="s">
        <v>4434</v>
      </c>
      <c r="U26" t="s">
        <v>4435</v>
      </c>
      <c r="V26" t="s">
        <v>4436</v>
      </c>
    </row>
    <row r="27" spans="2:22" x14ac:dyDescent="0.3">
      <c r="B27" t="s">
        <v>4432</v>
      </c>
      <c r="C27" t="s">
        <v>4444</v>
      </c>
      <c r="F27">
        <v>0</v>
      </c>
      <c r="G27">
        <v>40</v>
      </c>
      <c r="H27">
        <f t="shared" si="0"/>
        <v>20</v>
      </c>
      <c r="I27">
        <v>20</v>
      </c>
      <c r="S27" t="s">
        <v>4456</v>
      </c>
      <c r="T27" t="s">
        <v>4434</v>
      </c>
      <c r="U27" t="s">
        <v>4435</v>
      </c>
      <c r="V27" t="s">
        <v>4436</v>
      </c>
    </row>
    <row r="28" spans="2:22" x14ac:dyDescent="0.3">
      <c r="B28" t="s">
        <v>4432</v>
      </c>
      <c r="C28" t="s">
        <v>4444</v>
      </c>
      <c r="F28">
        <v>0</v>
      </c>
      <c r="G28">
        <v>40</v>
      </c>
      <c r="H28">
        <f t="shared" si="0"/>
        <v>30</v>
      </c>
      <c r="I28">
        <v>30</v>
      </c>
      <c r="S28" t="s">
        <v>4456</v>
      </c>
      <c r="T28" t="s">
        <v>4434</v>
      </c>
      <c r="U28" t="s">
        <v>4435</v>
      </c>
      <c r="V28" t="s">
        <v>4436</v>
      </c>
    </row>
    <row r="29" spans="2:22" x14ac:dyDescent="0.3">
      <c r="B29" t="s">
        <v>4432</v>
      </c>
      <c r="C29" t="s">
        <v>4444</v>
      </c>
      <c r="F29">
        <v>10</v>
      </c>
      <c r="G29">
        <v>40</v>
      </c>
      <c r="H29">
        <f t="shared" si="0"/>
        <v>10</v>
      </c>
      <c r="I29">
        <v>10</v>
      </c>
      <c r="S29" t="s">
        <v>4456</v>
      </c>
      <c r="T29" t="s">
        <v>4434</v>
      </c>
      <c r="U29" t="s">
        <v>4435</v>
      </c>
      <c r="V29" t="s">
        <v>4436</v>
      </c>
    </row>
    <row r="30" spans="2:22" x14ac:dyDescent="0.3">
      <c r="B30" t="s">
        <v>4432</v>
      </c>
      <c r="C30" t="s">
        <v>4444</v>
      </c>
      <c r="F30">
        <v>20</v>
      </c>
      <c r="G30">
        <v>40</v>
      </c>
      <c r="H30">
        <f t="shared" si="0"/>
        <v>20</v>
      </c>
      <c r="I30">
        <v>20</v>
      </c>
      <c r="S30" t="s">
        <v>4456</v>
      </c>
      <c r="T30" t="s">
        <v>4434</v>
      </c>
      <c r="U30" t="s">
        <v>4435</v>
      </c>
      <c r="V30" t="s">
        <v>4436</v>
      </c>
    </row>
    <row r="31" spans="2:22" x14ac:dyDescent="0.3">
      <c r="B31" t="s">
        <v>4432</v>
      </c>
      <c r="C31" t="s">
        <v>4444</v>
      </c>
      <c r="F31">
        <v>30</v>
      </c>
      <c r="G31">
        <v>40</v>
      </c>
      <c r="H31">
        <f t="shared" si="0"/>
        <v>30</v>
      </c>
      <c r="I31">
        <v>30</v>
      </c>
      <c r="S31" t="s">
        <v>4456</v>
      </c>
      <c r="T31" t="s">
        <v>4434</v>
      </c>
      <c r="U31" t="s">
        <v>4435</v>
      </c>
      <c r="V31" t="s">
        <v>4436</v>
      </c>
    </row>
    <row r="32" spans="2:22" x14ac:dyDescent="0.3">
      <c r="B32" t="s">
        <v>4432</v>
      </c>
      <c r="C32" t="s">
        <v>4447</v>
      </c>
      <c r="F32">
        <v>0</v>
      </c>
      <c r="G32">
        <v>40</v>
      </c>
      <c r="H32">
        <f t="shared" si="0"/>
        <v>10</v>
      </c>
      <c r="I32">
        <v>10</v>
      </c>
      <c r="S32" t="s">
        <v>4456</v>
      </c>
      <c r="T32" t="s">
        <v>4434</v>
      </c>
      <c r="U32" t="s">
        <v>4435</v>
      </c>
      <c r="V32" t="s">
        <v>4436</v>
      </c>
    </row>
    <row r="33" spans="2:22" x14ac:dyDescent="0.3">
      <c r="B33" t="s">
        <v>4432</v>
      </c>
      <c r="C33" t="s">
        <v>4447</v>
      </c>
      <c r="F33">
        <v>0</v>
      </c>
      <c r="G33">
        <v>40</v>
      </c>
      <c r="H33">
        <f t="shared" si="0"/>
        <v>20</v>
      </c>
      <c r="I33">
        <v>20</v>
      </c>
      <c r="S33" t="s">
        <v>4456</v>
      </c>
      <c r="T33" t="s">
        <v>4434</v>
      </c>
      <c r="U33" t="s">
        <v>4435</v>
      </c>
      <c r="V33" t="s">
        <v>4436</v>
      </c>
    </row>
    <row r="34" spans="2:22" x14ac:dyDescent="0.3">
      <c r="B34" t="s">
        <v>4432</v>
      </c>
      <c r="C34" t="s">
        <v>4447</v>
      </c>
      <c r="F34">
        <v>0</v>
      </c>
      <c r="G34">
        <v>40</v>
      </c>
      <c r="H34">
        <f t="shared" ref="H34:H65" si="1">I34</f>
        <v>30</v>
      </c>
      <c r="I34">
        <v>30</v>
      </c>
      <c r="S34" t="s">
        <v>4456</v>
      </c>
      <c r="T34" t="s">
        <v>4434</v>
      </c>
      <c r="U34" t="s">
        <v>4435</v>
      </c>
      <c r="V34" t="s">
        <v>4436</v>
      </c>
    </row>
    <row r="35" spans="2:22" x14ac:dyDescent="0.3">
      <c r="B35" t="s">
        <v>4432</v>
      </c>
      <c r="C35" t="s">
        <v>4447</v>
      </c>
      <c r="F35">
        <v>10</v>
      </c>
      <c r="G35">
        <v>40</v>
      </c>
      <c r="H35">
        <f t="shared" si="1"/>
        <v>10</v>
      </c>
      <c r="I35">
        <v>10</v>
      </c>
      <c r="S35" t="s">
        <v>4456</v>
      </c>
      <c r="T35" t="s">
        <v>4434</v>
      </c>
      <c r="U35" t="s">
        <v>4435</v>
      </c>
      <c r="V35" t="s">
        <v>4436</v>
      </c>
    </row>
    <row r="36" spans="2:22" x14ac:dyDescent="0.3">
      <c r="B36" t="s">
        <v>4432</v>
      </c>
      <c r="C36" t="s">
        <v>4447</v>
      </c>
      <c r="F36">
        <v>20</v>
      </c>
      <c r="G36">
        <v>40</v>
      </c>
      <c r="H36">
        <f t="shared" si="1"/>
        <v>20</v>
      </c>
      <c r="I36">
        <v>20</v>
      </c>
      <c r="S36" t="s">
        <v>4456</v>
      </c>
      <c r="T36" t="s">
        <v>4434</v>
      </c>
      <c r="U36" t="s">
        <v>4435</v>
      </c>
      <c r="V36" t="s">
        <v>4436</v>
      </c>
    </row>
    <row r="37" spans="2:22" x14ac:dyDescent="0.3">
      <c r="B37" t="s">
        <v>4432</v>
      </c>
      <c r="C37" t="s">
        <v>4447</v>
      </c>
      <c r="F37">
        <v>30</v>
      </c>
      <c r="G37">
        <v>40</v>
      </c>
      <c r="H37">
        <f t="shared" si="1"/>
        <v>30</v>
      </c>
      <c r="I37">
        <v>30</v>
      </c>
      <c r="S37" t="s">
        <v>4456</v>
      </c>
      <c r="T37" t="s">
        <v>4434</v>
      </c>
      <c r="U37" t="s">
        <v>4435</v>
      </c>
      <c r="V37" t="s">
        <v>4436</v>
      </c>
    </row>
    <row r="38" spans="2:22" x14ac:dyDescent="0.3">
      <c r="B38" t="s">
        <v>4432</v>
      </c>
      <c r="C38" t="s">
        <v>4448</v>
      </c>
      <c r="F38">
        <v>0</v>
      </c>
      <c r="G38">
        <v>40</v>
      </c>
      <c r="H38">
        <f t="shared" si="1"/>
        <v>10</v>
      </c>
      <c r="I38">
        <v>10</v>
      </c>
      <c r="S38" t="s">
        <v>4456</v>
      </c>
      <c r="T38" t="s">
        <v>4434</v>
      </c>
      <c r="U38" t="s">
        <v>4435</v>
      </c>
      <c r="V38" t="s">
        <v>4436</v>
      </c>
    </row>
    <row r="39" spans="2:22" x14ac:dyDescent="0.3">
      <c r="B39" t="s">
        <v>4432</v>
      </c>
      <c r="C39" t="s">
        <v>4448</v>
      </c>
      <c r="F39">
        <v>0</v>
      </c>
      <c r="G39">
        <v>40</v>
      </c>
      <c r="H39">
        <f t="shared" si="1"/>
        <v>20</v>
      </c>
      <c r="I39">
        <v>20</v>
      </c>
      <c r="S39" t="s">
        <v>4456</v>
      </c>
      <c r="T39" t="s">
        <v>4434</v>
      </c>
      <c r="U39" t="s">
        <v>4435</v>
      </c>
      <c r="V39" t="s">
        <v>4436</v>
      </c>
    </row>
    <row r="40" spans="2:22" x14ac:dyDescent="0.3">
      <c r="B40" t="s">
        <v>4432</v>
      </c>
      <c r="C40" t="s">
        <v>4448</v>
      </c>
      <c r="F40">
        <v>0</v>
      </c>
      <c r="G40">
        <v>40</v>
      </c>
      <c r="H40">
        <f t="shared" si="1"/>
        <v>30</v>
      </c>
      <c r="I40">
        <v>30</v>
      </c>
      <c r="S40" t="s">
        <v>4456</v>
      </c>
      <c r="T40" t="s">
        <v>4434</v>
      </c>
      <c r="U40" t="s">
        <v>4435</v>
      </c>
      <c r="V40" t="s">
        <v>4436</v>
      </c>
    </row>
    <row r="41" spans="2:22" x14ac:dyDescent="0.3">
      <c r="B41" t="s">
        <v>4432</v>
      </c>
      <c r="C41" t="s">
        <v>4448</v>
      </c>
      <c r="F41">
        <v>10</v>
      </c>
      <c r="G41">
        <v>40</v>
      </c>
      <c r="H41">
        <f t="shared" si="1"/>
        <v>10</v>
      </c>
      <c r="I41">
        <v>10</v>
      </c>
      <c r="S41" t="s">
        <v>4456</v>
      </c>
      <c r="T41" t="s">
        <v>4434</v>
      </c>
      <c r="U41" t="s">
        <v>4435</v>
      </c>
      <c r="V41" t="s">
        <v>4436</v>
      </c>
    </row>
    <row r="42" spans="2:22" x14ac:dyDescent="0.3">
      <c r="B42" t="s">
        <v>4432</v>
      </c>
      <c r="C42" t="s">
        <v>4448</v>
      </c>
      <c r="F42">
        <v>20</v>
      </c>
      <c r="G42">
        <v>40</v>
      </c>
      <c r="H42">
        <f t="shared" si="1"/>
        <v>20</v>
      </c>
      <c r="I42">
        <v>20</v>
      </c>
      <c r="S42" t="s">
        <v>4456</v>
      </c>
      <c r="T42" t="s">
        <v>4434</v>
      </c>
      <c r="U42" t="s">
        <v>4435</v>
      </c>
      <c r="V42" t="s">
        <v>4436</v>
      </c>
    </row>
    <row r="43" spans="2:22" x14ac:dyDescent="0.3">
      <c r="B43" t="s">
        <v>4432</v>
      </c>
      <c r="C43" t="s">
        <v>4448</v>
      </c>
      <c r="F43">
        <v>30</v>
      </c>
      <c r="G43">
        <v>40</v>
      </c>
      <c r="H43">
        <f t="shared" si="1"/>
        <v>30</v>
      </c>
      <c r="I43">
        <v>30</v>
      </c>
      <c r="S43" t="s">
        <v>4456</v>
      </c>
      <c r="T43" t="s">
        <v>4434</v>
      </c>
      <c r="U43" t="s">
        <v>4435</v>
      </c>
      <c r="V43" t="s">
        <v>4436</v>
      </c>
    </row>
    <row r="44" spans="2:22" x14ac:dyDescent="0.3">
      <c r="B44" t="s">
        <v>4432</v>
      </c>
      <c r="C44" t="s">
        <v>4449</v>
      </c>
      <c r="F44">
        <v>0</v>
      </c>
      <c r="G44">
        <v>40</v>
      </c>
      <c r="H44">
        <f t="shared" si="1"/>
        <v>10</v>
      </c>
      <c r="I44">
        <v>10</v>
      </c>
      <c r="S44" t="s">
        <v>4456</v>
      </c>
      <c r="T44" t="s">
        <v>4434</v>
      </c>
      <c r="U44" t="s">
        <v>4435</v>
      </c>
      <c r="V44" t="s">
        <v>4436</v>
      </c>
    </row>
    <row r="45" spans="2:22" x14ac:dyDescent="0.3">
      <c r="B45" t="s">
        <v>4432</v>
      </c>
      <c r="C45" t="s">
        <v>4449</v>
      </c>
      <c r="F45">
        <v>0</v>
      </c>
      <c r="G45">
        <v>40</v>
      </c>
      <c r="H45">
        <f t="shared" si="1"/>
        <v>20</v>
      </c>
      <c r="I45">
        <v>20</v>
      </c>
      <c r="S45" t="s">
        <v>4456</v>
      </c>
      <c r="T45" t="s">
        <v>4434</v>
      </c>
      <c r="U45" t="s">
        <v>4435</v>
      </c>
      <c r="V45" t="s">
        <v>4436</v>
      </c>
    </row>
    <row r="46" spans="2:22" x14ac:dyDescent="0.3">
      <c r="B46" t="s">
        <v>4432</v>
      </c>
      <c r="C46" t="s">
        <v>4449</v>
      </c>
      <c r="F46">
        <v>0</v>
      </c>
      <c r="G46">
        <v>40</v>
      </c>
      <c r="H46">
        <f t="shared" si="1"/>
        <v>30</v>
      </c>
      <c r="I46">
        <v>30</v>
      </c>
      <c r="S46" t="s">
        <v>4456</v>
      </c>
      <c r="T46" t="s">
        <v>4434</v>
      </c>
      <c r="U46" t="s">
        <v>4435</v>
      </c>
      <c r="V46" t="s">
        <v>4436</v>
      </c>
    </row>
    <row r="47" spans="2:22" x14ac:dyDescent="0.3">
      <c r="B47" t="s">
        <v>4432</v>
      </c>
      <c r="C47" t="s">
        <v>4449</v>
      </c>
      <c r="F47">
        <v>10</v>
      </c>
      <c r="G47">
        <v>40</v>
      </c>
      <c r="H47">
        <f t="shared" si="1"/>
        <v>10</v>
      </c>
      <c r="I47">
        <v>10</v>
      </c>
      <c r="S47" t="s">
        <v>4456</v>
      </c>
      <c r="T47" t="s">
        <v>4434</v>
      </c>
      <c r="U47" t="s">
        <v>4435</v>
      </c>
      <c r="V47" t="s">
        <v>4436</v>
      </c>
    </row>
    <row r="48" spans="2:22" x14ac:dyDescent="0.3">
      <c r="B48" t="s">
        <v>4432</v>
      </c>
      <c r="C48" t="s">
        <v>4449</v>
      </c>
      <c r="F48">
        <v>20</v>
      </c>
      <c r="G48">
        <v>40</v>
      </c>
      <c r="H48">
        <f t="shared" si="1"/>
        <v>20</v>
      </c>
      <c r="I48">
        <v>20</v>
      </c>
      <c r="S48" t="s">
        <v>4456</v>
      </c>
      <c r="T48" t="s">
        <v>4434</v>
      </c>
      <c r="U48" t="s">
        <v>4435</v>
      </c>
      <c r="V48" t="s">
        <v>4436</v>
      </c>
    </row>
    <row r="49" spans="2:22" x14ac:dyDescent="0.3">
      <c r="B49" t="s">
        <v>4432</v>
      </c>
      <c r="C49" t="s">
        <v>4449</v>
      </c>
      <c r="F49">
        <v>30</v>
      </c>
      <c r="G49">
        <v>40</v>
      </c>
      <c r="H49">
        <f t="shared" si="1"/>
        <v>30</v>
      </c>
      <c r="I49">
        <v>30</v>
      </c>
      <c r="S49" t="s">
        <v>4456</v>
      </c>
      <c r="T49" t="s">
        <v>4434</v>
      </c>
      <c r="U49" t="s">
        <v>4435</v>
      </c>
      <c r="V49" t="s">
        <v>4436</v>
      </c>
    </row>
    <row r="50" spans="2:22" x14ac:dyDescent="0.3">
      <c r="B50" t="s">
        <v>4432</v>
      </c>
      <c r="C50" t="s">
        <v>4450</v>
      </c>
      <c r="F50">
        <v>0</v>
      </c>
      <c r="G50">
        <v>40</v>
      </c>
      <c r="H50">
        <f t="shared" si="1"/>
        <v>10</v>
      </c>
      <c r="I50">
        <v>10</v>
      </c>
      <c r="S50" t="s">
        <v>4456</v>
      </c>
      <c r="T50" t="s">
        <v>4434</v>
      </c>
      <c r="U50" t="s">
        <v>4435</v>
      </c>
      <c r="V50" t="s">
        <v>4436</v>
      </c>
    </row>
    <row r="51" spans="2:22" x14ac:dyDescent="0.3">
      <c r="B51" t="s">
        <v>4432</v>
      </c>
      <c r="C51" t="s">
        <v>4450</v>
      </c>
      <c r="F51">
        <v>0</v>
      </c>
      <c r="G51">
        <v>40</v>
      </c>
      <c r="H51">
        <f t="shared" si="1"/>
        <v>20</v>
      </c>
      <c r="I51">
        <v>20</v>
      </c>
      <c r="S51" t="s">
        <v>4456</v>
      </c>
      <c r="T51" t="s">
        <v>4434</v>
      </c>
      <c r="U51" t="s">
        <v>4435</v>
      </c>
      <c r="V51" t="s">
        <v>4436</v>
      </c>
    </row>
    <row r="52" spans="2:22" x14ac:dyDescent="0.3">
      <c r="B52" t="s">
        <v>4432</v>
      </c>
      <c r="C52" t="s">
        <v>4450</v>
      </c>
      <c r="F52">
        <v>0</v>
      </c>
      <c r="G52">
        <v>40</v>
      </c>
      <c r="H52">
        <f t="shared" si="1"/>
        <v>30</v>
      </c>
      <c r="I52">
        <v>30</v>
      </c>
      <c r="S52" t="s">
        <v>4456</v>
      </c>
      <c r="T52" t="s">
        <v>4434</v>
      </c>
      <c r="U52" t="s">
        <v>4435</v>
      </c>
      <c r="V52" t="s">
        <v>4436</v>
      </c>
    </row>
    <row r="53" spans="2:22" x14ac:dyDescent="0.3">
      <c r="B53" t="s">
        <v>4432</v>
      </c>
      <c r="C53" t="s">
        <v>4450</v>
      </c>
      <c r="F53">
        <v>10</v>
      </c>
      <c r="G53">
        <v>40</v>
      </c>
      <c r="H53">
        <f t="shared" si="1"/>
        <v>10</v>
      </c>
      <c r="I53">
        <v>10</v>
      </c>
      <c r="S53" t="s">
        <v>4456</v>
      </c>
      <c r="T53" t="s">
        <v>4434</v>
      </c>
      <c r="U53" t="s">
        <v>4435</v>
      </c>
      <c r="V53" t="s">
        <v>4436</v>
      </c>
    </row>
    <row r="54" spans="2:22" x14ac:dyDescent="0.3">
      <c r="B54" t="s">
        <v>4432</v>
      </c>
      <c r="C54" t="s">
        <v>4450</v>
      </c>
      <c r="F54">
        <v>20</v>
      </c>
      <c r="G54">
        <v>40</v>
      </c>
      <c r="H54">
        <f t="shared" si="1"/>
        <v>20</v>
      </c>
      <c r="I54">
        <v>20</v>
      </c>
      <c r="S54" t="s">
        <v>4456</v>
      </c>
      <c r="T54" t="s">
        <v>4434</v>
      </c>
      <c r="U54" t="s">
        <v>4435</v>
      </c>
      <c r="V54" t="s">
        <v>4436</v>
      </c>
    </row>
    <row r="55" spans="2:22" x14ac:dyDescent="0.3">
      <c r="B55" t="s">
        <v>4432</v>
      </c>
      <c r="C55" t="s">
        <v>4450</v>
      </c>
      <c r="F55">
        <v>30</v>
      </c>
      <c r="G55">
        <v>40</v>
      </c>
      <c r="H55">
        <f t="shared" si="1"/>
        <v>30</v>
      </c>
      <c r="I55">
        <v>30</v>
      </c>
      <c r="S55" t="s">
        <v>4456</v>
      </c>
      <c r="T55" t="s">
        <v>4434</v>
      </c>
      <c r="U55" t="s">
        <v>4435</v>
      </c>
      <c r="V55" t="s">
        <v>4436</v>
      </c>
    </row>
    <row r="56" spans="2:22" x14ac:dyDescent="0.3">
      <c r="B56" t="s">
        <v>4432</v>
      </c>
      <c r="C56" t="s">
        <v>4453</v>
      </c>
      <c r="F56">
        <v>0</v>
      </c>
      <c r="G56">
        <v>40</v>
      </c>
      <c r="H56">
        <f t="shared" si="1"/>
        <v>10</v>
      </c>
      <c r="I56">
        <v>10</v>
      </c>
      <c r="S56" t="s">
        <v>4456</v>
      </c>
      <c r="T56" t="s">
        <v>4434</v>
      </c>
      <c r="U56" t="s">
        <v>4435</v>
      </c>
      <c r="V56" t="s">
        <v>4436</v>
      </c>
    </row>
    <row r="57" spans="2:22" x14ac:dyDescent="0.3">
      <c r="B57" t="s">
        <v>4432</v>
      </c>
      <c r="C57" t="s">
        <v>4453</v>
      </c>
      <c r="F57">
        <v>0</v>
      </c>
      <c r="G57">
        <v>40</v>
      </c>
      <c r="H57">
        <f t="shared" si="1"/>
        <v>20</v>
      </c>
      <c r="I57">
        <v>20</v>
      </c>
      <c r="S57" t="s">
        <v>4456</v>
      </c>
      <c r="T57" t="s">
        <v>4434</v>
      </c>
      <c r="U57" t="s">
        <v>4435</v>
      </c>
      <c r="V57" t="s">
        <v>4436</v>
      </c>
    </row>
    <row r="58" spans="2:22" x14ac:dyDescent="0.3">
      <c r="B58" t="s">
        <v>4432</v>
      </c>
      <c r="C58" t="s">
        <v>4453</v>
      </c>
      <c r="F58">
        <v>0</v>
      </c>
      <c r="G58">
        <v>40</v>
      </c>
      <c r="H58">
        <f t="shared" si="1"/>
        <v>30</v>
      </c>
      <c r="I58">
        <v>30</v>
      </c>
      <c r="S58" t="s">
        <v>4456</v>
      </c>
      <c r="T58" t="s">
        <v>4434</v>
      </c>
      <c r="U58" t="s">
        <v>4435</v>
      </c>
      <c r="V58" t="s">
        <v>4436</v>
      </c>
    </row>
    <row r="59" spans="2:22" x14ac:dyDescent="0.3">
      <c r="B59" t="s">
        <v>4432</v>
      </c>
      <c r="C59" t="s">
        <v>4453</v>
      </c>
      <c r="F59">
        <v>10</v>
      </c>
      <c r="G59">
        <v>40</v>
      </c>
      <c r="H59">
        <f t="shared" si="1"/>
        <v>10</v>
      </c>
      <c r="I59">
        <v>10</v>
      </c>
      <c r="S59" t="s">
        <v>4456</v>
      </c>
      <c r="T59" t="s">
        <v>4434</v>
      </c>
      <c r="U59" t="s">
        <v>4435</v>
      </c>
      <c r="V59" t="s">
        <v>4436</v>
      </c>
    </row>
    <row r="60" spans="2:22" x14ac:dyDescent="0.3">
      <c r="B60" t="s">
        <v>4432</v>
      </c>
      <c r="C60" t="s">
        <v>4453</v>
      </c>
      <c r="F60">
        <v>20</v>
      </c>
      <c r="G60">
        <v>40</v>
      </c>
      <c r="H60">
        <f t="shared" si="1"/>
        <v>20</v>
      </c>
      <c r="I60">
        <v>20</v>
      </c>
      <c r="S60" t="s">
        <v>4456</v>
      </c>
      <c r="T60" t="s">
        <v>4434</v>
      </c>
      <c r="U60" t="s">
        <v>4435</v>
      </c>
      <c r="V60" t="s">
        <v>4436</v>
      </c>
    </row>
    <row r="61" spans="2:22" x14ac:dyDescent="0.3">
      <c r="B61" t="s">
        <v>4432</v>
      </c>
      <c r="C61" t="s">
        <v>4453</v>
      </c>
      <c r="F61">
        <v>30</v>
      </c>
      <c r="G61">
        <v>40</v>
      </c>
      <c r="H61">
        <f t="shared" si="1"/>
        <v>30</v>
      </c>
      <c r="I61">
        <v>30</v>
      </c>
      <c r="S61" t="s">
        <v>4456</v>
      </c>
      <c r="T61" t="s">
        <v>4434</v>
      </c>
      <c r="U61" t="s">
        <v>4435</v>
      </c>
      <c r="V61" t="s">
        <v>4436</v>
      </c>
    </row>
    <row r="62" spans="2:22" x14ac:dyDescent="0.3">
      <c r="B62" t="s">
        <v>4432</v>
      </c>
      <c r="C62" t="s">
        <v>4454</v>
      </c>
      <c r="F62">
        <v>0</v>
      </c>
      <c r="G62">
        <v>40</v>
      </c>
      <c r="H62">
        <f t="shared" si="1"/>
        <v>10</v>
      </c>
      <c r="I62">
        <v>10</v>
      </c>
      <c r="S62" t="s">
        <v>4456</v>
      </c>
      <c r="T62" t="s">
        <v>4434</v>
      </c>
      <c r="U62" t="s">
        <v>4435</v>
      </c>
      <c r="V62" t="s">
        <v>4436</v>
      </c>
    </row>
    <row r="63" spans="2:22" x14ac:dyDescent="0.3">
      <c r="B63" t="s">
        <v>4432</v>
      </c>
      <c r="C63" t="s">
        <v>4454</v>
      </c>
      <c r="F63">
        <v>0</v>
      </c>
      <c r="G63">
        <v>40</v>
      </c>
      <c r="H63">
        <f t="shared" si="1"/>
        <v>20</v>
      </c>
      <c r="I63">
        <v>20</v>
      </c>
      <c r="S63" t="s">
        <v>4456</v>
      </c>
      <c r="T63" t="s">
        <v>4434</v>
      </c>
      <c r="U63" t="s">
        <v>4435</v>
      </c>
      <c r="V63" t="s">
        <v>4436</v>
      </c>
    </row>
    <row r="64" spans="2:22" x14ac:dyDescent="0.3">
      <c r="B64" t="s">
        <v>4432</v>
      </c>
      <c r="C64" t="s">
        <v>4454</v>
      </c>
      <c r="F64">
        <v>0</v>
      </c>
      <c r="G64">
        <v>40</v>
      </c>
      <c r="H64">
        <f t="shared" si="1"/>
        <v>30</v>
      </c>
      <c r="I64">
        <v>30</v>
      </c>
      <c r="S64" t="s">
        <v>4456</v>
      </c>
      <c r="T64" t="s">
        <v>4434</v>
      </c>
      <c r="U64" t="s">
        <v>4435</v>
      </c>
      <c r="V64" t="s">
        <v>4436</v>
      </c>
    </row>
    <row r="65" spans="2:22" x14ac:dyDescent="0.3">
      <c r="B65" t="s">
        <v>4432</v>
      </c>
      <c r="C65" t="s">
        <v>4454</v>
      </c>
      <c r="F65">
        <v>10</v>
      </c>
      <c r="G65">
        <v>40</v>
      </c>
      <c r="H65">
        <f t="shared" si="1"/>
        <v>10</v>
      </c>
      <c r="I65">
        <v>10</v>
      </c>
      <c r="S65" t="s">
        <v>4456</v>
      </c>
      <c r="T65" t="s">
        <v>4434</v>
      </c>
      <c r="U65" t="s">
        <v>4435</v>
      </c>
      <c r="V65" t="s">
        <v>4436</v>
      </c>
    </row>
    <row r="66" spans="2:22" x14ac:dyDescent="0.3">
      <c r="B66" t="s">
        <v>4432</v>
      </c>
      <c r="C66" t="s">
        <v>4454</v>
      </c>
      <c r="F66">
        <v>20</v>
      </c>
      <c r="G66">
        <v>40</v>
      </c>
      <c r="H66">
        <f t="shared" ref="H66:H97" si="2">I66</f>
        <v>20</v>
      </c>
      <c r="I66">
        <v>20</v>
      </c>
      <c r="S66" t="s">
        <v>4456</v>
      </c>
      <c r="T66" t="s">
        <v>4434</v>
      </c>
      <c r="U66" t="s">
        <v>4435</v>
      </c>
      <c r="V66" t="s">
        <v>4436</v>
      </c>
    </row>
    <row r="67" spans="2:22" x14ac:dyDescent="0.3">
      <c r="B67" t="s">
        <v>4432</v>
      </c>
      <c r="C67" t="s">
        <v>4454</v>
      </c>
      <c r="F67">
        <v>30</v>
      </c>
      <c r="G67">
        <v>40</v>
      </c>
      <c r="H67">
        <f t="shared" si="2"/>
        <v>30</v>
      </c>
      <c r="I67">
        <v>30</v>
      </c>
      <c r="S67" t="s">
        <v>4456</v>
      </c>
      <c r="T67" t="s">
        <v>4434</v>
      </c>
      <c r="U67" t="s">
        <v>4435</v>
      </c>
      <c r="V67" t="s">
        <v>4436</v>
      </c>
    </row>
    <row r="68" spans="2:22" x14ac:dyDescent="0.3">
      <c r="B68" t="s">
        <v>4432</v>
      </c>
      <c r="C68" t="s">
        <v>4442</v>
      </c>
      <c r="F68">
        <v>0</v>
      </c>
      <c r="G68">
        <v>40</v>
      </c>
      <c r="H68">
        <f t="shared" si="2"/>
        <v>10</v>
      </c>
      <c r="I68">
        <v>10</v>
      </c>
      <c r="S68" t="s">
        <v>4456</v>
      </c>
      <c r="T68" t="s">
        <v>4434</v>
      </c>
      <c r="U68" t="s">
        <v>4435</v>
      </c>
      <c r="V68" t="s">
        <v>4436</v>
      </c>
    </row>
    <row r="69" spans="2:22" x14ac:dyDescent="0.3">
      <c r="B69" t="s">
        <v>4432</v>
      </c>
      <c r="C69" t="s">
        <v>4442</v>
      </c>
      <c r="F69">
        <v>0</v>
      </c>
      <c r="G69">
        <v>40</v>
      </c>
      <c r="H69">
        <f t="shared" si="2"/>
        <v>20</v>
      </c>
      <c r="I69">
        <v>20</v>
      </c>
      <c r="S69" t="s">
        <v>4456</v>
      </c>
      <c r="T69" t="s">
        <v>4434</v>
      </c>
      <c r="U69" t="s">
        <v>4435</v>
      </c>
      <c r="V69" t="s">
        <v>4436</v>
      </c>
    </row>
    <row r="70" spans="2:22" x14ac:dyDescent="0.3">
      <c r="B70" t="s">
        <v>4432</v>
      </c>
      <c r="C70" t="s">
        <v>4442</v>
      </c>
      <c r="F70">
        <v>0</v>
      </c>
      <c r="G70">
        <v>40</v>
      </c>
      <c r="H70">
        <f t="shared" si="2"/>
        <v>30</v>
      </c>
      <c r="I70">
        <v>30</v>
      </c>
      <c r="S70" t="s">
        <v>4456</v>
      </c>
      <c r="T70" t="s">
        <v>4434</v>
      </c>
      <c r="U70" t="s">
        <v>4435</v>
      </c>
      <c r="V70" t="s">
        <v>4436</v>
      </c>
    </row>
    <row r="71" spans="2:22" x14ac:dyDescent="0.3">
      <c r="B71" t="s">
        <v>4432</v>
      </c>
      <c r="C71" t="s">
        <v>4442</v>
      </c>
      <c r="F71">
        <v>10</v>
      </c>
      <c r="G71">
        <v>40</v>
      </c>
      <c r="H71">
        <f t="shared" si="2"/>
        <v>10</v>
      </c>
      <c r="I71">
        <v>10</v>
      </c>
      <c r="S71" t="s">
        <v>4456</v>
      </c>
      <c r="T71" t="s">
        <v>4434</v>
      </c>
      <c r="U71" t="s">
        <v>4435</v>
      </c>
      <c r="V71" t="s">
        <v>4436</v>
      </c>
    </row>
    <row r="72" spans="2:22" x14ac:dyDescent="0.3">
      <c r="B72" t="s">
        <v>4432</v>
      </c>
      <c r="C72" t="s">
        <v>4442</v>
      </c>
      <c r="F72">
        <v>20</v>
      </c>
      <c r="G72">
        <v>40</v>
      </c>
      <c r="H72">
        <f t="shared" si="2"/>
        <v>20</v>
      </c>
      <c r="I72">
        <v>20</v>
      </c>
      <c r="S72" t="s">
        <v>4456</v>
      </c>
      <c r="T72" t="s">
        <v>4434</v>
      </c>
      <c r="U72" t="s">
        <v>4435</v>
      </c>
      <c r="V72" t="s">
        <v>4436</v>
      </c>
    </row>
    <row r="73" spans="2:22" x14ac:dyDescent="0.3">
      <c r="B73" t="s">
        <v>4432</v>
      </c>
      <c r="C73" t="s">
        <v>4442</v>
      </c>
      <c r="F73">
        <v>30</v>
      </c>
      <c r="G73">
        <v>40</v>
      </c>
      <c r="H73">
        <f t="shared" si="2"/>
        <v>30</v>
      </c>
      <c r="I73">
        <v>30</v>
      </c>
      <c r="S73" t="s">
        <v>4456</v>
      </c>
      <c r="T73" t="s">
        <v>4434</v>
      </c>
      <c r="U73" t="s">
        <v>4435</v>
      </c>
      <c r="V73" t="s">
        <v>4436</v>
      </c>
    </row>
    <row r="74" spans="2:22" x14ac:dyDescent="0.3">
      <c r="B74" t="s">
        <v>4432</v>
      </c>
      <c r="C74" t="s">
        <v>4445</v>
      </c>
      <c r="F74">
        <v>0</v>
      </c>
      <c r="G74">
        <v>40</v>
      </c>
      <c r="H74">
        <f t="shared" si="2"/>
        <v>10</v>
      </c>
      <c r="I74">
        <v>10</v>
      </c>
      <c r="S74" t="s">
        <v>4456</v>
      </c>
      <c r="T74" t="s">
        <v>4434</v>
      </c>
      <c r="U74" t="s">
        <v>4435</v>
      </c>
      <c r="V74" t="s">
        <v>4436</v>
      </c>
    </row>
    <row r="75" spans="2:22" x14ac:dyDescent="0.3">
      <c r="B75" t="s">
        <v>4432</v>
      </c>
      <c r="C75" t="s">
        <v>4445</v>
      </c>
      <c r="F75">
        <v>0</v>
      </c>
      <c r="G75">
        <v>40</v>
      </c>
      <c r="H75">
        <f t="shared" si="2"/>
        <v>20</v>
      </c>
      <c r="I75">
        <v>20</v>
      </c>
      <c r="S75" t="s">
        <v>4456</v>
      </c>
      <c r="T75" t="s">
        <v>4434</v>
      </c>
      <c r="U75" t="s">
        <v>4435</v>
      </c>
      <c r="V75" t="s">
        <v>4436</v>
      </c>
    </row>
    <row r="76" spans="2:22" x14ac:dyDescent="0.3">
      <c r="B76" t="s">
        <v>4432</v>
      </c>
      <c r="C76" t="s">
        <v>4445</v>
      </c>
      <c r="F76">
        <v>0</v>
      </c>
      <c r="G76">
        <v>40</v>
      </c>
      <c r="H76">
        <f t="shared" si="2"/>
        <v>30</v>
      </c>
      <c r="I76">
        <v>30</v>
      </c>
      <c r="S76" t="s">
        <v>4456</v>
      </c>
      <c r="T76" t="s">
        <v>4434</v>
      </c>
      <c r="U76" t="s">
        <v>4435</v>
      </c>
      <c r="V76" t="s">
        <v>4436</v>
      </c>
    </row>
    <row r="77" spans="2:22" x14ac:dyDescent="0.3">
      <c r="B77" t="s">
        <v>4432</v>
      </c>
      <c r="C77" t="s">
        <v>4445</v>
      </c>
      <c r="F77">
        <v>10</v>
      </c>
      <c r="G77">
        <v>40</v>
      </c>
      <c r="H77">
        <f t="shared" si="2"/>
        <v>10</v>
      </c>
      <c r="I77">
        <v>10</v>
      </c>
      <c r="S77" t="s">
        <v>4456</v>
      </c>
      <c r="T77" t="s">
        <v>4434</v>
      </c>
      <c r="U77" t="s">
        <v>4435</v>
      </c>
      <c r="V77" t="s">
        <v>4436</v>
      </c>
    </row>
    <row r="78" spans="2:22" x14ac:dyDescent="0.3">
      <c r="B78" t="s">
        <v>4432</v>
      </c>
      <c r="C78" t="s">
        <v>4445</v>
      </c>
      <c r="F78">
        <v>20</v>
      </c>
      <c r="G78">
        <v>40</v>
      </c>
      <c r="H78">
        <f t="shared" si="2"/>
        <v>20</v>
      </c>
      <c r="I78">
        <v>20</v>
      </c>
      <c r="S78" t="s">
        <v>4456</v>
      </c>
      <c r="T78" t="s">
        <v>4434</v>
      </c>
      <c r="U78" t="s">
        <v>4435</v>
      </c>
      <c r="V78" t="s">
        <v>4436</v>
      </c>
    </row>
    <row r="79" spans="2:22" x14ac:dyDescent="0.3">
      <c r="B79" t="s">
        <v>4432</v>
      </c>
      <c r="C79" t="s">
        <v>4445</v>
      </c>
      <c r="F79">
        <v>30</v>
      </c>
      <c r="G79">
        <v>40</v>
      </c>
      <c r="H79">
        <f t="shared" si="2"/>
        <v>30</v>
      </c>
      <c r="I79">
        <v>30</v>
      </c>
      <c r="S79" t="s">
        <v>4456</v>
      </c>
      <c r="T79" t="s">
        <v>4434</v>
      </c>
      <c r="U79" t="s">
        <v>4435</v>
      </c>
      <c r="V79" t="s">
        <v>4436</v>
      </c>
    </row>
    <row r="80" spans="2:22" x14ac:dyDescent="0.3">
      <c r="B80" t="s">
        <v>4432</v>
      </c>
      <c r="C80" t="s">
        <v>4446</v>
      </c>
      <c r="F80">
        <v>0</v>
      </c>
      <c r="G80">
        <v>40</v>
      </c>
      <c r="H80">
        <f t="shared" si="2"/>
        <v>10</v>
      </c>
      <c r="I80">
        <v>10</v>
      </c>
      <c r="S80" t="s">
        <v>4456</v>
      </c>
      <c r="T80" t="s">
        <v>4434</v>
      </c>
      <c r="U80" t="s">
        <v>4435</v>
      </c>
      <c r="V80" t="s">
        <v>4436</v>
      </c>
    </row>
    <row r="81" spans="2:22" x14ac:dyDescent="0.3">
      <c r="B81" t="s">
        <v>4432</v>
      </c>
      <c r="C81" t="s">
        <v>4446</v>
      </c>
      <c r="F81">
        <v>0</v>
      </c>
      <c r="G81">
        <v>40</v>
      </c>
      <c r="H81">
        <f t="shared" si="2"/>
        <v>20</v>
      </c>
      <c r="I81">
        <v>20</v>
      </c>
      <c r="S81" t="s">
        <v>4456</v>
      </c>
      <c r="T81" t="s">
        <v>4434</v>
      </c>
      <c r="U81" t="s">
        <v>4435</v>
      </c>
      <c r="V81" t="s">
        <v>4436</v>
      </c>
    </row>
    <row r="82" spans="2:22" x14ac:dyDescent="0.3">
      <c r="B82" t="s">
        <v>4432</v>
      </c>
      <c r="C82" t="s">
        <v>4446</v>
      </c>
      <c r="F82">
        <v>0</v>
      </c>
      <c r="G82">
        <v>40</v>
      </c>
      <c r="H82">
        <f t="shared" si="2"/>
        <v>30</v>
      </c>
      <c r="I82">
        <v>30</v>
      </c>
      <c r="S82" t="s">
        <v>4456</v>
      </c>
      <c r="T82" t="s">
        <v>4434</v>
      </c>
      <c r="U82" t="s">
        <v>4435</v>
      </c>
      <c r="V82" t="s">
        <v>4436</v>
      </c>
    </row>
    <row r="83" spans="2:22" x14ac:dyDescent="0.3">
      <c r="B83" t="s">
        <v>4432</v>
      </c>
      <c r="C83" t="s">
        <v>4446</v>
      </c>
      <c r="F83">
        <v>10</v>
      </c>
      <c r="G83">
        <v>40</v>
      </c>
      <c r="H83">
        <f t="shared" si="2"/>
        <v>10</v>
      </c>
      <c r="I83">
        <v>10</v>
      </c>
      <c r="S83" t="s">
        <v>4456</v>
      </c>
      <c r="T83" t="s">
        <v>4434</v>
      </c>
      <c r="U83" t="s">
        <v>4435</v>
      </c>
      <c r="V83" t="s">
        <v>4436</v>
      </c>
    </row>
    <row r="84" spans="2:22" x14ac:dyDescent="0.3">
      <c r="B84" t="s">
        <v>4432</v>
      </c>
      <c r="C84" t="s">
        <v>4446</v>
      </c>
      <c r="F84">
        <v>20</v>
      </c>
      <c r="G84">
        <v>40</v>
      </c>
      <c r="H84">
        <f t="shared" si="2"/>
        <v>20</v>
      </c>
      <c r="I84">
        <v>20</v>
      </c>
      <c r="S84" t="s">
        <v>4456</v>
      </c>
      <c r="T84" t="s">
        <v>4434</v>
      </c>
      <c r="U84" t="s">
        <v>4435</v>
      </c>
      <c r="V84" t="s">
        <v>4436</v>
      </c>
    </row>
    <row r="85" spans="2:22" x14ac:dyDescent="0.3">
      <c r="B85" t="s">
        <v>4432</v>
      </c>
      <c r="C85" t="s">
        <v>4446</v>
      </c>
      <c r="F85">
        <v>30</v>
      </c>
      <c r="G85">
        <v>40</v>
      </c>
      <c r="H85">
        <f t="shared" si="2"/>
        <v>30</v>
      </c>
      <c r="I85">
        <v>30</v>
      </c>
      <c r="S85" t="s">
        <v>4456</v>
      </c>
      <c r="T85" t="s">
        <v>4434</v>
      </c>
      <c r="U85" t="s">
        <v>4435</v>
      </c>
      <c r="V85" t="s">
        <v>4436</v>
      </c>
    </row>
    <row r="86" spans="2:22" x14ac:dyDescent="0.3">
      <c r="B86" t="s">
        <v>4432</v>
      </c>
      <c r="C86" t="s">
        <v>4451</v>
      </c>
      <c r="F86">
        <v>0</v>
      </c>
      <c r="G86">
        <v>40</v>
      </c>
      <c r="H86">
        <f t="shared" si="2"/>
        <v>10</v>
      </c>
      <c r="I86">
        <v>10</v>
      </c>
      <c r="S86" t="s">
        <v>4456</v>
      </c>
      <c r="T86" t="s">
        <v>4434</v>
      </c>
      <c r="U86" t="s">
        <v>4435</v>
      </c>
      <c r="V86" t="s">
        <v>4436</v>
      </c>
    </row>
    <row r="87" spans="2:22" x14ac:dyDescent="0.3">
      <c r="B87" t="s">
        <v>4432</v>
      </c>
      <c r="C87" t="s">
        <v>4451</v>
      </c>
      <c r="F87">
        <v>0</v>
      </c>
      <c r="G87">
        <v>40</v>
      </c>
      <c r="H87">
        <f t="shared" si="2"/>
        <v>20</v>
      </c>
      <c r="I87">
        <v>20</v>
      </c>
      <c r="S87" t="s">
        <v>4456</v>
      </c>
      <c r="T87" t="s">
        <v>4434</v>
      </c>
      <c r="U87" t="s">
        <v>4435</v>
      </c>
      <c r="V87" t="s">
        <v>4436</v>
      </c>
    </row>
    <row r="88" spans="2:22" x14ac:dyDescent="0.3">
      <c r="B88" t="s">
        <v>4432</v>
      </c>
      <c r="C88" t="s">
        <v>4451</v>
      </c>
      <c r="F88">
        <v>0</v>
      </c>
      <c r="G88">
        <v>40</v>
      </c>
      <c r="H88">
        <f t="shared" si="2"/>
        <v>30</v>
      </c>
      <c r="I88">
        <v>30</v>
      </c>
      <c r="S88" t="s">
        <v>4456</v>
      </c>
      <c r="T88" t="s">
        <v>4434</v>
      </c>
      <c r="U88" t="s">
        <v>4435</v>
      </c>
      <c r="V88" t="s">
        <v>4436</v>
      </c>
    </row>
    <row r="89" spans="2:22" x14ac:dyDescent="0.3">
      <c r="B89" t="s">
        <v>4432</v>
      </c>
      <c r="C89" t="s">
        <v>4451</v>
      </c>
      <c r="F89">
        <v>10</v>
      </c>
      <c r="G89">
        <v>40</v>
      </c>
      <c r="H89">
        <f t="shared" si="2"/>
        <v>10</v>
      </c>
      <c r="I89">
        <v>10</v>
      </c>
      <c r="S89" t="s">
        <v>4456</v>
      </c>
      <c r="T89" t="s">
        <v>4434</v>
      </c>
      <c r="U89" t="s">
        <v>4435</v>
      </c>
      <c r="V89" t="s">
        <v>4436</v>
      </c>
    </row>
    <row r="90" spans="2:22" x14ac:dyDescent="0.3">
      <c r="B90" t="s">
        <v>4432</v>
      </c>
      <c r="C90" t="s">
        <v>4451</v>
      </c>
      <c r="F90">
        <v>20</v>
      </c>
      <c r="G90">
        <v>40</v>
      </c>
      <c r="H90">
        <f t="shared" si="2"/>
        <v>20</v>
      </c>
      <c r="I90">
        <v>20</v>
      </c>
      <c r="S90" t="s">
        <v>4456</v>
      </c>
      <c r="T90" t="s">
        <v>4434</v>
      </c>
      <c r="U90" t="s">
        <v>4435</v>
      </c>
      <c r="V90" t="s">
        <v>4436</v>
      </c>
    </row>
    <row r="91" spans="2:22" x14ac:dyDescent="0.3">
      <c r="B91" t="s">
        <v>4432</v>
      </c>
      <c r="C91" t="s">
        <v>4451</v>
      </c>
      <c r="F91">
        <v>30</v>
      </c>
      <c r="G91">
        <v>40</v>
      </c>
      <c r="H91">
        <f t="shared" si="2"/>
        <v>30</v>
      </c>
      <c r="I91">
        <v>30</v>
      </c>
      <c r="S91" t="s">
        <v>4456</v>
      </c>
      <c r="T91" t="s">
        <v>4434</v>
      </c>
      <c r="U91" t="s">
        <v>4435</v>
      </c>
      <c r="V91" t="s">
        <v>4436</v>
      </c>
    </row>
    <row r="92" spans="2:22" x14ac:dyDescent="0.3">
      <c r="B92" t="s">
        <v>4432</v>
      </c>
      <c r="C92" t="s">
        <v>4452</v>
      </c>
      <c r="F92">
        <v>0</v>
      </c>
      <c r="G92">
        <v>40</v>
      </c>
      <c r="H92">
        <f t="shared" si="2"/>
        <v>10</v>
      </c>
      <c r="I92">
        <v>10</v>
      </c>
      <c r="S92" t="s">
        <v>4456</v>
      </c>
      <c r="T92" t="s">
        <v>4434</v>
      </c>
      <c r="U92" t="s">
        <v>4435</v>
      </c>
      <c r="V92" t="s">
        <v>4436</v>
      </c>
    </row>
    <row r="93" spans="2:22" x14ac:dyDescent="0.3">
      <c r="B93" t="s">
        <v>4432</v>
      </c>
      <c r="C93" t="s">
        <v>4452</v>
      </c>
      <c r="F93">
        <v>0</v>
      </c>
      <c r="G93">
        <v>40</v>
      </c>
      <c r="H93">
        <f t="shared" si="2"/>
        <v>20</v>
      </c>
      <c r="I93">
        <v>20</v>
      </c>
      <c r="S93" t="s">
        <v>4456</v>
      </c>
      <c r="T93" t="s">
        <v>4434</v>
      </c>
      <c r="U93" t="s">
        <v>4435</v>
      </c>
      <c r="V93" t="s">
        <v>4436</v>
      </c>
    </row>
    <row r="94" spans="2:22" x14ac:dyDescent="0.3">
      <c r="B94" t="s">
        <v>4432</v>
      </c>
      <c r="C94" t="s">
        <v>4452</v>
      </c>
      <c r="F94">
        <v>0</v>
      </c>
      <c r="G94">
        <v>40</v>
      </c>
      <c r="H94">
        <f t="shared" si="2"/>
        <v>30</v>
      </c>
      <c r="I94">
        <v>30</v>
      </c>
      <c r="S94" t="s">
        <v>4456</v>
      </c>
      <c r="T94" t="s">
        <v>4434</v>
      </c>
      <c r="U94" t="s">
        <v>4435</v>
      </c>
      <c r="V94" t="s">
        <v>4436</v>
      </c>
    </row>
    <row r="95" spans="2:22" x14ac:dyDescent="0.3">
      <c r="B95" t="s">
        <v>4432</v>
      </c>
      <c r="C95" t="s">
        <v>4452</v>
      </c>
      <c r="F95">
        <v>10</v>
      </c>
      <c r="G95">
        <v>40</v>
      </c>
      <c r="H95">
        <f t="shared" si="2"/>
        <v>10</v>
      </c>
      <c r="I95">
        <v>10</v>
      </c>
      <c r="S95" t="s">
        <v>4456</v>
      </c>
      <c r="T95" t="s">
        <v>4434</v>
      </c>
      <c r="U95" t="s">
        <v>4435</v>
      </c>
      <c r="V95" t="s">
        <v>4436</v>
      </c>
    </row>
    <row r="96" spans="2:22" x14ac:dyDescent="0.3">
      <c r="B96" t="s">
        <v>4432</v>
      </c>
      <c r="C96" t="s">
        <v>4452</v>
      </c>
      <c r="F96">
        <v>20</v>
      </c>
      <c r="G96">
        <v>40</v>
      </c>
      <c r="H96">
        <f t="shared" si="2"/>
        <v>20</v>
      </c>
      <c r="I96">
        <v>20</v>
      </c>
      <c r="S96" t="s">
        <v>4456</v>
      </c>
      <c r="T96" t="s">
        <v>4434</v>
      </c>
      <c r="U96" t="s">
        <v>4435</v>
      </c>
      <c r="V96" t="s">
        <v>4436</v>
      </c>
    </row>
    <row r="97" spans="2:22" x14ac:dyDescent="0.3">
      <c r="B97" t="s">
        <v>4432</v>
      </c>
      <c r="C97" t="s">
        <v>4452</v>
      </c>
      <c r="F97">
        <v>30</v>
      </c>
      <c r="G97">
        <v>40</v>
      </c>
      <c r="H97">
        <f t="shared" si="2"/>
        <v>30</v>
      </c>
      <c r="I97">
        <v>30</v>
      </c>
      <c r="S97" t="s">
        <v>4456</v>
      </c>
      <c r="T97" t="s">
        <v>4434</v>
      </c>
      <c r="U97" t="s">
        <v>4435</v>
      </c>
      <c r="V97" t="s">
        <v>4436</v>
      </c>
    </row>
    <row r="98" spans="2:22" x14ac:dyDescent="0.3">
      <c r="B98" t="s">
        <v>4432</v>
      </c>
      <c r="C98" t="s">
        <v>4455</v>
      </c>
      <c r="F98">
        <v>0</v>
      </c>
      <c r="G98">
        <v>40</v>
      </c>
      <c r="H98">
        <f t="shared" ref="H98:H129" si="3">I98</f>
        <v>10</v>
      </c>
      <c r="I98">
        <v>10</v>
      </c>
      <c r="S98" t="s">
        <v>4456</v>
      </c>
      <c r="T98" t="s">
        <v>4434</v>
      </c>
      <c r="U98" t="s">
        <v>4435</v>
      </c>
      <c r="V98" t="s">
        <v>4436</v>
      </c>
    </row>
    <row r="99" spans="2:22" x14ac:dyDescent="0.3">
      <c r="B99" t="s">
        <v>4432</v>
      </c>
      <c r="C99" t="s">
        <v>4455</v>
      </c>
      <c r="F99">
        <v>0</v>
      </c>
      <c r="G99">
        <v>40</v>
      </c>
      <c r="H99">
        <f t="shared" si="3"/>
        <v>20</v>
      </c>
      <c r="I99">
        <v>20</v>
      </c>
      <c r="S99" t="s">
        <v>4456</v>
      </c>
      <c r="T99" t="s">
        <v>4434</v>
      </c>
      <c r="U99" t="s">
        <v>4435</v>
      </c>
      <c r="V99" t="s">
        <v>4436</v>
      </c>
    </row>
    <row r="100" spans="2:22" x14ac:dyDescent="0.3">
      <c r="B100" t="s">
        <v>4432</v>
      </c>
      <c r="C100" t="s">
        <v>4455</v>
      </c>
      <c r="F100">
        <v>0</v>
      </c>
      <c r="G100">
        <v>40</v>
      </c>
      <c r="H100">
        <f t="shared" si="3"/>
        <v>30</v>
      </c>
      <c r="I100">
        <v>30</v>
      </c>
      <c r="S100" t="s">
        <v>4456</v>
      </c>
      <c r="T100" t="s">
        <v>4434</v>
      </c>
      <c r="U100" t="s">
        <v>4435</v>
      </c>
      <c r="V100" t="s">
        <v>4436</v>
      </c>
    </row>
    <row r="101" spans="2:22" x14ac:dyDescent="0.3">
      <c r="B101" t="s">
        <v>4432</v>
      </c>
      <c r="C101" t="s">
        <v>4455</v>
      </c>
      <c r="F101">
        <v>10</v>
      </c>
      <c r="G101">
        <v>40</v>
      </c>
      <c r="H101">
        <f t="shared" si="3"/>
        <v>10</v>
      </c>
      <c r="I101">
        <v>10</v>
      </c>
      <c r="S101" t="s">
        <v>4456</v>
      </c>
      <c r="T101" t="s">
        <v>4434</v>
      </c>
      <c r="U101" t="s">
        <v>4435</v>
      </c>
      <c r="V101" t="s">
        <v>4436</v>
      </c>
    </row>
    <row r="102" spans="2:22" x14ac:dyDescent="0.3">
      <c r="B102" t="s">
        <v>4432</v>
      </c>
      <c r="C102" t="s">
        <v>4455</v>
      </c>
      <c r="F102">
        <v>20</v>
      </c>
      <c r="G102">
        <v>40</v>
      </c>
      <c r="H102">
        <f t="shared" si="3"/>
        <v>20</v>
      </c>
      <c r="I102">
        <v>20</v>
      </c>
      <c r="S102" t="s">
        <v>4456</v>
      </c>
      <c r="T102" t="s">
        <v>4434</v>
      </c>
      <c r="U102" t="s">
        <v>4435</v>
      </c>
      <c r="V102" t="s">
        <v>4436</v>
      </c>
    </row>
    <row r="103" spans="2:22" x14ac:dyDescent="0.3">
      <c r="B103" t="s">
        <v>4432</v>
      </c>
      <c r="C103" t="s">
        <v>4455</v>
      </c>
      <c r="F103">
        <v>30</v>
      </c>
      <c r="G103">
        <v>40</v>
      </c>
      <c r="H103">
        <f t="shared" si="3"/>
        <v>30</v>
      </c>
      <c r="I103">
        <v>30</v>
      </c>
      <c r="S103" t="s">
        <v>4456</v>
      </c>
      <c r="T103" t="s">
        <v>4434</v>
      </c>
      <c r="U103" t="s">
        <v>4435</v>
      </c>
      <c r="V103" t="s">
        <v>4436</v>
      </c>
    </row>
    <row r="104" spans="2:22" x14ac:dyDescent="0.3">
      <c r="B104" t="s">
        <v>4432</v>
      </c>
      <c r="C104" t="s">
        <v>4443</v>
      </c>
      <c r="F104">
        <v>0</v>
      </c>
      <c r="G104">
        <v>40</v>
      </c>
      <c r="H104">
        <f t="shared" si="3"/>
        <v>10</v>
      </c>
      <c r="I104">
        <v>10</v>
      </c>
      <c r="S104" t="s">
        <v>4456</v>
      </c>
      <c r="T104" t="s">
        <v>4434</v>
      </c>
      <c r="U104" t="s">
        <v>4435</v>
      </c>
      <c r="V104" t="s">
        <v>4436</v>
      </c>
    </row>
    <row r="105" spans="2:22" x14ac:dyDescent="0.3">
      <c r="B105" t="s">
        <v>4432</v>
      </c>
      <c r="C105" t="s">
        <v>4443</v>
      </c>
      <c r="F105">
        <v>0</v>
      </c>
      <c r="G105">
        <v>40</v>
      </c>
      <c r="H105">
        <f t="shared" si="3"/>
        <v>20</v>
      </c>
      <c r="I105">
        <v>20</v>
      </c>
      <c r="S105" t="s">
        <v>4456</v>
      </c>
      <c r="T105" t="s">
        <v>4434</v>
      </c>
      <c r="U105" t="s">
        <v>4435</v>
      </c>
      <c r="V105" t="s">
        <v>4436</v>
      </c>
    </row>
    <row r="106" spans="2:22" x14ac:dyDescent="0.3">
      <c r="B106" t="s">
        <v>4432</v>
      </c>
      <c r="C106" t="s">
        <v>4443</v>
      </c>
      <c r="F106">
        <v>0</v>
      </c>
      <c r="G106">
        <v>40</v>
      </c>
      <c r="H106">
        <f t="shared" si="3"/>
        <v>30</v>
      </c>
      <c r="I106">
        <v>30</v>
      </c>
      <c r="S106" t="s">
        <v>4456</v>
      </c>
      <c r="T106" t="s">
        <v>4434</v>
      </c>
      <c r="U106" t="s">
        <v>4435</v>
      </c>
      <c r="V106" t="s">
        <v>4436</v>
      </c>
    </row>
    <row r="107" spans="2:22" x14ac:dyDescent="0.3">
      <c r="B107" t="s">
        <v>4432</v>
      </c>
      <c r="C107" t="s">
        <v>4443</v>
      </c>
      <c r="F107">
        <v>10</v>
      </c>
      <c r="G107">
        <v>40</v>
      </c>
      <c r="H107">
        <f t="shared" si="3"/>
        <v>10</v>
      </c>
      <c r="I107">
        <v>10</v>
      </c>
      <c r="S107" t="s">
        <v>4456</v>
      </c>
      <c r="T107" t="s">
        <v>4434</v>
      </c>
      <c r="U107" t="s">
        <v>4435</v>
      </c>
      <c r="V107" t="s">
        <v>4436</v>
      </c>
    </row>
    <row r="108" spans="2:22" x14ac:dyDescent="0.3">
      <c r="B108" t="s">
        <v>4432</v>
      </c>
      <c r="C108" t="s">
        <v>4443</v>
      </c>
      <c r="F108">
        <v>20</v>
      </c>
      <c r="G108">
        <v>40</v>
      </c>
      <c r="H108">
        <f t="shared" si="3"/>
        <v>20</v>
      </c>
      <c r="I108">
        <v>20</v>
      </c>
      <c r="S108" t="s">
        <v>4456</v>
      </c>
      <c r="T108" t="s">
        <v>4434</v>
      </c>
      <c r="U108" t="s">
        <v>4435</v>
      </c>
      <c r="V108" t="s">
        <v>4436</v>
      </c>
    </row>
    <row r="109" spans="2:22" x14ac:dyDescent="0.3">
      <c r="B109" t="s">
        <v>4432</v>
      </c>
      <c r="C109" t="s">
        <v>4443</v>
      </c>
      <c r="F109">
        <v>30</v>
      </c>
      <c r="G109">
        <v>40</v>
      </c>
      <c r="H109">
        <f t="shared" si="3"/>
        <v>30</v>
      </c>
      <c r="I109">
        <v>30</v>
      </c>
      <c r="S109" t="s">
        <v>4456</v>
      </c>
      <c r="T109" t="s">
        <v>4434</v>
      </c>
      <c r="U109" t="s">
        <v>4435</v>
      </c>
      <c r="V109" t="s">
        <v>4436</v>
      </c>
    </row>
  </sheetData>
  <sortState xmlns:xlrd2="http://schemas.microsoft.com/office/spreadsheetml/2017/richdata2" ref="A2:X109">
    <sortCondition ref="C2:C109"/>
    <sortCondition ref="D2:D109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BF749-7254-4E79-95C8-08B113F3AF7B}">
  <dimension ref="A1:X106"/>
  <sheetViews>
    <sheetView zoomScale="85" zoomScaleNormal="85" workbookViewId="0">
      <pane ySplit="2" topLeftCell="A3" activePane="bottomLeft" state="frozen"/>
      <selection pane="bottomLeft" activeCell="K29" sqref="K29"/>
    </sheetView>
  </sheetViews>
  <sheetFormatPr defaultRowHeight="16.5" x14ac:dyDescent="0.3"/>
  <cols>
    <col min="1" max="1" width="12.875" style="9" bestFit="1" customWidth="1"/>
    <col min="2" max="2" width="18.375" style="9" customWidth="1"/>
    <col min="3" max="10" width="9" style="9"/>
    <col min="11" max="11" width="10.25" style="9" customWidth="1"/>
    <col min="12" max="20" width="9" style="9"/>
    <col min="21" max="21" width="11.125" customWidth="1"/>
    <col min="22" max="22" width="10.125" customWidth="1"/>
    <col min="24" max="24" width="14.75" customWidth="1"/>
  </cols>
  <sheetData>
    <row r="1" spans="1:24" x14ac:dyDescent="0.3">
      <c r="A1" s="9">
        <v>0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 x14ac:dyDescent="0.3">
      <c r="A2" s="2" t="s">
        <v>4475</v>
      </c>
      <c r="B2" s="3" t="s">
        <v>4474</v>
      </c>
      <c r="C2" s="3" t="s">
        <v>4473</v>
      </c>
      <c r="D2" s="3" t="s">
        <v>108</v>
      </c>
      <c r="E2" s="3" t="s">
        <v>109</v>
      </c>
      <c r="F2" s="3" t="s">
        <v>110</v>
      </c>
      <c r="G2" s="3" t="s">
        <v>4464</v>
      </c>
      <c r="H2" s="3" t="s">
        <v>4465</v>
      </c>
      <c r="I2" s="3" t="s">
        <v>4466</v>
      </c>
      <c r="J2" s="3" t="s">
        <v>4467</v>
      </c>
      <c r="K2" s="3" t="s">
        <v>4468</v>
      </c>
      <c r="L2" s="3" t="s">
        <v>4469</v>
      </c>
      <c r="M2" s="3" t="s">
        <v>4470</v>
      </c>
      <c r="N2" s="3" t="s">
        <v>4471</v>
      </c>
      <c r="O2" s="3" t="s">
        <v>4472</v>
      </c>
      <c r="P2" s="21" t="s">
        <v>4459</v>
      </c>
      <c r="Q2" s="21" t="s">
        <v>4460</v>
      </c>
      <c r="R2" s="21" t="s">
        <v>4461</v>
      </c>
      <c r="S2" s="21" t="s">
        <v>4462</v>
      </c>
      <c r="T2" s="21" t="s">
        <v>4463</v>
      </c>
      <c r="U2" s="20" t="s">
        <v>4476</v>
      </c>
      <c r="V2" s="20" t="s">
        <v>4477</v>
      </c>
      <c r="W2" s="20" t="s">
        <v>4480</v>
      </c>
      <c r="X2" s="20" t="s">
        <v>4481</v>
      </c>
    </row>
    <row r="3" spans="1:24" x14ac:dyDescent="0.3">
      <c r="A3" s="9" t="s">
        <v>4482</v>
      </c>
      <c r="B3" s="9" t="s">
        <v>4483</v>
      </c>
      <c r="C3" s="9">
        <v>1</v>
      </c>
      <c r="D3" s="9">
        <v>30</v>
      </c>
      <c r="E3" s="9">
        <f>M3-D3</f>
        <v>83</v>
      </c>
      <c r="F3" s="9">
        <v>20</v>
      </c>
      <c r="G3" s="9">
        <v>2</v>
      </c>
      <c r="L3" s="9">
        <v>305</v>
      </c>
      <c r="M3" s="9">
        <v>113</v>
      </c>
      <c r="R3" s="9">
        <v>1</v>
      </c>
      <c r="T3" s="9">
        <v>2</v>
      </c>
      <c r="V3">
        <v>176</v>
      </c>
    </row>
    <row r="4" spans="1:24" x14ac:dyDescent="0.3">
      <c r="A4" s="9" t="s">
        <v>4482</v>
      </c>
      <c r="B4" s="9" t="s">
        <v>4483</v>
      </c>
      <c r="C4" s="9">
        <v>1</v>
      </c>
      <c r="D4" s="9">
        <v>40</v>
      </c>
      <c r="E4" s="9">
        <f t="shared" ref="E4:E67" si="0">M4-D4</f>
        <v>73</v>
      </c>
      <c r="F4" s="9">
        <v>20</v>
      </c>
      <c r="G4" s="9">
        <v>2</v>
      </c>
      <c r="L4" s="9">
        <v>305</v>
      </c>
      <c r="M4" s="9">
        <v>113</v>
      </c>
      <c r="R4" s="9">
        <v>1</v>
      </c>
      <c r="T4" s="9">
        <v>2</v>
      </c>
      <c r="V4">
        <v>220</v>
      </c>
    </row>
    <row r="5" spans="1:24" x14ac:dyDescent="0.3">
      <c r="A5" s="9" t="s">
        <v>4482</v>
      </c>
      <c r="B5" s="9" t="s">
        <v>4483</v>
      </c>
      <c r="C5" s="9">
        <v>1</v>
      </c>
      <c r="D5" s="9">
        <v>50</v>
      </c>
      <c r="E5" s="9">
        <f t="shared" si="0"/>
        <v>63</v>
      </c>
      <c r="F5" s="9">
        <v>20</v>
      </c>
      <c r="G5" s="9">
        <v>2</v>
      </c>
      <c r="L5" s="9">
        <v>305</v>
      </c>
      <c r="M5" s="9">
        <v>113</v>
      </c>
      <c r="R5" s="9">
        <v>1</v>
      </c>
      <c r="T5" s="9">
        <v>2</v>
      </c>
      <c r="V5">
        <v>280</v>
      </c>
    </row>
    <row r="6" spans="1:24" x14ac:dyDescent="0.3">
      <c r="A6" s="9" t="s">
        <v>4482</v>
      </c>
      <c r="B6" s="9" t="s">
        <v>4483</v>
      </c>
      <c r="C6" s="9">
        <v>1</v>
      </c>
      <c r="D6" s="9">
        <v>30</v>
      </c>
      <c r="E6" s="9">
        <f t="shared" si="0"/>
        <v>50</v>
      </c>
      <c r="F6" s="9">
        <v>20</v>
      </c>
      <c r="G6" s="9">
        <v>2</v>
      </c>
      <c r="L6" s="9">
        <v>305</v>
      </c>
      <c r="M6" s="9">
        <v>80</v>
      </c>
      <c r="R6" s="9">
        <v>1</v>
      </c>
      <c r="T6" s="9">
        <v>2</v>
      </c>
      <c r="V6">
        <v>95</v>
      </c>
    </row>
    <row r="7" spans="1:24" x14ac:dyDescent="0.3">
      <c r="A7" s="9" t="s">
        <v>4482</v>
      </c>
      <c r="B7" s="9" t="s">
        <v>4483</v>
      </c>
      <c r="C7" s="9">
        <v>1</v>
      </c>
      <c r="D7" s="9">
        <v>40</v>
      </c>
      <c r="E7" s="9">
        <f t="shared" si="0"/>
        <v>40</v>
      </c>
      <c r="F7" s="9">
        <v>20</v>
      </c>
      <c r="G7" s="9">
        <v>2</v>
      </c>
      <c r="L7" s="9">
        <v>305</v>
      </c>
      <c r="M7" s="9">
        <v>80</v>
      </c>
      <c r="R7" s="9">
        <v>1</v>
      </c>
      <c r="T7" s="9">
        <v>2</v>
      </c>
      <c r="V7">
        <v>111</v>
      </c>
    </row>
    <row r="8" spans="1:24" x14ac:dyDescent="0.3">
      <c r="A8" s="9" t="s">
        <v>4482</v>
      </c>
      <c r="B8" s="9" t="s">
        <v>4483</v>
      </c>
      <c r="C8" s="9">
        <v>1</v>
      </c>
      <c r="D8" s="9">
        <v>50</v>
      </c>
      <c r="E8" s="9">
        <f t="shared" si="0"/>
        <v>30</v>
      </c>
      <c r="F8" s="9">
        <v>20</v>
      </c>
      <c r="G8" s="9">
        <v>2</v>
      </c>
      <c r="L8" s="9">
        <v>305</v>
      </c>
      <c r="M8" s="9">
        <v>80</v>
      </c>
      <c r="R8" s="9">
        <v>1</v>
      </c>
      <c r="T8" s="9">
        <v>2</v>
      </c>
      <c r="V8">
        <v>130</v>
      </c>
    </row>
    <row r="9" spans="1:24" x14ac:dyDescent="0.3">
      <c r="A9" s="9" t="s">
        <v>4482</v>
      </c>
      <c r="B9" s="9" t="s">
        <v>4483</v>
      </c>
      <c r="C9" s="9">
        <v>1</v>
      </c>
      <c r="D9" s="9">
        <v>30</v>
      </c>
      <c r="E9" s="9">
        <f t="shared" si="0"/>
        <v>83</v>
      </c>
      <c r="F9" s="9">
        <v>20</v>
      </c>
      <c r="G9" s="9">
        <v>2</v>
      </c>
      <c r="L9" s="9">
        <v>315</v>
      </c>
      <c r="M9" s="9">
        <v>113</v>
      </c>
      <c r="R9" s="9">
        <v>1</v>
      </c>
      <c r="T9" s="9">
        <v>2</v>
      </c>
      <c r="V9">
        <v>168</v>
      </c>
    </row>
    <row r="10" spans="1:24" x14ac:dyDescent="0.3">
      <c r="A10" s="9" t="s">
        <v>4482</v>
      </c>
      <c r="B10" s="9" t="s">
        <v>4483</v>
      </c>
      <c r="C10" s="9">
        <v>1</v>
      </c>
      <c r="D10" s="9">
        <v>40</v>
      </c>
      <c r="E10" s="9">
        <f t="shared" si="0"/>
        <v>73</v>
      </c>
      <c r="F10" s="9">
        <v>20</v>
      </c>
      <c r="G10" s="9">
        <v>2</v>
      </c>
      <c r="L10" s="9">
        <v>315</v>
      </c>
      <c r="M10" s="9">
        <v>113</v>
      </c>
      <c r="R10" s="9">
        <v>1</v>
      </c>
      <c r="T10" s="9">
        <v>2</v>
      </c>
      <c r="V10">
        <v>211</v>
      </c>
    </row>
    <row r="11" spans="1:24" x14ac:dyDescent="0.3">
      <c r="A11" s="9" t="s">
        <v>4482</v>
      </c>
      <c r="B11" s="9" t="s">
        <v>4483</v>
      </c>
      <c r="C11" s="9">
        <v>1</v>
      </c>
      <c r="D11" s="9">
        <v>50</v>
      </c>
      <c r="E11" s="9">
        <f t="shared" si="0"/>
        <v>63</v>
      </c>
      <c r="F11" s="9">
        <v>20</v>
      </c>
      <c r="G11" s="9">
        <v>2</v>
      </c>
      <c r="L11" s="9">
        <v>315</v>
      </c>
      <c r="M11" s="9">
        <v>113</v>
      </c>
      <c r="R11" s="9">
        <v>1</v>
      </c>
      <c r="T11" s="9">
        <v>2</v>
      </c>
      <c r="V11">
        <v>269</v>
      </c>
    </row>
    <row r="12" spans="1:24" x14ac:dyDescent="0.3">
      <c r="A12" s="9" t="s">
        <v>4482</v>
      </c>
      <c r="B12" s="9" t="s">
        <v>4483</v>
      </c>
      <c r="C12" s="9">
        <v>1</v>
      </c>
      <c r="D12" s="9">
        <v>30</v>
      </c>
      <c r="E12" s="9">
        <f t="shared" si="0"/>
        <v>50</v>
      </c>
      <c r="F12" s="9">
        <v>20</v>
      </c>
      <c r="G12" s="9">
        <v>2</v>
      </c>
      <c r="L12" s="9">
        <v>315</v>
      </c>
      <c r="M12" s="9">
        <v>80</v>
      </c>
      <c r="R12" s="9">
        <v>1</v>
      </c>
      <c r="T12" s="9">
        <v>2</v>
      </c>
      <c r="V12">
        <v>83</v>
      </c>
    </row>
    <row r="13" spans="1:24" x14ac:dyDescent="0.3">
      <c r="A13" s="9" t="s">
        <v>4482</v>
      </c>
      <c r="B13" s="9" t="s">
        <v>4483</v>
      </c>
      <c r="C13" s="9">
        <v>1</v>
      </c>
      <c r="D13" s="9">
        <v>40</v>
      </c>
      <c r="E13" s="9">
        <f t="shared" si="0"/>
        <v>40</v>
      </c>
      <c r="F13" s="9">
        <v>20</v>
      </c>
      <c r="G13" s="9">
        <v>2</v>
      </c>
      <c r="L13" s="9">
        <v>315</v>
      </c>
      <c r="M13" s="9">
        <v>80</v>
      </c>
      <c r="R13" s="9">
        <v>1</v>
      </c>
      <c r="T13" s="9">
        <v>2</v>
      </c>
      <c r="V13">
        <v>97</v>
      </c>
    </row>
    <row r="14" spans="1:24" x14ac:dyDescent="0.3">
      <c r="A14" s="9" t="s">
        <v>4482</v>
      </c>
      <c r="B14" s="9" t="s">
        <v>4483</v>
      </c>
      <c r="C14" s="9">
        <v>1</v>
      </c>
      <c r="D14" s="9">
        <v>50</v>
      </c>
      <c r="E14" s="9">
        <f t="shared" si="0"/>
        <v>30</v>
      </c>
      <c r="F14" s="9">
        <v>20</v>
      </c>
      <c r="G14" s="9">
        <v>2</v>
      </c>
      <c r="L14" s="9">
        <v>315</v>
      </c>
      <c r="M14" s="9">
        <v>80</v>
      </c>
      <c r="R14" s="9">
        <v>1</v>
      </c>
      <c r="T14" s="9">
        <v>2</v>
      </c>
      <c r="V14">
        <v>113</v>
      </c>
    </row>
    <row r="15" spans="1:24" x14ac:dyDescent="0.3">
      <c r="A15" s="9" t="s">
        <v>4482</v>
      </c>
      <c r="B15" s="9" t="s">
        <v>4483</v>
      </c>
      <c r="C15" s="9">
        <v>1</v>
      </c>
      <c r="D15" s="9">
        <v>30</v>
      </c>
      <c r="E15" s="9">
        <f t="shared" si="0"/>
        <v>83</v>
      </c>
      <c r="F15" s="9">
        <v>20</v>
      </c>
      <c r="G15" s="9">
        <v>2</v>
      </c>
      <c r="L15" s="9">
        <v>325</v>
      </c>
      <c r="M15" s="9">
        <v>113</v>
      </c>
      <c r="R15" s="9">
        <v>1</v>
      </c>
      <c r="T15" s="9">
        <v>2</v>
      </c>
      <c r="V15">
        <v>164</v>
      </c>
    </row>
    <row r="16" spans="1:24" x14ac:dyDescent="0.3">
      <c r="A16" s="9" t="s">
        <v>4482</v>
      </c>
      <c r="B16" s="9" t="s">
        <v>4483</v>
      </c>
      <c r="C16" s="9">
        <v>1</v>
      </c>
      <c r="D16" s="9">
        <v>40</v>
      </c>
      <c r="E16" s="9">
        <f t="shared" si="0"/>
        <v>73</v>
      </c>
      <c r="F16" s="9">
        <v>20</v>
      </c>
      <c r="G16" s="9">
        <v>2</v>
      </c>
      <c r="L16" s="9">
        <v>325</v>
      </c>
      <c r="M16" s="9">
        <v>113</v>
      </c>
      <c r="R16" s="9">
        <v>1</v>
      </c>
      <c r="T16" s="9">
        <v>2</v>
      </c>
      <c r="V16">
        <v>205</v>
      </c>
    </row>
    <row r="17" spans="1:22" x14ac:dyDescent="0.3">
      <c r="A17" s="9" t="s">
        <v>4482</v>
      </c>
      <c r="B17" s="9" t="s">
        <v>4483</v>
      </c>
      <c r="C17" s="9">
        <v>1</v>
      </c>
      <c r="D17" s="9">
        <v>50</v>
      </c>
      <c r="E17" s="9">
        <f t="shared" si="0"/>
        <v>63</v>
      </c>
      <c r="F17" s="9">
        <v>20</v>
      </c>
      <c r="G17" s="9">
        <v>2</v>
      </c>
      <c r="L17" s="9">
        <v>325</v>
      </c>
      <c r="M17" s="9">
        <v>113</v>
      </c>
      <c r="R17" s="9">
        <v>1</v>
      </c>
      <c r="T17" s="9">
        <v>2</v>
      </c>
      <c r="V17">
        <v>261</v>
      </c>
    </row>
    <row r="18" spans="1:22" x14ac:dyDescent="0.3">
      <c r="A18" s="9" t="s">
        <v>4482</v>
      </c>
      <c r="B18" s="9" t="s">
        <v>4483</v>
      </c>
      <c r="C18" s="9">
        <v>1</v>
      </c>
      <c r="D18" s="9">
        <v>30</v>
      </c>
      <c r="E18" s="9">
        <f t="shared" si="0"/>
        <v>50</v>
      </c>
      <c r="F18" s="9">
        <v>20</v>
      </c>
      <c r="G18" s="9">
        <v>2</v>
      </c>
      <c r="L18" s="9">
        <v>325</v>
      </c>
      <c r="M18" s="9">
        <v>80</v>
      </c>
      <c r="R18" s="9">
        <v>1</v>
      </c>
      <c r="T18" s="9">
        <v>2</v>
      </c>
      <c r="V18">
        <v>76</v>
      </c>
    </row>
    <row r="19" spans="1:22" x14ac:dyDescent="0.3">
      <c r="A19" s="9" t="s">
        <v>4482</v>
      </c>
      <c r="B19" s="9" t="s">
        <v>4483</v>
      </c>
      <c r="C19" s="9">
        <v>1</v>
      </c>
      <c r="D19" s="9">
        <v>40</v>
      </c>
      <c r="E19" s="9">
        <f t="shared" si="0"/>
        <v>40</v>
      </c>
      <c r="F19" s="9">
        <v>20</v>
      </c>
      <c r="G19" s="9">
        <v>2</v>
      </c>
      <c r="L19" s="9">
        <v>325</v>
      </c>
      <c r="M19" s="9">
        <v>80</v>
      </c>
      <c r="R19" s="9">
        <v>1</v>
      </c>
      <c r="T19" s="9">
        <v>2</v>
      </c>
      <c r="V19">
        <v>88</v>
      </c>
    </row>
    <row r="20" spans="1:22" x14ac:dyDescent="0.3">
      <c r="A20" s="9" t="s">
        <v>4482</v>
      </c>
      <c r="B20" s="9" t="s">
        <v>4483</v>
      </c>
      <c r="C20" s="9">
        <v>1</v>
      </c>
      <c r="D20" s="9">
        <v>50</v>
      </c>
      <c r="E20" s="9">
        <f t="shared" si="0"/>
        <v>30</v>
      </c>
      <c r="F20" s="9">
        <v>20</v>
      </c>
      <c r="G20" s="9">
        <v>2</v>
      </c>
      <c r="L20" s="9">
        <v>325</v>
      </c>
      <c r="M20" s="9">
        <v>80</v>
      </c>
      <c r="R20" s="9">
        <v>1</v>
      </c>
      <c r="T20" s="9">
        <v>2</v>
      </c>
      <c r="V20">
        <v>103</v>
      </c>
    </row>
    <row r="21" spans="1:22" x14ac:dyDescent="0.3">
      <c r="A21" s="9" t="s">
        <v>4482</v>
      </c>
      <c r="B21" s="9" t="s">
        <v>4483</v>
      </c>
      <c r="C21" s="9">
        <v>1</v>
      </c>
      <c r="D21" s="9">
        <v>30</v>
      </c>
      <c r="E21" s="9">
        <f t="shared" si="0"/>
        <v>83</v>
      </c>
      <c r="F21" s="9">
        <v>20</v>
      </c>
      <c r="G21" s="9">
        <v>2</v>
      </c>
      <c r="L21" s="9">
        <v>0</v>
      </c>
      <c r="M21" s="9">
        <v>113</v>
      </c>
      <c r="R21" s="9">
        <v>1</v>
      </c>
      <c r="T21" s="9">
        <v>2</v>
      </c>
      <c r="V21">
        <v>147</v>
      </c>
    </row>
    <row r="22" spans="1:22" x14ac:dyDescent="0.3">
      <c r="A22" s="9" t="s">
        <v>4482</v>
      </c>
      <c r="B22" s="9" t="s">
        <v>4483</v>
      </c>
      <c r="C22" s="9">
        <v>1</v>
      </c>
      <c r="D22" s="9">
        <v>40</v>
      </c>
      <c r="E22" s="9">
        <f t="shared" si="0"/>
        <v>73</v>
      </c>
      <c r="F22" s="9">
        <v>20</v>
      </c>
      <c r="G22" s="9">
        <v>2</v>
      </c>
      <c r="L22" s="9">
        <v>0</v>
      </c>
      <c r="M22" s="9">
        <v>113</v>
      </c>
      <c r="R22" s="9">
        <v>1</v>
      </c>
      <c r="T22" s="9">
        <v>2</v>
      </c>
      <c r="V22">
        <v>185</v>
      </c>
    </row>
    <row r="23" spans="1:22" x14ac:dyDescent="0.3">
      <c r="A23" s="9" t="s">
        <v>4482</v>
      </c>
      <c r="B23" s="9" t="s">
        <v>4483</v>
      </c>
      <c r="C23" s="9">
        <v>1</v>
      </c>
      <c r="D23" s="9">
        <v>50</v>
      </c>
      <c r="E23" s="9">
        <f t="shared" si="0"/>
        <v>63</v>
      </c>
      <c r="F23" s="9">
        <v>20</v>
      </c>
      <c r="G23" s="9">
        <v>2</v>
      </c>
      <c r="L23" s="9">
        <v>0</v>
      </c>
      <c r="M23" s="9">
        <v>113</v>
      </c>
      <c r="R23" s="9">
        <v>1</v>
      </c>
      <c r="T23" s="9">
        <v>2</v>
      </c>
      <c r="V23">
        <v>236</v>
      </c>
    </row>
    <row r="24" spans="1:22" x14ac:dyDescent="0.3">
      <c r="A24" s="9" t="s">
        <v>4482</v>
      </c>
      <c r="B24" s="9" t="s">
        <v>4483</v>
      </c>
      <c r="C24" s="9">
        <v>1</v>
      </c>
      <c r="D24" s="9">
        <v>30</v>
      </c>
      <c r="E24" s="9">
        <f t="shared" si="0"/>
        <v>50</v>
      </c>
      <c r="F24" s="9">
        <v>20</v>
      </c>
      <c r="G24" s="9">
        <v>2</v>
      </c>
      <c r="L24" s="9">
        <v>0</v>
      </c>
      <c r="M24" s="9">
        <v>80</v>
      </c>
      <c r="R24" s="9">
        <v>1</v>
      </c>
      <c r="T24" s="9">
        <v>2</v>
      </c>
      <c r="V24">
        <v>55</v>
      </c>
    </row>
    <row r="25" spans="1:22" x14ac:dyDescent="0.3">
      <c r="A25" s="9" t="s">
        <v>4482</v>
      </c>
      <c r="B25" s="9" t="s">
        <v>4483</v>
      </c>
      <c r="C25" s="9">
        <v>1</v>
      </c>
      <c r="D25" s="9">
        <v>40</v>
      </c>
      <c r="E25" s="9">
        <f t="shared" si="0"/>
        <v>40</v>
      </c>
      <c r="F25" s="9">
        <v>20</v>
      </c>
      <c r="G25" s="9">
        <v>2</v>
      </c>
      <c r="L25" s="9">
        <v>0</v>
      </c>
      <c r="M25" s="9">
        <v>80</v>
      </c>
      <c r="R25" s="9">
        <v>1</v>
      </c>
      <c r="T25" s="9">
        <v>2</v>
      </c>
      <c r="V25">
        <v>62</v>
      </c>
    </row>
    <row r="26" spans="1:22" x14ac:dyDescent="0.3">
      <c r="A26" s="9" t="s">
        <v>4482</v>
      </c>
      <c r="B26" s="9" t="s">
        <v>4483</v>
      </c>
      <c r="C26" s="9">
        <v>1</v>
      </c>
      <c r="D26" s="9">
        <v>50</v>
      </c>
      <c r="E26" s="9">
        <f t="shared" si="0"/>
        <v>30</v>
      </c>
      <c r="F26" s="9">
        <v>20</v>
      </c>
      <c r="G26" s="9">
        <v>2</v>
      </c>
      <c r="L26" s="9">
        <v>0</v>
      </c>
      <c r="M26" s="9">
        <v>80</v>
      </c>
      <c r="R26" s="9">
        <v>1</v>
      </c>
      <c r="T26" s="9">
        <v>2</v>
      </c>
      <c r="V26">
        <v>70</v>
      </c>
    </row>
    <row r="27" spans="1:22" x14ac:dyDescent="0.3">
      <c r="A27" s="9" t="s">
        <v>4482</v>
      </c>
      <c r="B27" s="9" t="s">
        <v>4483</v>
      </c>
      <c r="C27" s="9">
        <v>1</v>
      </c>
      <c r="D27" s="9">
        <v>40</v>
      </c>
      <c r="E27" s="9">
        <f t="shared" si="0"/>
        <v>73</v>
      </c>
      <c r="F27" s="9">
        <v>5</v>
      </c>
      <c r="G27" s="9">
        <v>2</v>
      </c>
      <c r="L27" s="9">
        <v>335</v>
      </c>
      <c r="M27" s="9">
        <v>113</v>
      </c>
      <c r="R27" s="9">
        <v>1</v>
      </c>
      <c r="T27" s="9">
        <v>2</v>
      </c>
      <c r="V27">
        <v>624</v>
      </c>
    </row>
    <row r="28" spans="1:22" x14ac:dyDescent="0.3">
      <c r="A28" s="9" t="s">
        <v>4482</v>
      </c>
      <c r="B28" s="9" t="s">
        <v>4483</v>
      </c>
      <c r="C28" s="9">
        <v>1</v>
      </c>
      <c r="D28" s="9">
        <v>40</v>
      </c>
      <c r="E28" s="9">
        <f t="shared" si="0"/>
        <v>73</v>
      </c>
      <c r="F28" s="9">
        <v>10</v>
      </c>
      <c r="G28" s="9">
        <v>2</v>
      </c>
      <c r="L28" s="9">
        <v>335</v>
      </c>
      <c r="M28" s="9">
        <v>113</v>
      </c>
      <c r="R28" s="9">
        <v>1</v>
      </c>
      <c r="T28" s="9">
        <v>2</v>
      </c>
      <c r="V28">
        <v>342</v>
      </c>
    </row>
    <row r="29" spans="1:22" x14ac:dyDescent="0.3">
      <c r="A29" s="9" t="s">
        <v>4482</v>
      </c>
      <c r="B29" s="9" t="s">
        <v>4483</v>
      </c>
      <c r="C29" s="9">
        <v>1</v>
      </c>
      <c r="D29" s="9">
        <v>40</v>
      </c>
      <c r="E29" s="9">
        <f t="shared" si="0"/>
        <v>73</v>
      </c>
      <c r="F29" s="9">
        <v>30</v>
      </c>
      <c r="G29" s="9">
        <v>2</v>
      </c>
      <c r="L29" s="9">
        <v>335</v>
      </c>
      <c r="M29" s="9">
        <v>113</v>
      </c>
      <c r="R29" s="9">
        <v>1</v>
      </c>
      <c r="T29" s="9">
        <v>2</v>
      </c>
      <c r="V29">
        <v>157</v>
      </c>
    </row>
    <row r="30" spans="1:22" x14ac:dyDescent="0.3">
      <c r="A30" s="9" t="s">
        <v>4482</v>
      </c>
      <c r="B30" s="9" t="s">
        <v>4483</v>
      </c>
      <c r="C30" s="9">
        <v>1</v>
      </c>
      <c r="D30" s="9">
        <v>40</v>
      </c>
      <c r="E30" s="9">
        <f t="shared" si="0"/>
        <v>40</v>
      </c>
      <c r="F30" s="9">
        <v>5</v>
      </c>
      <c r="G30" s="9">
        <v>2</v>
      </c>
      <c r="L30" s="9">
        <v>335</v>
      </c>
      <c r="M30" s="9">
        <v>80</v>
      </c>
      <c r="R30" s="9">
        <v>1</v>
      </c>
      <c r="T30" s="9">
        <v>2</v>
      </c>
      <c r="V30">
        <v>252</v>
      </c>
    </row>
    <row r="31" spans="1:22" x14ac:dyDescent="0.3">
      <c r="A31" s="9" t="s">
        <v>4482</v>
      </c>
      <c r="B31" s="9" t="s">
        <v>4483</v>
      </c>
      <c r="C31" s="9">
        <v>1</v>
      </c>
      <c r="D31" s="9">
        <v>40</v>
      </c>
      <c r="E31" s="9">
        <f t="shared" si="0"/>
        <v>40</v>
      </c>
      <c r="F31" s="9">
        <v>10</v>
      </c>
      <c r="G31" s="9">
        <v>2</v>
      </c>
      <c r="L31" s="9">
        <v>335</v>
      </c>
      <c r="M31" s="9">
        <v>80</v>
      </c>
      <c r="R31" s="9">
        <v>1</v>
      </c>
      <c r="T31" s="9">
        <v>2</v>
      </c>
      <c r="V31">
        <v>139</v>
      </c>
    </row>
    <row r="32" spans="1:22" x14ac:dyDescent="0.3">
      <c r="A32" s="9" t="s">
        <v>4482</v>
      </c>
      <c r="B32" s="9" t="s">
        <v>4483</v>
      </c>
      <c r="C32" s="9">
        <v>1</v>
      </c>
      <c r="D32" s="9">
        <v>40</v>
      </c>
      <c r="E32" s="9">
        <f t="shared" si="0"/>
        <v>40</v>
      </c>
      <c r="F32" s="9">
        <v>30</v>
      </c>
      <c r="G32" s="9">
        <v>2</v>
      </c>
      <c r="L32" s="9">
        <v>335</v>
      </c>
      <c r="M32" s="9">
        <v>80</v>
      </c>
      <c r="R32" s="9">
        <v>1</v>
      </c>
      <c r="T32" s="9">
        <v>2</v>
      </c>
      <c r="V32">
        <v>64</v>
      </c>
    </row>
    <row r="33" spans="1:22" x14ac:dyDescent="0.3">
      <c r="A33" s="9" t="s">
        <v>4482</v>
      </c>
      <c r="B33" s="9" t="s">
        <v>4483</v>
      </c>
      <c r="C33" s="9">
        <v>1</v>
      </c>
      <c r="D33" s="9">
        <v>40</v>
      </c>
      <c r="E33" s="9">
        <f t="shared" si="0"/>
        <v>73</v>
      </c>
      <c r="F33" s="9">
        <v>5</v>
      </c>
      <c r="G33" s="9">
        <v>2</v>
      </c>
      <c r="L33" s="9">
        <v>345</v>
      </c>
      <c r="M33" s="9">
        <v>113</v>
      </c>
      <c r="R33" s="9">
        <v>1</v>
      </c>
      <c r="T33" s="9">
        <v>2</v>
      </c>
      <c r="V33">
        <v>615</v>
      </c>
    </row>
    <row r="34" spans="1:22" x14ac:dyDescent="0.3">
      <c r="A34" s="9" t="s">
        <v>4482</v>
      </c>
      <c r="B34" s="9" t="s">
        <v>4483</v>
      </c>
      <c r="C34" s="9">
        <v>1</v>
      </c>
      <c r="D34" s="9">
        <v>40</v>
      </c>
      <c r="E34" s="9">
        <f t="shared" si="0"/>
        <v>73</v>
      </c>
      <c r="F34" s="9">
        <v>10</v>
      </c>
      <c r="G34" s="9">
        <v>2</v>
      </c>
      <c r="L34" s="9">
        <v>345</v>
      </c>
      <c r="M34" s="9">
        <v>113</v>
      </c>
      <c r="R34" s="9">
        <v>1</v>
      </c>
      <c r="T34" s="9">
        <v>2</v>
      </c>
      <c r="V34">
        <v>337</v>
      </c>
    </row>
    <row r="35" spans="1:22" x14ac:dyDescent="0.3">
      <c r="A35" s="9" t="s">
        <v>4482</v>
      </c>
      <c r="B35" s="9" t="s">
        <v>4483</v>
      </c>
      <c r="C35" s="9">
        <v>1</v>
      </c>
      <c r="D35" s="9">
        <v>40</v>
      </c>
      <c r="E35" s="9">
        <f t="shared" si="0"/>
        <v>73</v>
      </c>
      <c r="F35" s="9">
        <v>30</v>
      </c>
      <c r="G35" s="9">
        <v>2</v>
      </c>
      <c r="L35" s="9">
        <v>345</v>
      </c>
      <c r="M35" s="9">
        <v>113</v>
      </c>
      <c r="R35" s="9">
        <v>1</v>
      </c>
      <c r="T35" s="9">
        <v>2</v>
      </c>
      <c r="V35">
        <v>155</v>
      </c>
    </row>
    <row r="36" spans="1:22" x14ac:dyDescent="0.3">
      <c r="A36" s="9" t="s">
        <v>4482</v>
      </c>
      <c r="B36" s="9" t="s">
        <v>4483</v>
      </c>
      <c r="C36" s="9">
        <v>1</v>
      </c>
      <c r="D36" s="9">
        <v>40</v>
      </c>
      <c r="E36" s="9">
        <f t="shared" si="0"/>
        <v>40</v>
      </c>
      <c r="F36" s="9">
        <v>5</v>
      </c>
      <c r="G36" s="9">
        <v>2</v>
      </c>
      <c r="L36" s="9">
        <v>345</v>
      </c>
      <c r="M36" s="9">
        <v>80</v>
      </c>
      <c r="R36" s="9">
        <v>1</v>
      </c>
      <c r="T36" s="9">
        <v>2</v>
      </c>
      <c r="V36">
        <v>239</v>
      </c>
    </row>
    <row r="37" spans="1:22" x14ac:dyDescent="0.3">
      <c r="A37" s="9" t="s">
        <v>4482</v>
      </c>
      <c r="B37" s="9" t="s">
        <v>4483</v>
      </c>
      <c r="C37" s="9">
        <v>1</v>
      </c>
      <c r="D37" s="9">
        <v>40</v>
      </c>
      <c r="E37" s="9">
        <f t="shared" si="0"/>
        <v>40</v>
      </c>
      <c r="F37" s="9">
        <v>10</v>
      </c>
      <c r="G37" s="9">
        <v>2</v>
      </c>
      <c r="L37" s="9">
        <v>345</v>
      </c>
      <c r="M37" s="9">
        <v>80</v>
      </c>
      <c r="R37" s="9">
        <v>1</v>
      </c>
      <c r="T37" s="9">
        <v>2</v>
      </c>
      <c r="V37">
        <v>131</v>
      </c>
    </row>
    <row r="38" spans="1:22" x14ac:dyDescent="0.3">
      <c r="A38" s="9" t="s">
        <v>4482</v>
      </c>
      <c r="B38" s="9" t="s">
        <v>4483</v>
      </c>
      <c r="C38" s="9">
        <v>1</v>
      </c>
      <c r="D38" s="9">
        <v>40</v>
      </c>
      <c r="E38" s="9">
        <f t="shared" si="0"/>
        <v>40</v>
      </c>
      <c r="F38" s="9">
        <v>30</v>
      </c>
      <c r="G38" s="9">
        <v>2</v>
      </c>
      <c r="L38" s="9">
        <v>345</v>
      </c>
      <c r="M38" s="9">
        <v>80</v>
      </c>
      <c r="R38" s="9">
        <v>1</v>
      </c>
      <c r="T38" s="9">
        <v>2</v>
      </c>
      <c r="V38">
        <v>60</v>
      </c>
    </row>
    <row r="39" spans="1:22" x14ac:dyDescent="0.3">
      <c r="A39" s="9" t="s">
        <v>4482</v>
      </c>
      <c r="B39" s="9" t="s">
        <v>4483</v>
      </c>
      <c r="C39" s="9">
        <v>1</v>
      </c>
      <c r="D39" s="9">
        <v>40</v>
      </c>
      <c r="E39" s="9">
        <f t="shared" si="0"/>
        <v>73</v>
      </c>
      <c r="F39" s="9">
        <v>5</v>
      </c>
      <c r="G39" s="9">
        <v>2</v>
      </c>
      <c r="L39" s="9">
        <v>355</v>
      </c>
      <c r="M39" s="9">
        <v>113</v>
      </c>
      <c r="R39" s="9">
        <v>1</v>
      </c>
      <c r="T39" s="9">
        <v>2</v>
      </c>
      <c r="V39">
        <v>605</v>
      </c>
    </row>
    <row r="40" spans="1:22" x14ac:dyDescent="0.3">
      <c r="A40" s="9" t="s">
        <v>4482</v>
      </c>
      <c r="B40" s="9" t="s">
        <v>4483</v>
      </c>
      <c r="C40" s="9">
        <v>1</v>
      </c>
      <c r="D40" s="9">
        <v>40</v>
      </c>
      <c r="E40" s="9">
        <f t="shared" si="0"/>
        <v>73</v>
      </c>
      <c r="F40" s="9">
        <v>10</v>
      </c>
      <c r="G40" s="9">
        <v>2</v>
      </c>
      <c r="L40" s="9">
        <v>355</v>
      </c>
      <c r="M40" s="9">
        <v>113</v>
      </c>
      <c r="R40" s="9">
        <v>1</v>
      </c>
      <c r="T40" s="9">
        <v>2</v>
      </c>
      <c r="V40">
        <v>331</v>
      </c>
    </row>
    <row r="41" spans="1:22" x14ac:dyDescent="0.3">
      <c r="A41" s="9" t="s">
        <v>4482</v>
      </c>
      <c r="B41" s="9" t="s">
        <v>4483</v>
      </c>
      <c r="C41" s="9">
        <v>1</v>
      </c>
      <c r="D41" s="9">
        <v>40</v>
      </c>
      <c r="E41" s="9">
        <f t="shared" si="0"/>
        <v>73</v>
      </c>
      <c r="F41" s="9">
        <v>30</v>
      </c>
      <c r="G41" s="9">
        <v>2</v>
      </c>
      <c r="L41" s="9">
        <v>355</v>
      </c>
      <c r="M41" s="9">
        <v>113</v>
      </c>
      <c r="R41" s="9">
        <v>1</v>
      </c>
      <c r="T41" s="9">
        <v>2</v>
      </c>
      <c r="V41">
        <v>152</v>
      </c>
    </row>
    <row r="42" spans="1:22" x14ac:dyDescent="0.3">
      <c r="A42" s="9" t="s">
        <v>4482</v>
      </c>
      <c r="B42" s="9" t="s">
        <v>4483</v>
      </c>
      <c r="C42" s="9">
        <v>1</v>
      </c>
      <c r="D42" s="9">
        <v>40</v>
      </c>
      <c r="E42" s="9">
        <f t="shared" si="0"/>
        <v>40</v>
      </c>
      <c r="F42" s="9">
        <v>5</v>
      </c>
      <c r="G42" s="9">
        <v>2</v>
      </c>
      <c r="L42" s="9">
        <v>355</v>
      </c>
      <c r="M42" s="9">
        <v>80</v>
      </c>
      <c r="R42" s="9">
        <v>1</v>
      </c>
      <c r="T42" s="9">
        <v>2</v>
      </c>
      <c r="V42">
        <v>226</v>
      </c>
    </row>
    <row r="43" spans="1:22" x14ac:dyDescent="0.3">
      <c r="A43" s="9" t="s">
        <v>4482</v>
      </c>
      <c r="B43" s="9" t="s">
        <v>4483</v>
      </c>
      <c r="C43" s="9">
        <v>1</v>
      </c>
      <c r="D43" s="9">
        <v>40</v>
      </c>
      <c r="E43" s="9">
        <f t="shared" si="0"/>
        <v>40</v>
      </c>
      <c r="F43" s="9">
        <v>10</v>
      </c>
      <c r="G43" s="9">
        <v>2</v>
      </c>
      <c r="L43" s="9">
        <v>355</v>
      </c>
      <c r="M43" s="9">
        <v>80</v>
      </c>
      <c r="R43" s="9">
        <v>1</v>
      </c>
      <c r="T43" s="9">
        <v>2</v>
      </c>
      <c r="V43">
        <v>124</v>
      </c>
    </row>
    <row r="44" spans="1:22" x14ac:dyDescent="0.3">
      <c r="A44" s="9" t="s">
        <v>4482</v>
      </c>
      <c r="B44" s="9" t="s">
        <v>4483</v>
      </c>
      <c r="C44" s="9">
        <v>1</v>
      </c>
      <c r="D44" s="9">
        <v>40</v>
      </c>
      <c r="E44" s="9">
        <f t="shared" si="0"/>
        <v>40</v>
      </c>
      <c r="F44" s="9">
        <v>30</v>
      </c>
      <c r="G44" s="9">
        <v>2</v>
      </c>
      <c r="L44" s="9">
        <v>355</v>
      </c>
      <c r="M44" s="9">
        <v>80</v>
      </c>
      <c r="R44" s="9">
        <v>1</v>
      </c>
      <c r="T44" s="9">
        <v>2</v>
      </c>
      <c r="V44">
        <v>57</v>
      </c>
    </row>
    <row r="45" spans="1:22" x14ac:dyDescent="0.3">
      <c r="A45" s="9" t="s">
        <v>4482</v>
      </c>
      <c r="B45" s="9" t="s">
        <v>4483</v>
      </c>
      <c r="C45" s="9">
        <v>1</v>
      </c>
      <c r="D45" s="9">
        <v>40</v>
      </c>
      <c r="E45" s="9">
        <f t="shared" si="0"/>
        <v>73</v>
      </c>
      <c r="F45" s="9">
        <v>5</v>
      </c>
      <c r="G45" s="9">
        <v>2</v>
      </c>
      <c r="L45" s="9">
        <v>0</v>
      </c>
      <c r="M45" s="9">
        <v>113</v>
      </c>
      <c r="R45" s="9">
        <v>1</v>
      </c>
      <c r="T45" s="9">
        <v>2</v>
      </c>
      <c r="V45">
        <v>578</v>
      </c>
    </row>
    <row r="46" spans="1:22" x14ac:dyDescent="0.3">
      <c r="A46" s="9" t="s">
        <v>4482</v>
      </c>
      <c r="B46" s="9" t="s">
        <v>4483</v>
      </c>
      <c r="C46" s="9">
        <v>1</v>
      </c>
      <c r="D46" s="9">
        <v>40</v>
      </c>
      <c r="E46" s="9">
        <f t="shared" si="0"/>
        <v>73</v>
      </c>
      <c r="F46" s="9">
        <v>10</v>
      </c>
      <c r="G46" s="9">
        <v>2</v>
      </c>
      <c r="L46" s="9">
        <v>0</v>
      </c>
      <c r="M46" s="9">
        <v>113</v>
      </c>
      <c r="R46" s="9">
        <v>1</v>
      </c>
      <c r="T46" s="9">
        <v>2</v>
      </c>
      <c r="V46">
        <v>316</v>
      </c>
    </row>
    <row r="47" spans="1:22" x14ac:dyDescent="0.3">
      <c r="A47" s="9" t="s">
        <v>4482</v>
      </c>
      <c r="B47" s="9" t="s">
        <v>4483</v>
      </c>
      <c r="C47" s="9">
        <v>1</v>
      </c>
      <c r="D47" s="9">
        <v>40</v>
      </c>
      <c r="E47" s="9">
        <f t="shared" si="0"/>
        <v>73</v>
      </c>
      <c r="F47" s="9">
        <v>30</v>
      </c>
      <c r="G47" s="9">
        <v>2</v>
      </c>
      <c r="L47" s="9">
        <v>0</v>
      </c>
      <c r="M47" s="9">
        <v>113</v>
      </c>
      <c r="R47" s="9">
        <v>1</v>
      </c>
      <c r="T47" s="9">
        <v>2</v>
      </c>
      <c r="V47">
        <v>145</v>
      </c>
    </row>
    <row r="48" spans="1:22" x14ac:dyDescent="0.3">
      <c r="A48" s="9" t="s">
        <v>4482</v>
      </c>
      <c r="B48" s="9" t="s">
        <v>4483</v>
      </c>
      <c r="C48" s="9">
        <v>1</v>
      </c>
      <c r="D48" s="9">
        <v>40</v>
      </c>
      <c r="E48" s="9">
        <f t="shared" si="0"/>
        <v>40</v>
      </c>
      <c r="F48" s="9">
        <v>5</v>
      </c>
      <c r="G48" s="9">
        <v>2</v>
      </c>
      <c r="L48" s="9">
        <v>0</v>
      </c>
      <c r="M48" s="9">
        <v>80</v>
      </c>
      <c r="R48" s="9">
        <v>1</v>
      </c>
      <c r="T48" s="9">
        <v>2</v>
      </c>
      <c r="V48">
        <v>191</v>
      </c>
    </row>
    <row r="49" spans="1:22" x14ac:dyDescent="0.3">
      <c r="A49" s="9" t="s">
        <v>4482</v>
      </c>
      <c r="B49" s="9" t="s">
        <v>4483</v>
      </c>
      <c r="C49" s="9">
        <v>1</v>
      </c>
      <c r="D49" s="9">
        <v>40</v>
      </c>
      <c r="E49" s="9">
        <f t="shared" si="0"/>
        <v>40</v>
      </c>
      <c r="F49" s="9">
        <v>10</v>
      </c>
      <c r="G49" s="9">
        <v>2</v>
      </c>
      <c r="L49" s="9">
        <v>0</v>
      </c>
      <c r="M49" s="9">
        <v>80</v>
      </c>
      <c r="R49" s="9">
        <v>1</v>
      </c>
      <c r="T49" s="9">
        <v>2</v>
      </c>
      <c r="V49">
        <v>105</v>
      </c>
    </row>
    <row r="50" spans="1:22" x14ac:dyDescent="0.3">
      <c r="A50" s="9" t="s">
        <v>4482</v>
      </c>
      <c r="B50" s="9" t="s">
        <v>4483</v>
      </c>
      <c r="C50" s="9">
        <v>1</v>
      </c>
      <c r="D50" s="9">
        <v>40</v>
      </c>
      <c r="E50" s="9">
        <f t="shared" si="0"/>
        <v>40</v>
      </c>
      <c r="F50" s="9">
        <v>30</v>
      </c>
      <c r="G50" s="9">
        <v>2</v>
      </c>
      <c r="L50" s="9">
        <v>0</v>
      </c>
      <c r="M50" s="9">
        <v>80</v>
      </c>
      <c r="R50" s="9">
        <v>1</v>
      </c>
      <c r="T50" s="9">
        <v>2</v>
      </c>
      <c r="V50">
        <v>48</v>
      </c>
    </row>
    <row r="51" spans="1:22" x14ac:dyDescent="0.3">
      <c r="A51" s="9" t="s">
        <v>4482</v>
      </c>
      <c r="B51" s="9" t="s">
        <v>4483</v>
      </c>
      <c r="C51" s="9">
        <v>2</v>
      </c>
      <c r="D51" s="9">
        <v>30</v>
      </c>
      <c r="E51" s="9">
        <f t="shared" si="0"/>
        <v>83</v>
      </c>
      <c r="F51" s="9">
        <v>20</v>
      </c>
      <c r="G51" s="9">
        <v>2</v>
      </c>
      <c r="L51" s="9">
        <v>305</v>
      </c>
      <c r="M51" s="9">
        <v>113</v>
      </c>
      <c r="V51">
        <v>208</v>
      </c>
    </row>
    <row r="52" spans="1:22" x14ac:dyDescent="0.3">
      <c r="A52" s="9" t="s">
        <v>4482</v>
      </c>
      <c r="B52" s="9" t="s">
        <v>4483</v>
      </c>
      <c r="C52" s="9">
        <v>2</v>
      </c>
      <c r="D52" s="9">
        <v>40</v>
      </c>
      <c r="E52" s="9">
        <f t="shared" si="0"/>
        <v>73</v>
      </c>
      <c r="F52" s="9">
        <v>20</v>
      </c>
      <c r="G52" s="9">
        <v>2</v>
      </c>
      <c r="L52" s="9">
        <v>305</v>
      </c>
      <c r="M52" s="9">
        <v>113</v>
      </c>
      <c r="V52">
        <v>255</v>
      </c>
    </row>
    <row r="53" spans="1:22" x14ac:dyDescent="0.3">
      <c r="A53" s="9" t="s">
        <v>4482</v>
      </c>
      <c r="B53" s="9" t="s">
        <v>4483</v>
      </c>
      <c r="C53" s="9">
        <v>2</v>
      </c>
      <c r="D53" s="9">
        <v>50</v>
      </c>
      <c r="E53" s="9">
        <f t="shared" si="0"/>
        <v>63</v>
      </c>
      <c r="F53" s="9">
        <v>20</v>
      </c>
      <c r="G53" s="9">
        <v>2</v>
      </c>
      <c r="L53" s="9">
        <v>305</v>
      </c>
      <c r="M53" s="9">
        <v>113</v>
      </c>
      <c r="V53">
        <v>315</v>
      </c>
    </row>
    <row r="54" spans="1:22" x14ac:dyDescent="0.3">
      <c r="A54" s="9" t="s">
        <v>4482</v>
      </c>
      <c r="B54" s="9" t="s">
        <v>4483</v>
      </c>
      <c r="C54" s="9">
        <v>2</v>
      </c>
      <c r="D54" s="9">
        <v>30</v>
      </c>
      <c r="E54" s="9">
        <f t="shared" si="0"/>
        <v>50</v>
      </c>
      <c r="F54" s="9">
        <v>20</v>
      </c>
      <c r="G54" s="9">
        <v>2</v>
      </c>
      <c r="L54" s="9">
        <v>305</v>
      </c>
      <c r="M54" s="9">
        <v>80</v>
      </c>
      <c r="V54">
        <v>106</v>
      </c>
    </row>
    <row r="55" spans="1:22" x14ac:dyDescent="0.3">
      <c r="A55" s="9" t="s">
        <v>4482</v>
      </c>
      <c r="B55" s="9" t="s">
        <v>4483</v>
      </c>
      <c r="C55" s="9">
        <v>2</v>
      </c>
      <c r="D55" s="9">
        <v>40</v>
      </c>
      <c r="E55" s="9">
        <f t="shared" si="0"/>
        <v>40</v>
      </c>
      <c r="F55" s="9">
        <v>20</v>
      </c>
      <c r="G55" s="9">
        <v>2</v>
      </c>
      <c r="L55" s="9">
        <v>305</v>
      </c>
      <c r="M55" s="9">
        <v>80</v>
      </c>
      <c r="V55">
        <v>122</v>
      </c>
    </row>
    <row r="56" spans="1:22" x14ac:dyDescent="0.3">
      <c r="A56" s="9" t="s">
        <v>4482</v>
      </c>
      <c r="B56" s="9" t="s">
        <v>4483</v>
      </c>
      <c r="C56" s="9">
        <v>2</v>
      </c>
      <c r="D56" s="9">
        <v>50</v>
      </c>
      <c r="E56" s="9">
        <f t="shared" si="0"/>
        <v>30</v>
      </c>
      <c r="F56" s="9">
        <v>20</v>
      </c>
      <c r="G56" s="9">
        <v>2</v>
      </c>
      <c r="L56" s="9">
        <v>305</v>
      </c>
      <c r="M56" s="9">
        <v>80</v>
      </c>
      <c r="V56">
        <v>139</v>
      </c>
    </row>
    <row r="57" spans="1:22" x14ac:dyDescent="0.3">
      <c r="A57" s="9" t="s">
        <v>4482</v>
      </c>
      <c r="B57" s="9" t="s">
        <v>4483</v>
      </c>
      <c r="C57" s="9">
        <v>2</v>
      </c>
      <c r="D57" s="9">
        <v>30</v>
      </c>
      <c r="E57" s="9">
        <f t="shared" si="0"/>
        <v>83</v>
      </c>
      <c r="F57" s="9">
        <v>20</v>
      </c>
      <c r="G57" s="9">
        <v>2</v>
      </c>
      <c r="L57" s="9">
        <v>315</v>
      </c>
      <c r="M57" s="9">
        <v>113</v>
      </c>
      <c r="V57">
        <v>200</v>
      </c>
    </row>
    <row r="58" spans="1:22" x14ac:dyDescent="0.3">
      <c r="A58" s="9" t="s">
        <v>4482</v>
      </c>
      <c r="B58" s="9" t="s">
        <v>4483</v>
      </c>
      <c r="C58" s="9">
        <v>2</v>
      </c>
      <c r="D58" s="9">
        <v>40</v>
      </c>
      <c r="E58" s="9">
        <f t="shared" si="0"/>
        <v>73</v>
      </c>
      <c r="F58" s="9">
        <v>20</v>
      </c>
      <c r="G58" s="9">
        <v>2</v>
      </c>
      <c r="L58" s="9">
        <v>315</v>
      </c>
      <c r="M58" s="9">
        <v>113</v>
      </c>
      <c r="V58">
        <v>245</v>
      </c>
    </row>
    <row r="59" spans="1:22" x14ac:dyDescent="0.3">
      <c r="A59" s="9" t="s">
        <v>4482</v>
      </c>
      <c r="B59" s="9" t="s">
        <v>4483</v>
      </c>
      <c r="C59" s="9">
        <v>2</v>
      </c>
      <c r="D59" s="9">
        <v>50</v>
      </c>
      <c r="E59" s="9">
        <f t="shared" si="0"/>
        <v>63</v>
      </c>
      <c r="F59" s="9">
        <v>20</v>
      </c>
      <c r="G59" s="9">
        <v>2</v>
      </c>
      <c r="L59" s="9">
        <v>315</v>
      </c>
      <c r="M59" s="9">
        <v>113</v>
      </c>
      <c r="V59">
        <v>304</v>
      </c>
    </row>
    <row r="60" spans="1:22" x14ac:dyDescent="0.3">
      <c r="A60" s="9" t="s">
        <v>4482</v>
      </c>
      <c r="B60" s="9" t="s">
        <v>4483</v>
      </c>
      <c r="C60" s="9">
        <v>2</v>
      </c>
      <c r="D60" s="9">
        <v>30</v>
      </c>
      <c r="E60" s="9">
        <f t="shared" si="0"/>
        <v>50</v>
      </c>
      <c r="F60" s="9">
        <v>20</v>
      </c>
      <c r="G60" s="9">
        <v>2</v>
      </c>
      <c r="L60" s="9">
        <v>315</v>
      </c>
      <c r="M60" s="9">
        <v>80</v>
      </c>
      <c r="V60">
        <v>93</v>
      </c>
    </row>
    <row r="61" spans="1:22" x14ac:dyDescent="0.3">
      <c r="A61" s="9" t="s">
        <v>4482</v>
      </c>
      <c r="B61" s="9" t="s">
        <v>4483</v>
      </c>
      <c r="C61" s="9">
        <v>2</v>
      </c>
      <c r="D61" s="9">
        <v>40</v>
      </c>
      <c r="E61" s="9">
        <f t="shared" si="0"/>
        <v>40</v>
      </c>
      <c r="F61" s="9">
        <v>20</v>
      </c>
      <c r="G61" s="9">
        <v>2</v>
      </c>
      <c r="L61" s="9">
        <v>315</v>
      </c>
      <c r="M61" s="9">
        <v>80</v>
      </c>
      <c r="V61">
        <v>107</v>
      </c>
    </row>
    <row r="62" spans="1:22" x14ac:dyDescent="0.3">
      <c r="A62" s="9" t="s">
        <v>4482</v>
      </c>
      <c r="B62" s="9" t="s">
        <v>4483</v>
      </c>
      <c r="C62" s="9">
        <v>2</v>
      </c>
      <c r="D62" s="9">
        <v>50</v>
      </c>
      <c r="E62" s="9">
        <f t="shared" si="0"/>
        <v>30</v>
      </c>
      <c r="F62" s="9">
        <v>20</v>
      </c>
      <c r="G62" s="9">
        <v>2</v>
      </c>
      <c r="L62" s="9">
        <v>315</v>
      </c>
      <c r="M62" s="9">
        <v>80</v>
      </c>
      <c r="V62">
        <v>121</v>
      </c>
    </row>
    <row r="63" spans="1:22" x14ac:dyDescent="0.3">
      <c r="A63" s="9" t="s">
        <v>4482</v>
      </c>
      <c r="B63" s="9" t="s">
        <v>4483</v>
      </c>
      <c r="C63" s="9">
        <v>2</v>
      </c>
      <c r="D63" s="9">
        <v>30</v>
      </c>
      <c r="E63" s="9">
        <f t="shared" si="0"/>
        <v>83</v>
      </c>
      <c r="F63" s="9">
        <v>20</v>
      </c>
      <c r="G63" s="9">
        <v>2</v>
      </c>
      <c r="L63" s="9">
        <v>325</v>
      </c>
      <c r="M63" s="9">
        <v>113</v>
      </c>
      <c r="V63">
        <v>195</v>
      </c>
    </row>
    <row r="64" spans="1:22" x14ac:dyDescent="0.3">
      <c r="A64" s="9" t="s">
        <v>4482</v>
      </c>
      <c r="B64" s="9" t="s">
        <v>4483</v>
      </c>
      <c r="C64" s="9">
        <v>2</v>
      </c>
      <c r="D64" s="9">
        <v>40</v>
      </c>
      <c r="E64" s="9">
        <f t="shared" si="0"/>
        <v>73</v>
      </c>
      <c r="F64" s="9">
        <v>20</v>
      </c>
      <c r="G64" s="9">
        <v>2</v>
      </c>
      <c r="L64" s="9">
        <v>325</v>
      </c>
      <c r="M64" s="9">
        <v>113</v>
      </c>
      <c r="V64">
        <v>239</v>
      </c>
    </row>
    <row r="65" spans="1:22" x14ac:dyDescent="0.3">
      <c r="A65" s="9" t="s">
        <v>4482</v>
      </c>
      <c r="B65" s="9" t="s">
        <v>4483</v>
      </c>
      <c r="C65" s="9">
        <v>2</v>
      </c>
      <c r="D65" s="9">
        <v>50</v>
      </c>
      <c r="E65" s="9">
        <f t="shared" si="0"/>
        <v>63</v>
      </c>
      <c r="F65" s="9">
        <v>20</v>
      </c>
      <c r="G65" s="9">
        <v>2</v>
      </c>
      <c r="L65" s="9">
        <v>325</v>
      </c>
      <c r="M65" s="9">
        <v>113</v>
      </c>
      <c r="V65">
        <v>297</v>
      </c>
    </row>
    <row r="66" spans="1:22" x14ac:dyDescent="0.3">
      <c r="A66" s="9" t="s">
        <v>4482</v>
      </c>
      <c r="B66" s="9" t="s">
        <v>4483</v>
      </c>
      <c r="C66" s="9">
        <v>2</v>
      </c>
      <c r="D66" s="9">
        <v>30</v>
      </c>
      <c r="E66" s="9">
        <f t="shared" si="0"/>
        <v>50</v>
      </c>
      <c r="F66" s="9">
        <v>20</v>
      </c>
      <c r="G66" s="9">
        <v>2</v>
      </c>
      <c r="L66" s="9">
        <v>325</v>
      </c>
      <c r="M66" s="9">
        <v>80</v>
      </c>
      <c r="V66">
        <v>86</v>
      </c>
    </row>
    <row r="67" spans="1:22" x14ac:dyDescent="0.3">
      <c r="A67" s="9" t="s">
        <v>4482</v>
      </c>
      <c r="B67" s="9" t="s">
        <v>4483</v>
      </c>
      <c r="C67" s="9">
        <v>2</v>
      </c>
      <c r="D67" s="9">
        <v>40</v>
      </c>
      <c r="E67" s="9">
        <f t="shared" si="0"/>
        <v>40</v>
      </c>
      <c r="F67" s="9">
        <v>20</v>
      </c>
      <c r="G67" s="9">
        <v>2</v>
      </c>
      <c r="L67" s="9">
        <v>325</v>
      </c>
      <c r="M67" s="9">
        <v>80</v>
      </c>
      <c r="V67">
        <v>97</v>
      </c>
    </row>
    <row r="68" spans="1:22" x14ac:dyDescent="0.3">
      <c r="A68" s="9" t="s">
        <v>4482</v>
      </c>
      <c r="B68" s="9" t="s">
        <v>4483</v>
      </c>
      <c r="C68" s="9">
        <v>2</v>
      </c>
      <c r="D68" s="9">
        <v>50</v>
      </c>
      <c r="E68" s="9">
        <f t="shared" ref="E68:E106" si="1">M68-D68</f>
        <v>30</v>
      </c>
      <c r="F68" s="9">
        <v>20</v>
      </c>
      <c r="G68" s="9">
        <v>2</v>
      </c>
      <c r="L68" s="9">
        <v>325</v>
      </c>
      <c r="M68" s="9">
        <v>80</v>
      </c>
      <c r="V68">
        <v>110</v>
      </c>
    </row>
    <row r="69" spans="1:22" x14ac:dyDescent="0.3">
      <c r="A69" s="9" t="s">
        <v>4482</v>
      </c>
      <c r="B69" s="9" t="s">
        <v>4483</v>
      </c>
      <c r="C69" s="9">
        <v>2</v>
      </c>
      <c r="D69" s="9">
        <v>30</v>
      </c>
      <c r="E69" s="9">
        <f t="shared" si="1"/>
        <v>83</v>
      </c>
      <c r="F69" s="9">
        <v>20</v>
      </c>
      <c r="G69" s="9">
        <v>2</v>
      </c>
      <c r="L69" s="9">
        <v>0</v>
      </c>
      <c r="M69" s="9">
        <v>113</v>
      </c>
      <c r="V69">
        <v>178</v>
      </c>
    </row>
    <row r="70" spans="1:22" x14ac:dyDescent="0.3">
      <c r="A70" s="9" t="s">
        <v>4482</v>
      </c>
      <c r="B70" s="9" t="s">
        <v>4483</v>
      </c>
      <c r="C70" s="9">
        <v>2</v>
      </c>
      <c r="D70" s="9">
        <v>40</v>
      </c>
      <c r="E70" s="9">
        <f t="shared" si="1"/>
        <v>73</v>
      </c>
      <c r="F70" s="9">
        <v>20</v>
      </c>
      <c r="G70" s="9">
        <v>2</v>
      </c>
      <c r="L70" s="9">
        <v>0</v>
      </c>
      <c r="M70" s="9">
        <v>113</v>
      </c>
      <c r="V70">
        <v>218</v>
      </c>
    </row>
    <row r="71" spans="1:22" x14ac:dyDescent="0.3">
      <c r="A71" s="9" t="s">
        <v>4482</v>
      </c>
      <c r="B71" s="9" t="s">
        <v>4483</v>
      </c>
      <c r="C71" s="9">
        <v>2</v>
      </c>
      <c r="D71" s="9">
        <v>50</v>
      </c>
      <c r="E71" s="9">
        <f t="shared" si="1"/>
        <v>63</v>
      </c>
      <c r="F71" s="9">
        <v>20</v>
      </c>
      <c r="G71" s="9">
        <v>2</v>
      </c>
      <c r="L71" s="9">
        <v>0</v>
      </c>
      <c r="M71" s="9">
        <v>113</v>
      </c>
      <c r="V71">
        <v>271</v>
      </c>
    </row>
    <row r="72" spans="1:22" x14ac:dyDescent="0.3">
      <c r="A72" s="9" t="s">
        <v>4482</v>
      </c>
      <c r="B72" s="9" t="s">
        <v>4483</v>
      </c>
      <c r="C72" s="9">
        <v>2</v>
      </c>
      <c r="D72" s="9">
        <v>30</v>
      </c>
      <c r="E72" s="9">
        <f t="shared" si="1"/>
        <v>50</v>
      </c>
      <c r="F72" s="9">
        <v>20</v>
      </c>
      <c r="G72" s="9">
        <v>2</v>
      </c>
      <c r="L72" s="9">
        <v>0</v>
      </c>
      <c r="M72" s="9">
        <v>80</v>
      </c>
      <c r="V72">
        <v>61</v>
      </c>
    </row>
    <row r="73" spans="1:22" x14ac:dyDescent="0.3">
      <c r="A73" s="9" t="s">
        <v>4482</v>
      </c>
      <c r="B73" s="9" t="s">
        <v>4483</v>
      </c>
      <c r="C73" s="9">
        <v>2</v>
      </c>
      <c r="D73" s="9">
        <v>40</v>
      </c>
      <c r="E73" s="9">
        <f t="shared" si="1"/>
        <v>40</v>
      </c>
      <c r="F73" s="9">
        <v>20</v>
      </c>
      <c r="G73" s="9">
        <v>2</v>
      </c>
      <c r="L73" s="9">
        <v>0</v>
      </c>
      <c r="M73" s="9">
        <v>80</v>
      </c>
      <c r="V73">
        <v>67</v>
      </c>
    </row>
    <row r="74" spans="1:22" x14ac:dyDescent="0.3">
      <c r="A74" s="9" t="s">
        <v>4482</v>
      </c>
      <c r="B74" s="9" t="s">
        <v>4483</v>
      </c>
      <c r="C74" s="9">
        <v>2</v>
      </c>
      <c r="D74" s="9">
        <v>50</v>
      </c>
      <c r="E74" s="9">
        <f t="shared" si="1"/>
        <v>30</v>
      </c>
      <c r="F74" s="9">
        <v>20</v>
      </c>
      <c r="G74" s="9">
        <v>2</v>
      </c>
      <c r="L74" s="9">
        <v>0</v>
      </c>
      <c r="M74" s="9">
        <v>80</v>
      </c>
      <c r="V74">
        <v>74</v>
      </c>
    </row>
    <row r="75" spans="1:22" x14ac:dyDescent="0.3">
      <c r="A75" s="9" t="s">
        <v>4482</v>
      </c>
      <c r="B75" s="9" t="s">
        <v>4483</v>
      </c>
      <c r="C75" s="9">
        <v>2</v>
      </c>
      <c r="D75" s="9">
        <v>40</v>
      </c>
      <c r="E75" s="9">
        <f t="shared" si="1"/>
        <v>73</v>
      </c>
      <c r="F75" s="9">
        <v>5</v>
      </c>
      <c r="G75" s="9">
        <v>2</v>
      </c>
      <c r="L75" s="9">
        <v>335</v>
      </c>
      <c r="M75" s="9">
        <v>113</v>
      </c>
      <c r="V75">
        <v>774</v>
      </c>
    </row>
    <row r="76" spans="1:22" x14ac:dyDescent="0.3">
      <c r="A76" s="9" t="s">
        <v>4482</v>
      </c>
      <c r="B76" s="9" t="s">
        <v>4483</v>
      </c>
      <c r="C76" s="9">
        <v>2</v>
      </c>
      <c r="D76" s="9">
        <v>40</v>
      </c>
      <c r="E76" s="9">
        <f t="shared" si="1"/>
        <v>73</v>
      </c>
      <c r="F76" s="9">
        <v>10</v>
      </c>
      <c r="G76" s="9">
        <v>2</v>
      </c>
      <c r="L76" s="9">
        <v>335</v>
      </c>
      <c r="M76" s="9">
        <v>113</v>
      </c>
      <c r="V76">
        <v>413</v>
      </c>
    </row>
    <row r="77" spans="1:22" x14ac:dyDescent="0.3">
      <c r="A77" s="9" t="s">
        <v>4482</v>
      </c>
      <c r="B77" s="9" t="s">
        <v>4483</v>
      </c>
      <c r="C77" s="9">
        <v>2</v>
      </c>
      <c r="D77" s="9">
        <v>40</v>
      </c>
      <c r="E77" s="9">
        <f t="shared" si="1"/>
        <v>73</v>
      </c>
      <c r="F77" s="9">
        <v>30</v>
      </c>
      <c r="G77" s="9">
        <v>2</v>
      </c>
      <c r="L77" s="9">
        <v>335</v>
      </c>
      <c r="M77" s="9">
        <v>113</v>
      </c>
      <c r="V77">
        <v>177</v>
      </c>
    </row>
    <row r="78" spans="1:22" x14ac:dyDescent="0.3">
      <c r="A78" s="9" t="s">
        <v>4482</v>
      </c>
      <c r="B78" s="9" t="s">
        <v>4483</v>
      </c>
      <c r="C78" s="9">
        <v>2</v>
      </c>
      <c r="D78" s="9">
        <v>40</v>
      </c>
      <c r="E78" s="9">
        <f t="shared" si="1"/>
        <v>40</v>
      </c>
      <c r="F78" s="9">
        <v>5</v>
      </c>
      <c r="G78" s="9">
        <v>2</v>
      </c>
      <c r="L78" s="9">
        <v>335</v>
      </c>
      <c r="M78" s="9">
        <v>80</v>
      </c>
      <c r="V78">
        <v>293</v>
      </c>
    </row>
    <row r="79" spans="1:22" x14ac:dyDescent="0.3">
      <c r="A79" s="9" t="s">
        <v>4482</v>
      </c>
      <c r="B79" s="9" t="s">
        <v>4483</v>
      </c>
      <c r="C79" s="9">
        <v>2</v>
      </c>
      <c r="D79" s="9">
        <v>40</v>
      </c>
      <c r="E79" s="9">
        <f t="shared" si="1"/>
        <v>40</v>
      </c>
      <c r="F79" s="9">
        <v>10</v>
      </c>
      <c r="G79" s="9">
        <v>2</v>
      </c>
      <c r="L79" s="9">
        <v>335</v>
      </c>
      <c r="M79" s="9">
        <v>80</v>
      </c>
      <c r="V79">
        <v>157</v>
      </c>
    </row>
    <row r="80" spans="1:22" x14ac:dyDescent="0.3">
      <c r="A80" s="9" t="s">
        <v>4482</v>
      </c>
      <c r="B80" s="9" t="s">
        <v>4483</v>
      </c>
      <c r="C80" s="9">
        <v>2</v>
      </c>
      <c r="D80" s="9">
        <v>40</v>
      </c>
      <c r="E80" s="9">
        <f t="shared" si="1"/>
        <v>40</v>
      </c>
      <c r="F80" s="9">
        <v>30</v>
      </c>
      <c r="G80" s="9">
        <v>2</v>
      </c>
      <c r="L80" s="9">
        <v>335</v>
      </c>
      <c r="M80" s="9">
        <v>80</v>
      </c>
      <c r="V80">
        <v>68</v>
      </c>
    </row>
    <row r="81" spans="1:22" x14ac:dyDescent="0.3">
      <c r="A81" s="9" t="s">
        <v>4482</v>
      </c>
      <c r="B81" s="9" t="s">
        <v>4483</v>
      </c>
      <c r="C81" s="9">
        <v>2</v>
      </c>
      <c r="D81" s="9">
        <v>40</v>
      </c>
      <c r="E81" s="9">
        <f t="shared" si="1"/>
        <v>73</v>
      </c>
      <c r="F81" s="9">
        <v>5</v>
      </c>
      <c r="G81" s="9">
        <v>2</v>
      </c>
      <c r="L81" s="9">
        <v>345</v>
      </c>
      <c r="M81" s="9">
        <v>113</v>
      </c>
      <c r="V81">
        <v>764</v>
      </c>
    </row>
    <row r="82" spans="1:22" x14ac:dyDescent="0.3">
      <c r="A82" s="9" t="s">
        <v>4482</v>
      </c>
      <c r="B82" s="9" t="s">
        <v>4483</v>
      </c>
      <c r="C82" s="9">
        <v>2</v>
      </c>
      <c r="D82" s="9">
        <v>40</v>
      </c>
      <c r="E82" s="9">
        <f t="shared" si="1"/>
        <v>73</v>
      </c>
      <c r="F82" s="9">
        <v>10</v>
      </c>
      <c r="G82" s="9">
        <v>2</v>
      </c>
      <c r="L82" s="9">
        <v>345</v>
      </c>
      <c r="M82" s="9">
        <v>113</v>
      </c>
      <c r="V82">
        <v>407</v>
      </c>
    </row>
    <row r="83" spans="1:22" x14ac:dyDescent="0.3">
      <c r="A83" s="9" t="s">
        <v>4482</v>
      </c>
      <c r="B83" s="9" t="s">
        <v>4483</v>
      </c>
      <c r="C83" s="9">
        <v>2</v>
      </c>
      <c r="D83" s="9">
        <v>40</v>
      </c>
      <c r="E83" s="9">
        <f t="shared" si="1"/>
        <v>73</v>
      </c>
      <c r="F83" s="9">
        <v>30</v>
      </c>
      <c r="G83" s="9">
        <v>2</v>
      </c>
      <c r="L83" s="9">
        <v>345</v>
      </c>
      <c r="M83" s="9">
        <v>113</v>
      </c>
      <c r="V83">
        <v>174</v>
      </c>
    </row>
    <row r="84" spans="1:22" x14ac:dyDescent="0.3">
      <c r="A84" s="9" t="s">
        <v>4482</v>
      </c>
      <c r="B84" s="9" t="s">
        <v>4483</v>
      </c>
      <c r="C84" s="9">
        <v>2</v>
      </c>
      <c r="D84" s="9">
        <v>40</v>
      </c>
      <c r="E84" s="9">
        <f t="shared" si="1"/>
        <v>40</v>
      </c>
      <c r="F84" s="9">
        <v>5</v>
      </c>
      <c r="G84" s="9">
        <v>2</v>
      </c>
      <c r="L84" s="9">
        <v>345</v>
      </c>
      <c r="M84" s="9">
        <v>80</v>
      </c>
      <c r="V84">
        <v>277</v>
      </c>
    </row>
    <row r="85" spans="1:22" x14ac:dyDescent="0.3">
      <c r="A85" s="9" t="s">
        <v>4482</v>
      </c>
      <c r="B85" s="9" t="s">
        <v>4483</v>
      </c>
      <c r="C85" s="9">
        <v>2</v>
      </c>
      <c r="D85" s="9">
        <v>40</v>
      </c>
      <c r="E85" s="9">
        <f t="shared" si="1"/>
        <v>40</v>
      </c>
      <c r="F85" s="9">
        <v>10</v>
      </c>
      <c r="G85" s="9">
        <v>2</v>
      </c>
      <c r="L85" s="9">
        <v>345</v>
      </c>
      <c r="M85" s="9">
        <v>80</v>
      </c>
      <c r="V85">
        <v>148</v>
      </c>
    </row>
    <row r="86" spans="1:22" x14ac:dyDescent="0.3">
      <c r="A86" s="9" t="s">
        <v>4482</v>
      </c>
      <c r="B86" s="9" t="s">
        <v>4483</v>
      </c>
      <c r="C86" s="9">
        <v>2</v>
      </c>
      <c r="D86" s="9">
        <v>40</v>
      </c>
      <c r="E86" s="9">
        <f t="shared" si="1"/>
        <v>40</v>
      </c>
      <c r="F86" s="9">
        <v>30</v>
      </c>
      <c r="G86" s="9">
        <v>2</v>
      </c>
      <c r="L86" s="9">
        <v>345</v>
      </c>
      <c r="M86" s="9">
        <v>80</v>
      </c>
      <c r="V86">
        <v>64</v>
      </c>
    </row>
    <row r="87" spans="1:22" x14ac:dyDescent="0.3">
      <c r="A87" s="9" t="s">
        <v>4482</v>
      </c>
      <c r="B87" s="9" t="s">
        <v>4483</v>
      </c>
      <c r="C87" s="9">
        <v>2</v>
      </c>
      <c r="D87" s="9">
        <v>40</v>
      </c>
      <c r="E87" s="9">
        <f t="shared" si="1"/>
        <v>73</v>
      </c>
      <c r="F87" s="9">
        <v>5</v>
      </c>
      <c r="G87" s="9">
        <v>2</v>
      </c>
      <c r="L87" s="9">
        <v>355</v>
      </c>
      <c r="M87" s="9">
        <v>113</v>
      </c>
      <c r="V87">
        <v>753</v>
      </c>
    </row>
    <row r="88" spans="1:22" x14ac:dyDescent="0.3">
      <c r="A88" s="9" t="s">
        <v>4482</v>
      </c>
      <c r="B88" s="9" t="s">
        <v>4483</v>
      </c>
      <c r="C88" s="9">
        <v>2</v>
      </c>
      <c r="D88" s="9">
        <v>40</v>
      </c>
      <c r="E88" s="9">
        <f t="shared" si="1"/>
        <v>73</v>
      </c>
      <c r="F88" s="9">
        <v>10</v>
      </c>
      <c r="G88" s="9">
        <v>2</v>
      </c>
      <c r="L88" s="9">
        <v>355</v>
      </c>
      <c r="M88" s="9">
        <v>113</v>
      </c>
      <c r="V88">
        <v>401</v>
      </c>
    </row>
    <row r="89" spans="1:22" x14ac:dyDescent="0.3">
      <c r="A89" s="9" t="s">
        <v>4482</v>
      </c>
      <c r="B89" s="9" t="s">
        <v>4483</v>
      </c>
      <c r="C89" s="9">
        <v>2</v>
      </c>
      <c r="D89" s="9">
        <v>40</v>
      </c>
      <c r="E89" s="9">
        <f t="shared" si="1"/>
        <v>73</v>
      </c>
      <c r="F89" s="9">
        <v>30</v>
      </c>
      <c r="G89" s="9">
        <v>2</v>
      </c>
      <c r="L89" s="9">
        <v>355</v>
      </c>
      <c r="M89" s="9">
        <v>113</v>
      </c>
      <c r="V89">
        <v>172</v>
      </c>
    </row>
    <row r="90" spans="1:22" x14ac:dyDescent="0.3">
      <c r="A90" s="9" t="s">
        <v>4482</v>
      </c>
      <c r="B90" s="9" t="s">
        <v>4483</v>
      </c>
      <c r="C90" s="9">
        <v>2</v>
      </c>
      <c r="D90" s="9">
        <v>40</v>
      </c>
      <c r="E90" s="9">
        <f t="shared" si="1"/>
        <v>40</v>
      </c>
      <c r="F90" s="9">
        <v>5</v>
      </c>
      <c r="G90" s="9">
        <v>2</v>
      </c>
      <c r="L90" s="9">
        <v>355</v>
      </c>
      <c r="M90" s="9">
        <v>80</v>
      </c>
      <c r="V90">
        <v>262</v>
      </c>
    </row>
    <row r="91" spans="1:22" x14ac:dyDescent="0.3">
      <c r="A91" s="9" t="s">
        <v>4482</v>
      </c>
      <c r="B91" s="9" t="s">
        <v>4483</v>
      </c>
      <c r="C91" s="9">
        <v>2</v>
      </c>
      <c r="D91" s="9">
        <v>40</v>
      </c>
      <c r="E91" s="9">
        <f t="shared" si="1"/>
        <v>40</v>
      </c>
      <c r="F91" s="9">
        <v>10</v>
      </c>
      <c r="G91" s="9">
        <v>2</v>
      </c>
      <c r="L91" s="9">
        <v>355</v>
      </c>
      <c r="M91" s="9">
        <v>80</v>
      </c>
      <c r="V91">
        <v>140</v>
      </c>
    </row>
    <row r="92" spans="1:22" x14ac:dyDescent="0.3">
      <c r="A92" s="9" t="s">
        <v>4482</v>
      </c>
      <c r="B92" s="9" t="s">
        <v>4483</v>
      </c>
      <c r="C92" s="9">
        <v>2</v>
      </c>
      <c r="D92" s="9">
        <v>40</v>
      </c>
      <c r="E92" s="9">
        <f t="shared" si="1"/>
        <v>40</v>
      </c>
      <c r="F92" s="9">
        <v>30</v>
      </c>
      <c r="G92" s="9">
        <v>2</v>
      </c>
      <c r="L92" s="9">
        <v>355</v>
      </c>
      <c r="M92" s="9">
        <v>80</v>
      </c>
      <c r="V92">
        <v>61</v>
      </c>
    </row>
    <row r="93" spans="1:22" x14ac:dyDescent="0.3">
      <c r="A93" s="9" t="s">
        <v>4482</v>
      </c>
      <c r="B93" s="9" t="s">
        <v>4483</v>
      </c>
      <c r="C93" s="9">
        <v>2</v>
      </c>
      <c r="D93" s="9">
        <v>40</v>
      </c>
      <c r="E93" s="9">
        <f t="shared" si="1"/>
        <v>73</v>
      </c>
      <c r="F93" s="9">
        <v>5</v>
      </c>
      <c r="G93" s="9">
        <v>2</v>
      </c>
      <c r="L93" s="9">
        <v>0</v>
      </c>
      <c r="M93" s="9">
        <v>113</v>
      </c>
      <c r="V93">
        <v>723</v>
      </c>
    </row>
    <row r="94" spans="1:22" x14ac:dyDescent="0.3">
      <c r="A94" s="9" t="s">
        <v>4482</v>
      </c>
      <c r="B94" s="9" t="s">
        <v>4483</v>
      </c>
      <c r="C94" s="9">
        <v>2</v>
      </c>
      <c r="D94" s="9">
        <v>40</v>
      </c>
      <c r="E94" s="9">
        <f t="shared" si="1"/>
        <v>73</v>
      </c>
      <c r="F94" s="9">
        <v>10</v>
      </c>
      <c r="G94" s="9">
        <v>2</v>
      </c>
      <c r="L94" s="9">
        <v>0</v>
      </c>
      <c r="M94" s="9">
        <v>113</v>
      </c>
      <c r="V94">
        <v>385</v>
      </c>
    </row>
    <row r="95" spans="1:22" x14ac:dyDescent="0.3">
      <c r="A95" s="9" t="s">
        <v>4482</v>
      </c>
      <c r="B95" s="9" t="s">
        <v>4483</v>
      </c>
      <c r="C95" s="9">
        <v>2</v>
      </c>
      <c r="D95" s="9">
        <v>40</v>
      </c>
      <c r="E95" s="9">
        <f t="shared" si="1"/>
        <v>73</v>
      </c>
      <c r="F95" s="9">
        <v>30</v>
      </c>
      <c r="G95" s="9">
        <v>2</v>
      </c>
      <c r="L95" s="9">
        <v>0</v>
      </c>
      <c r="M95" s="9">
        <v>113</v>
      </c>
      <c r="V95">
        <v>164</v>
      </c>
    </row>
    <row r="96" spans="1:22" x14ac:dyDescent="0.3">
      <c r="A96" s="9" t="s">
        <v>4482</v>
      </c>
      <c r="B96" s="9" t="s">
        <v>4483</v>
      </c>
      <c r="C96" s="9">
        <v>2</v>
      </c>
      <c r="D96" s="9">
        <v>40</v>
      </c>
      <c r="E96" s="9">
        <f t="shared" si="1"/>
        <v>40</v>
      </c>
      <c r="F96" s="9">
        <v>5</v>
      </c>
      <c r="G96" s="9">
        <v>2</v>
      </c>
      <c r="L96" s="9">
        <v>0</v>
      </c>
      <c r="M96" s="9">
        <v>80</v>
      </c>
      <c r="V96">
        <v>220</v>
      </c>
    </row>
    <row r="97" spans="1:22" x14ac:dyDescent="0.3">
      <c r="A97" s="9" t="s">
        <v>4482</v>
      </c>
      <c r="B97" s="9" t="s">
        <v>4483</v>
      </c>
      <c r="C97" s="9">
        <v>2</v>
      </c>
      <c r="D97" s="9">
        <v>40</v>
      </c>
      <c r="E97" s="9">
        <f t="shared" si="1"/>
        <v>40</v>
      </c>
      <c r="F97" s="9">
        <v>10</v>
      </c>
      <c r="G97" s="9">
        <v>2</v>
      </c>
      <c r="L97" s="9">
        <v>0</v>
      </c>
      <c r="M97" s="9">
        <v>80</v>
      </c>
      <c r="V97">
        <v>118</v>
      </c>
    </row>
    <row r="98" spans="1:22" x14ac:dyDescent="0.3">
      <c r="A98" s="9" t="s">
        <v>4482</v>
      </c>
      <c r="B98" s="9" t="s">
        <v>4483</v>
      </c>
      <c r="C98" s="9">
        <v>2</v>
      </c>
      <c r="D98" s="9">
        <v>40</v>
      </c>
      <c r="E98" s="9">
        <f t="shared" si="1"/>
        <v>40</v>
      </c>
      <c r="F98" s="9">
        <v>30</v>
      </c>
      <c r="G98" s="9">
        <v>2</v>
      </c>
      <c r="L98" s="9">
        <v>0</v>
      </c>
      <c r="M98" s="9">
        <v>80</v>
      </c>
      <c r="V98">
        <v>51</v>
      </c>
    </row>
    <row r="99" spans="1:22" x14ac:dyDescent="0.3">
      <c r="A99" s="9" t="s">
        <v>4482</v>
      </c>
      <c r="B99" s="9" t="s">
        <v>4483</v>
      </c>
      <c r="C99" s="9">
        <v>1</v>
      </c>
      <c r="D99" s="9">
        <v>40</v>
      </c>
      <c r="E99" s="9">
        <f t="shared" si="1"/>
        <v>40</v>
      </c>
      <c r="F99" s="9">
        <v>20</v>
      </c>
      <c r="G99" s="9">
        <v>2</v>
      </c>
      <c r="L99" s="9">
        <v>305</v>
      </c>
      <c r="M99" s="9">
        <v>80</v>
      </c>
      <c r="R99" s="9">
        <v>1</v>
      </c>
      <c r="T99" s="9">
        <v>2</v>
      </c>
      <c r="U99">
        <v>76</v>
      </c>
      <c r="V99">
        <v>111</v>
      </c>
    </row>
    <row r="100" spans="1:22" x14ac:dyDescent="0.3">
      <c r="A100" s="9" t="s">
        <v>4482</v>
      </c>
      <c r="B100" s="9" t="s">
        <v>4483</v>
      </c>
      <c r="C100" s="9">
        <v>1</v>
      </c>
      <c r="D100" s="9">
        <v>40</v>
      </c>
      <c r="E100" s="9">
        <f t="shared" si="1"/>
        <v>40</v>
      </c>
      <c r="F100" s="9">
        <v>20</v>
      </c>
      <c r="G100" s="9">
        <v>2</v>
      </c>
      <c r="L100" s="9">
        <v>315</v>
      </c>
      <c r="M100" s="9">
        <v>80</v>
      </c>
      <c r="R100" s="9">
        <v>1</v>
      </c>
      <c r="T100" s="9">
        <v>2</v>
      </c>
      <c r="U100">
        <v>65</v>
      </c>
      <c r="V100">
        <v>97</v>
      </c>
    </row>
    <row r="101" spans="1:22" x14ac:dyDescent="0.3">
      <c r="A101" s="9" t="s">
        <v>4482</v>
      </c>
      <c r="B101" s="9" t="s">
        <v>4483</v>
      </c>
      <c r="C101" s="9">
        <v>1</v>
      </c>
      <c r="D101" s="9">
        <v>40</v>
      </c>
      <c r="E101" s="9">
        <f t="shared" si="1"/>
        <v>40</v>
      </c>
      <c r="F101" s="9">
        <v>20</v>
      </c>
      <c r="G101" s="9">
        <v>2</v>
      </c>
      <c r="L101" s="9">
        <v>325</v>
      </c>
      <c r="M101" s="9">
        <v>80</v>
      </c>
      <c r="R101" s="9">
        <v>1</v>
      </c>
      <c r="T101" s="9">
        <v>2</v>
      </c>
      <c r="U101">
        <v>58</v>
      </c>
      <c r="V101">
        <v>88</v>
      </c>
    </row>
    <row r="102" spans="1:22" x14ac:dyDescent="0.3">
      <c r="A102" s="9" t="s">
        <v>4482</v>
      </c>
      <c r="B102" s="9" t="s">
        <v>4483</v>
      </c>
      <c r="C102" s="9">
        <v>1</v>
      </c>
      <c r="D102" s="9">
        <v>40</v>
      </c>
      <c r="E102" s="9">
        <f t="shared" si="1"/>
        <v>40</v>
      </c>
      <c r="F102" s="9">
        <v>20</v>
      </c>
      <c r="G102" s="9">
        <v>2</v>
      </c>
      <c r="L102" s="9">
        <v>0</v>
      </c>
      <c r="M102" s="9">
        <v>80</v>
      </c>
      <c r="R102" s="9">
        <v>1</v>
      </c>
      <c r="T102" s="9">
        <v>2</v>
      </c>
      <c r="U102">
        <v>35</v>
      </c>
      <c r="V102">
        <v>62</v>
      </c>
    </row>
    <row r="103" spans="1:22" x14ac:dyDescent="0.3">
      <c r="A103" s="9" t="s">
        <v>4482</v>
      </c>
      <c r="B103" s="9" t="s">
        <v>4483</v>
      </c>
      <c r="C103" s="9">
        <v>2</v>
      </c>
      <c r="D103" s="9">
        <v>40</v>
      </c>
      <c r="E103" s="9">
        <f t="shared" si="1"/>
        <v>73</v>
      </c>
      <c r="F103" s="9">
        <v>20</v>
      </c>
      <c r="G103" s="9">
        <v>2</v>
      </c>
      <c r="L103" s="9">
        <v>335</v>
      </c>
      <c r="M103" s="9">
        <v>113</v>
      </c>
      <c r="U103">
        <v>176</v>
      </c>
      <c r="V103">
        <v>234</v>
      </c>
    </row>
    <row r="104" spans="1:22" x14ac:dyDescent="0.3">
      <c r="A104" s="9" t="s">
        <v>4482</v>
      </c>
      <c r="B104" s="9" t="s">
        <v>4483</v>
      </c>
      <c r="C104" s="9">
        <v>2</v>
      </c>
      <c r="D104" s="9">
        <v>40</v>
      </c>
      <c r="E104" s="9">
        <f t="shared" si="1"/>
        <v>73</v>
      </c>
      <c r="F104" s="9">
        <v>20</v>
      </c>
      <c r="G104" s="9">
        <v>2</v>
      </c>
      <c r="L104" s="9">
        <v>345</v>
      </c>
      <c r="M104" s="9">
        <v>113</v>
      </c>
      <c r="U104">
        <v>174</v>
      </c>
      <c r="V104">
        <v>231</v>
      </c>
    </row>
    <row r="105" spans="1:22" x14ac:dyDescent="0.3">
      <c r="A105" s="9" t="s">
        <v>4482</v>
      </c>
      <c r="B105" s="9" t="s">
        <v>4483</v>
      </c>
      <c r="C105" s="9">
        <v>2</v>
      </c>
      <c r="D105" s="9">
        <v>40</v>
      </c>
      <c r="E105" s="9">
        <f t="shared" si="1"/>
        <v>73</v>
      </c>
      <c r="F105" s="9">
        <v>20</v>
      </c>
      <c r="G105" s="9">
        <v>2</v>
      </c>
      <c r="L105" s="9">
        <v>355</v>
      </c>
      <c r="M105" s="9">
        <v>113</v>
      </c>
      <c r="U105">
        <v>171</v>
      </c>
      <c r="V105">
        <v>228</v>
      </c>
    </row>
    <row r="106" spans="1:22" x14ac:dyDescent="0.3">
      <c r="A106" s="9" t="s">
        <v>4482</v>
      </c>
      <c r="B106" s="9" t="s">
        <v>4483</v>
      </c>
      <c r="C106" s="9">
        <v>2</v>
      </c>
      <c r="D106" s="9">
        <v>40</v>
      </c>
      <c r="E106" s="9">
        <f t="shared" si="1"/>
        <v>73</v>
      </c>
      <c r="F106" s="9">
        <v>20</v>
      </c>
      <c r="G106" s="9">
        <v>2</v>
      </c>
      <c r="L106" s="9">
        <v>0</v>
      </c>
      <c r="M106" s="9">
        <v>113</v>
      </c>
      <c r="U106">
        <v>163</v>
      </c>
      <c r="V106">
        <v>218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46BAB-FE36-48B9-A274-466395AFCFF3}">
  <dimension ref="A1:AE194"/>
  <sheetViews>
    <sheetView zoomScale="85" zoomScaleNormal="85" workbookViewId="0">
      <pane ySplit="2" topLeftCell="A3" activePane="bottomLeft" state="frozen"/>
      <selection pane="bottomLeft" activeCell="L25" sqref="L25"/>
    </sheetView>
  </sheetViews>
  <sheetFormatPr defaultRowHeight="16.5" x14ac:dyDescent="0.3"/>
  <cols>
    <col min="1" max="1" width="12.875" bestFit="1" customWidth="1"/>
    <col min="2" max="2" width="18.375" customWidth="1"/>
    <col min="3" max="10" width="9" style="9"/>
    <col min="11" max="11" width="10.25" style="9" customWidth="1"/>
    <col min="12" max="20" width="9" style="9"/>
    <col min="21" max="23" width="11.125" customWidth="1"/>
    <col min="24" max="24" width="11.375" customWidth="1"/>
  </cols>
  <sheetData>
    <row r="1" spans="1:31" s="9" customFormat="1" x14ac:dyDescent="0.3">
      <c r="A1" s="9">
        <v>0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31" x14ac:dyDescent="0.3">
      <c r="A2" s="2" t="s">
        <v>4475</v>
      </c>
      <c r="B2" s="3" t="s">
        <v>4474</v>
      </c>
      <c r="C2" s="3" t="s">
        <v>4473</v>
      </c>
      <c r="D2" s="3" t="s">
        <v>108</v>
      </c>
      <c r="E2" s="3" t="s">
        <v>109</v>
      </c>
      <c r="F2" s="3" t="s">
        <v>110</v>
      </c>
      <c r="G2" s="3" t="s">
        <v>4464</v>
      </c>
      <c r="H2" s="3" t="s">
        <v>4465</v>
      </c>
      <c r="I2" s="3" t="s">
        <v>4466</v>
      </c>
      <c r="J2" s="3" t="s">
        <v>4467</v>
      </c>
      <c r="K2" s="3" t="s">
        <v>4468</v>
      </c>
      <c r="L2" s="3" t="s">
        <v>4469</v>
      </c>
      <c r="M2" s="3" t="s">
        <v>4470</v>
      </c>
      <c r="N2" s="3" t="s">
        <v>4471</v>
      </c>
      <c r="O2" s="3" t="s">
        <v>4472</v>
      </c>
      <c r="P2" s="21" t="s">
        <v>4459</v>
      </c>
      <c r="Q2" s="21" t="s">
        <v>4460</v>
      </c>
      <c r="R2" s="21" t="s">
        <v>4461</v>
      </c>
      <c r="S2" s="21" t="s">
        <v>4462</v>
      </c>
      <c r="T2" s="21" t="s">
        <v>4463</v>
      </c>
      <c r="U2" s="20" t="s">
        <v>4485</v>
      </c>
      <c r="V2" s="20" t="s">
        <v>4479</v>
      </c>
      <c r="W2" s="20" t="s">
        <v>4478</v>
      </c>
      <c r="X2" s="20" t="s">
        <v>4484</v>
      </c>
    </row>
    <row r="3" spans="1:31" x14ac:dyDescent="0.3">
      <c r="A3" s="9" t="s">
        <v>4482</v>
      </c>
      <c r="B3" s="9" t="s">
        <v>4483</v>
      </c>
      <c r="C3" s="9">
        <v>1</v>
      </c>
      <c r="D3" s="9">
        <v>40</v>
      </c>
      <c r="E3" s="9">
        <f>M3-D3</f>
        <v>40</v>
      </c>
      <c r="F3" s="9">
        <v>20</v>
      </c>
      <c r="G3" s="9">
        <v>2</v>
      </c>
      <c r="L3" s="9">
        <v>305</v>
      </c>
      <c r="M3" s="9">
        <v>80</v>
      </c>
      <c r="R3" s="9">
        <v>1</v>
      </c>
      <c r="T3" s="9">
        <v>2</v>
      </c>
      <c r="U3">
        <v>1</v>
      </c>
      <c r="V3">
        <v>929</v>
      </c>
      <c r="W3">
        <v>885</v>
      </c>
      <c r="X3">
        <v>0</v>
      </c>
      <c r="Z3">
        <v>1</v>
      </c>
      <c r="AA3">
        <v>80</v>
      </c>
      <c r="AB3" s="22">
        <v>1</v>
      </c>
      <c r="AC3" s="22">
        <v>885</v>
      </c>
      <c r="AD3" s="22">
        <v>0</v>
      </c>
      <c r="AE3" s="22">
        <v>929</v>
      </c>
    </row>
    <row r="4" spans="1:31" x14ac:dyDescent="0.3">
      <c r="A4" s="9" t="s">
        <v>4482</v>
      </c>
      <c r="B4" s="9" t="s">
        <v>4483</v>
      </c>
      <c r="C4" s="9">
        <v>1</v>
      </c>
      <c r="D4" s="9">
        <v>40</v>
      </c>
      <c r="E4" s="9">
        <f t="shared" ref="E4:E67" si="0">M4-D4</f>
        <v>40</v>
      </c>
      <c r="F4" s="9">
        <v>20</v>
      </c>
      <c r="G4" s="9">
        <v>2</v>
      </c>
      <c r="L4" s="9">
        <v>305</v>
      </c>
      <c r="M4" s="9">
        <v>80</v>
      </c>
      <c r="R4" s="9">
        <v>1</v>
      </c>
      <c r="T4" s="9">
        <v>2</v>
      </c>
      <c r="U4">
        <v>2</v>
      </c>
      <c r="V4">
        <v>929</v>
      </c>
      <c r="W4">
        <v>1854</v>
      </c>
      <c r="X4">
        <v>0</v>
      </c>
      <c r="Z4">
        <v>1</v>
      </c>
      <c r="AA4">
        <v>80</v>
      </c>
      <c r="AB4" s="22">
        <v>2</v>
      </c>
      <c r="AC4" s="23">
        <v>1854</v>
      </c>
      <c r="AD4" s="22">
        <v>0</v>
      </c>
    </row>
    <row r="5" spans="1:31" x14ac:dyDescent="0.3">
      <c r="A5" s="9" t="s">
        <v>4482</v>
      </c>
      <c r="B5" s="9" t="s">
        <v>4483</v>
      </c>
      <c r="C5" s="9">
        <v>1</v>
      </c>
      <c r="D5" s="9">
        <v>40</v>
      </c>
      <c r="E5" s="9">
        <f t="shared" si="0"/>
        <v>40</v>
      </c>
      <c r="F5" s="9">
        <v>20</v>
      </c>
      <c r="G5" s="9">
        <v>2</v>
      </c>
      <c r="L5" s="9">
        <v>305</v>
      </c>
      <c r="M5" s="9">
        <v>80</v>
      </c>
      <c r="R5" s="9">
        <v>1</v>
      </c>
      <c r="T5" s="9">
        <v>2</v>
      </c>
      <c r="U5">
        <v>3</v>
      </c>
      <c r="V5">
        <v>929</v>
      </c>
      <c r="W5">
        <v>2857</v>
      </c>
      <c r="X5">
        <v>0</v>
      </c>
      <c r="Z5">
        <v>1</v>
      </c>
      <c r="AA5">
        <v>80</v>
      </c>
      <c r="AB5" s="22">
        <v>3</v>
      </c>
      <c r="AC5" s="23">
        <v>2857</v>
      </c>
      <c r="AD5" s="22">
        <v>0</v>
      </c>
    </row>
    <row r="6" spans="1:31" x14ac:dyDescent="0.3">
      <c r="A6" s="9" t="s">
        <v>4482</v>
      </c>
      <c r="B6" s="9" t="s">
        <v>4483</v>
      </c>
      <c r="C6" s="9">
        <v>1</v>
      </c>
      <c r="D6" s="9">
        <v>40</v>
      </c>
      <c r="E6" s="9">
        <f t="shared" si="0"/>
        <v>40</v>
      </c>
      <c r="F6" s="9">
        <v>20</v>
      </c>
      <c r="G6" s="9">
        <v>2</v>
      </c>
      <c r="L6" s="9">
        <v>305</v>
      </c>
      <c r="M6" s="9">
        <v>80</v>
      </c>
      <c r="R6" s="9">
        <v>1</v>
      </c>
      <c r="T6" s="9">
        <v>2</v>
      </c>
      <c r="U6">
        <v>4</v>
      </c>
      <c r="V6">
        <v>929</v>
      </c>
      <c r="W6">
        <v>3872</v>
      </c>
      <c r="X6">
        <v>0</v>
      </c>
      <c r="Z6">
        <v>1</v>
      </c>
      <c r="AA6">
        <v>80</v>
      </c>
      <c r="AB6" s="22">
        <v>4</v>
      </c>
      <c r="AC6" s="23">
        <v>3872</v>
      </c>
      <c r="AD6" s="22">
        <v>0</v>
      </c>
    </row>
    <row r="7" spans="1:31" x14ac:dyDescent="0.3">
      <c r="A7" s="9" t="s">
        <v>4482</v>
      </c>
      <c r="B7" s="9" t="s">
        <v>4483</v>
      </c>
      <c r="C7" s="9">
        <v>1</v>
      </c>
      <c r="D7" s="9">
        <v>40</v>
      </c>
      <c r="E7" s="9">
        <f t="shared" si="0"/>
        <v>40</v>
      </c>
      <c r="F7" s="9">
        <v>20</v>
      </c>
      <c r="G7" s="9">
        <v>2</v>
      </c>
      <c r="L7" s="9">
        <v>305</v>
      </c>
      <c r="M7" s="9">
        <v>80</v>
      </c>
      <c r="R7" s="9">
        <v>1</v>
      </c>
      <c r="T7" s="9">
        <v>2</v>
      </c>
      <c r="U7">
        <v>5</v>
      </c>
      <c r="V7">
        <v>929</v>
      </c>
      <c r="W7">
        <v>4894</v>
      </c>
      <c r="X7">
        <v>0</v>
      </c>
      <c r="Z7">
        <v>1</v>
      </c>
      <c r="AA7">
        <v>80</v>
      </c>
      <c r="AB7" s="22">
        <v>5</v>
      </c>
      <c r="AC7" s="23">
        <v>4894</v>
      </c>
      <c r="AD7" s="22">
        <v>0</v>
      </c>
    </row>
    <row r="8" spans="1:31" x14ac:dyDescent="0.3">
      <c r="A8" s="9" t="s">
        <v>4482</v>
      </c>
      <c r="B8" s="9" t="s">
        <v>4483</v>
      </c>
      <c r="C8" s="9">
        <v>1</v>
      </c>
      <c r="D8" s="9">
        <v>40</v>
      </c>
      <c r="E8" s="9">
        <f t="shared" si="0"/>
        <v>40</v>
      </c>
      <c r="F8" s="9">
        <v>20</v>
      </c>
      <c r="G8" s="9">
        <v>2</v>
      </c>
      <c r="L8" s="9">
        <v>305</v>
      </c>
      <c r="M8" s="9">
        <v>80</v>
      </c>
      <c r="R8" s="9">
        <v>1</v>
      </c>
      <c r="T8" s="9">
        <v>2</v>
      </c>
      <c r="U8">
        <v>6</v>
      </c>
      <c r="V8">
        <v>929</v>
      </c>
      <c r="W8">
        <v>5917</v>
      </c>
      <c r="X8">
        <v>0</v>
      </c>
      <c r="Z8">
        <v>1</v>
      </c>
      <c r="AA8">
        <v>80</v>
      </c>
      <c r="AB8" s="22">
        <v>6</v>
      </c>
      <c r="AC8" s="23">
        <v>5917</v>
      </c>
      <c r="AD8" s="22">
        <v>0</v>
      </c>
    </row>
    <row r="9" spans="1:31" x14ac:dyDescent="0.3">
      <c r="A9" s="9" t="s">
        <v>4482</v>
      </c>
      <c r="B9" s="9" t="s">
        <v>4483</v>
      </c>
      <c r="C9" s="9">
        <v>1</v>
      </c>
      <c r="D9" s="9">
        <v>40</v>
      </c>
      <c r="E9" s="9">
        <f t="shared" si="0"/>
        <v>40</v>
      </c>
      <c r="F9" s="9">
        <v>20</v>
      </c>
      <c r="G9" s="9">
        <v>2</v>
      </c>
      <c r="L9" s="9">
        <v>305</v>
      </c>
      <c r="M9" s="9">
        <v>80</v>
      </c>
      <c r="R9" s="9">
        <v>1</v>
      </c>
      <c r="T9" s="9">
        <v>2</v>
      </c>
      <c r="U9">
        <v>7</v>
      </c>
      <c r="V9">
        <v>929</v>
      </c>
      <c r="W9">
        <v>6944</v>
      </c>
      <c r="X9">
        <v>0</v>
      </c>
      <c r="Z9">
        <v>1</v>
      </c>
      <c r="AA9">
        <v>80</v>
      </c>
      <c r="AB9" s="22">
        <v>7</v>
      </c>
      <c r="AC9" s="23">
        <v>6944</v>
      </c>
      <c r="AD9" s="22">
        <v>0</v>
      </c>
    </row>
    <row r="10" spans="1:31" x14ac:dyDescent="0.3">
      <c r="A10" s="9" t="s">
        <v>4482</v>
      </c>
      <c r="B10" s="9" t="s">
        <v>4483</v>
      </c>
      <c r="C10" s="9">
        <v>1</v>
      </c>
      <c r="D10" s="9">
        <v>40</v>
      </c>
      <c r="E10" s="9">
        <f t="shared" si="0"/>
        <v>40</v>
      </c>
      <c r="F10" s="9">
        <v>20</v>
      </c>
      <c r="G10" s="9">
        <v>2</v>
      </c>
      <c r="L10" s="9">
        <v>305</v>
      </c>
      <c r="M10" s="9">
        <v>80</v>
      </c>
      <c r="R10" s="9">
        <v>1</v>
      </c>
      <c r="T10" s="9">
        <v>2</v>
      </c>
      <c r="U10">
        <v>10</v>
      </c>
      <c r="V10">
        <v>929</v>
      </c>
      <c r="W10">
        <v>10029</v>
      </c>
      <c r="X10">
        <v>0</v>
      </c>
      <c r="Z10">
        <v>1</v>
      </c>
      <c r="AA10">
        <v>80</v>
      </c>
      <c r="AB10" s="22">
        <v>10</v>
      </c>
      <c r="AC10" s="23">
        <v>10029</v>
      </c>
      <c r="AD10" s="22">
        <v>0</v>
      </c>
    </row>
    <row r="11" spans="1:31" x14ac:dyDescent="0.3">
      <c r="A11" s="9" t="s">
        <v>4482</v>
      </c>
      <c r="B11" s="9" t="s">
        <v>4483</v>
      </c>
      <c r="C11" s="9">
        <v>1</v>
      </c>
      <c r="D11" s="9">
        <v>40</v>
      </c>
      <c r="E11" s="9">
        <f t="shared" si="0"/>
        <v>40</v>
      </c>
      <c r="F11" s="9">
        <v>20</v>
      </c>
      <c r="G11" s="9">
        <v>2</v>
      </c>
      <c r="L11" s="9">
        <v>305</v>
      </c>
      <c r="M11" s="9">
        <v>80</v>
      </c>
      <c r="R11" s="9">
        <v>1</v>
      </c>
      <c r="T11" s="9">
        <v>2</v>
      </c>
      <c r="U11">
        <v>20</v>
      </c>
      <c r="V11">
        <v>929</v>
      </c>
      <c r="W11">
        <v>20788</v>
      </c>
      <c r="X11">
        <v>10949</v>
      </c>
      <c r="Z11">
        <v>1</v>
      </c>
      <c r="AA11">
        <v>80</v>
      </c>
      <c r="AB11" s="22">
        <v>20</v>
      </c>
      <c r="AC11" s="23">
        <v>20788</v>
      </c>
      <c r="AD11" s="23">
        <v>10949</v>
      </c>
    </row>
    <row r="12" spans="1:31" x14ac:dyDescent="0.3">
      <c r="A12" s="9" t="s">
        <v>4482</v>
      </c>
      <c r="B12" s="9" t="s">
        <v>4483</v>
      </c>
      <c r="C12" s="9">
        <v>1</v>
      </c>
      <c r="D12" s="9">
        <v>40</v>
      </c>
      <c r="E12" s="9">
        <f t="shared" si="0"/>
        <v>40</v>
      </c>
      <c r="F12" s="9">
        <v>20</v>
      </c>
      <c r="G12" s="9">
        <v>2</v>
      </c>
      <c r="L12" s="9">
        <v>305</v>
      </c>
      <c r="M12" s="9">
        <v>80</v>
      </c>
      <c r="R12" s="9">
        <v>1</v>
      </c>
      <c r="T12" s="9">
        <v>2</v>
      </c>
      <c r="U12">
        <v>30</v>
      </c>
      <c r="V12">
        <v>929</v>
      </c>
      <c r="W12">
        <v>20553</v>
      </c>
      <c r="X12">
        <v>10505</v>
      </c>
      <c r="Z12">
        <v>1</v>
      </c>
      <c r="AA12">
        <v>80</v>
      </c>
      <c r="AB12" s="22">
        <v>30</v>
      </c>
      <c r="AC12" s="23">
        <v>20553</v>
      </c>
      <c r="AD12" s="23">
        <v>10505</v>
      </c>
    </row>
    <row r="13" spans="1:31" x14ac:dyDescent="0.3">
      <c r="A13" s="9" t="s">
        <v>4482</v>
      </c>
      <c r="B13" s="9" t="s">
        <v>4483</v>
      </c>
      <c r="C13" s="9">
        <v>1</v>
      </c>
      <c r="D13" s="9">
        <v>40</v>
      </c>
      <c r="E13" s="9">
        <f t="shared" si="0"/>
        <v>40</v>
      </c>
      <c r="F13" s="9">
        <v>20</v>
      </c>
      <c r="G13" s="9">
        <v>2</v>
      </c>
      <c r="L13" s="9">
        <v>305</v>
      </c>
      <c r="M13" s="9">
        <v>80</v>
      </c>
      <c r="R13" s="9">
        <v>1</v>
      </c>
      <c r="T13" s="9">
        <v>2</v>
      </c>
      <c r="U13">
        <v>40</v>
      </c>
      <c r="V13">
        <v>929</v>
      </c>
      <c r="W13">
        <v>0</v>
      </c>
      <c r="X13">
        <v>0</v>
      </c>
      <c r="Z13">
        <v>1</v>
      </c>
      <c r="AA13">
        <v>80</v>
      </c>
      <c r="AB13" s="22">
        <v>40</v>
      </c>
      <c r="AC13" s="22">
        <v>0</v>
      </c>
      <c r="AD13" s="22">
        <v>0</v>
      </c>
    </row>
    <row r="14" spans="1:31" x14ac:dyDescent="0.3">
      <c r="A14" s="9" t="s">
        <v>4482</v>
      </c>
      <c r="B14" s="9" t="s">
        <v>4483</v>
      </c>
      <c r="C14" s="9">
        <v>2</v>
      </c>
      <c r="D14" s="9">
        <v>40</v>
      </c>
      <c r="E14" s="9">
        <f t="shared" si="0"/>
        <v>40</v>
      </c>
      <c r="F14" s="9">
        <v>20</v>
      </c>
      <c r="G14" s="9">
        <v>2</v>
      </c>
      <c r="L14" s="9">
        <v>305</v>
      </c>
      <c r="M14" s="9">
        <v>80</v>
      </c>
      <c r="U14">
        <v>1</v>
      </c>
      <c r="V14">
        <v>1045</v>
      </c>
      <c r="W14">
        <v>916</v>
      </c>
      <c r="X14">
        <v>0</v>
      </c>
      <c r="Z14">
        <v>2</v>
      </c>
      <c r="AA14">
        <v>80</v>
      </c>
      <c r="AB14" s="22">
        <v>1</v>
      </c>
      <c r="AC14" s="22">
        <v>916</v>
      </c>
      <c r="AD14" s="22">
        <v>0</v>
      </c>
      <c r="AE14" s="23">
        <v>1045</v>
      </c>
    </row>
    <row r="15" spans="1:31" x14ac:dyDescent="0.3">
      <c r="A15" s="9" t="s">
        <v>4482</v>
      </c>
      <c r="B15" s="9" t="s">
        <v>4483</v>
      </c>
      <c r="C15" s="9">
        <v>2</v>
      </c>
      <c r="D15" s="9">
        <v>40</v>
      </c>
      <c r="E15" s="9">
        <f t="shared" si="0"/>
        <v>40</v>
      </c>
      <c r="F15" s="9">
        <v>20</v>
      </c>
      <c r="G15" s="9">
        <v>2</v>
      </c>
      <c r="L15" s="9">
        <v>305</v>
      </c>
      <c r="M15" s="9">
        <v>80</v>
      </c>
      <c r="U15">
        <v>2</v>
      </c>
      <c r="V15">
        <v>1045</v>
      </c>
      <c r="W15">
        <v>1852</v>
      </c>
      <c r="X15">
        <v>423</v>
      </c>
      <c r="Z15">
        <v>2</v>
      </c>
      <c r="AA15">
        <v>80</v>
      </c>
      <c r="AB15" s="22">
        <v>2</v>
      </c>
      <c r="AC15" s="23">
        <v>1852</v>
      </c>
      <c r="AD15" s="22">
        <v>423</v>
      </c>
    </row>
    <row r="16" spans="1:31" x14ac:dyDescent="0.3">
      <c r="A16" s="9" t="s">
        <v>4482</v>
      </c>
      <c r="B16" s="9" t="s">
        <v>4483</v>
      </c>
      <c r="C16" s="9">
        <v>2</v>
      </c>
      <c r="D16" s="9">
        <v>40</v>
      </c>
      <c r="E16" s="9">
        <f t="shared" si="0"/>
        <v>40</v>
      </c>
      <c r="F16" s="9">
        <v>20</v>
      </c>
      <c r="G16" s="9">
        <v>2</v>
      </c>
      <c r="L16" s="9">
        <v>305</v>
      </c>
      <c r="M16" s="9">
        <v>80</v>
      </c>
      <c r="U16">
        <v>3</v>
      </c>
      <c r="V16">
        <v>1045</v>
      </c>
      <c r="W16">
        <v>2803</v>
      </c>
      <c r="X16">
        <v>1660</v>
      </c>
      <c r="Z16">
        <v>2</v>
      </c>
      <c r="AA16">
        <v>80</v>
      </c>
      <c r="AB16" s="22">
        <v>3</v>
      </c>
      <c r="AC16" s="23">
        <v>2803</v>
      </c>
      <c r="AD16" s="23">
        <v>1660</v>
      </c>
    </row>
    <row r="17" spans="1:31" x14ac:dyDescent="0.3">
      <c r="A17" s="9" t="s">
        <v>4482</v>
      </c>
      <c r="B17" s="9" t="s">
        <v>4483</v>
      </c>
      <c r="C17" s="9">
        <v>2</v>
      </c>
      <c r="D17" s="9">
        <v>40</v>
      </c>
      <c r="E17" s="9">
        <f t="shared" si="0"/>
        <v>40</v>
      </c>
      <c r="F17" s="9">
        <v>20</v>
      </c>
      <c r="G17" s="9">
        <v>2</v>
      </c>
      <c r="L17" s="9">
        <v>305</v>
      </c>
      <c r="M17" s="9">
        <v>80</v>
      </c>
      <c r="U17">
        <v>4</v>
      </c>
      <c r="V17">
        <v>1045</v>
      </c>
      <c r="W17">
        <v>3774</v>
      </c>
      <c r="X17">
        <v>2916</v>
      </c>
      <c r="Z17">
        <v>2</v>
      </c>
      <c r="AA17">
        <v>80</v>
      </c>
      <c r="AB17" s="22">
        <v>4</v>
      </c>
      <c r="AC17" s="23">
        <v>3774</v>
      </c>
      <c r="AD17" s="23">
        <v>2916</v>
      </c>
    </row>
    <row r="18" spans="1:31" x14ac:dyDescent="0.3">
      <c r="A18" s="9" t="s">
        <v>4482</v>
      </c>
      <c r="B18" s="9" t="s">
        <v>4483</v>
      </c>
      <c r="C18" s="9">
        <v>2</v>
      </c>
      <c r="D18" s="9">
        <v>40</v>
      </c>
      <c r="E18" s="9">
        <f t="shared" si="0"/>
        <v>40</v>
      </c>
      <c r="F18" s="9">
        <v>20</v>
      </c>
      <c r="G18" s="9">
        <v>2</v>
      </c>
      <c r="L18" s="9">
        <v>305</v>
      </c>
      <c r="M18" s="9">
        <v>80</v>
      </c>
      <c r="U18">
        <v>5</v>
      </c>
      <c r="V18">
        <v>1045</v>
      </c>
      <c r="W18">
        <v>4768</v>
      </c>
      <c r="X18">
        <v>4196</v>
      </c>
      <c r="Z18">
        <v>2</v>
      </c>
      <c r="AA18">
        <v>80</v>
      </c>
      <c r="AB18" s="22">
        <v>5</v>
      </c>
      <c r="AC18" s="23">
        <v>4768</v>
      </c>
      <c r="AD18" s="23">
        <v>4196</v>
      </c>
    </row>
    <row r="19" spans="1:31" x14ac:dyDescent="0.3">
      <c r="A19" s="9" t="s">
        <v>4482</v>
      </c>
      <c r="B19" s="9" t="s">
        <v>4483</v>
      </c>
      <c r="C19" s="9">
        <v>2</v>
      </c>
      <c r="D19" s="9">
        <v>40</v>
      </c>
      <c r="E19" s="9">
        <f t="shared" si="0"/>
        <v>40</v>
      </c>
      <c r="F19" s="9">
        <v>20</v>
      </c>
      <c r="G19" s="9">
        <v>2</v>
      </c>
      <c r="L19" s="9">
        <v>305</v>
      </c>
      <c r="M19" s="9">
        <v>80</v>
      </c>
      <c r="U19">
        <v>6</v>
      </c>
      <c r="V19">
        <v>1045</v>
      </c>
      <c r="W19">
        <v>5782</v>
      </c>
      <c r="X19">
        <v>5496</v>
      </c>
      <c r="Z19">
        <v>2</v>
      </c>
      <c r="AA19">
        <v>80</v>
      </c>
      <c r="AB19" s="22">
        <v>6</v>
      </c>
      <c r="AC19" s="23">
        <v>5782</v>
      </c>
      <c r="AD19" s="23">
        <v>5496</v>
      </c>
    </row>
    <row r="20" spans="1:31" x14ac:dyDescent="0.3">
      <c r="A20" s="9" t="s">
        <v>4482</v>
      </c>
      <c r="B20" s="9" t="s">
        <v>4483</v>
      </c>
      <c r="C20" s="9">
        <v>2</v>
      </c>
      <c r="D20" s="9">
        <v>40</v>
      </c>
      <c r="E20" s="9">
        <f t="shared" si="0"/>
        <v>40</v>
      </c>
      <c r="F20" s="9">
        <v>20</v>
      </c>
      <c r="G20" s="9">
        <v>2</v>
      </c>
      <c r="L20" s="9">
        <v>305</v>
      </c>
      <c r="M20" s="9">
        <v>80</v>
      </c>
      <c r="U20">
        <v>7</v>
      </c>
      <c r="V20">
        <v>1045</v>
      </c>
      <c r="W20">
        <v>6821</v>
      </c>
      <c r="X20">
        <v>6821</v>
      </c>
      <c r="Z20">
        <v>2</v>
      </c>
      <c r="AA20">
        <v>80</v>
      </c>
      <c r="AB20" s="22">
        <v>7</v>
      </c>
      <c r="AC20" s="23">
        <v>6821</v>
      </c>
      <c r="AD20" s="23">
        <v>6821</v>
      </c>
    </row>
    <row r="21" spans="1:31" x14ac:dyDescent="0.3">
      <c r="A21" s="9" t="s">
        <v>4482</v>
      </c>
      <c r="B21" s="9" t="s">
        <v>4483</v>
      </c>
      <c r="C21" s="9">
        <v>2</v>
      </c>
      <c r="D21" s="9">
        <v>40</v>
      </c>
      <c r="E21" s="9">
        <f t="shared" si="0"/>
        <v>40</v>
      </c>
      <c r="F21" s="9">
        <v>20</v>
      </c>
      <c r="G21" s="9">
        <v>2</v>
      </c>
      <c r="L21" s="9">
        <v>305</v>
      </c>
      <c r="M21" s="9">
        <v>80</v>
      </c>
      <c r="U21">
        <v>10</v>
      </c>
      <c r="V21">
        <v>1045</v>
      </c>
      <c r="W21">
        <v>10049</v>
      </c>
      <c r="X21">
        <v>10049</v>
      </c>
      <c r="Z21">
        <v>2</v>
      </c>
      <c r="AA21">
        <v>80</v>
      </c>
      <c r="AB21" s="22">
        <v>10</v>
      </c>
      <c r="AC21" s="23">
        <v>10049</v>
      </c>
      <c r="AD21" s="23">
        <v>10049</v>
      </c>
    </row>
    <row r="22" spans="1:31" x14ac:dyDescent="0.3">
      <c r="A22" s="9" t="s">
        <v>4482</v>
      </c>
      <c r="B22" s="9" t="s">
        <v>4483</v>
      </c>
      <c r="C22" s="9">
        <v>2</v>
      </c>
      <c r="D22" s="9">
        <v>40</v>
      </c>
      <c r="E22" s="9">
        <f t="shared" si="0"/>
        <v>40</v>
      </c>
      <c r="F22" s="9">
        <v>20</v>
      </c>
      <c r="G22" s="9">
        <v>2</v>
      </c>
      <c r="L22" s="9">
        <v>305</v>
      </c>
      <c r="M22" s="9">
        <v>80</v>
      </c>
      <c r="U22">
        <v>20</v>
      </c>
      <c r="V22">
        <v>1045</v>
      </c>
      <c r="W22">
        <v>21897</v>
      </c>
      <c r="X22">
        <v>21897</v>
      </c>
      <c r="Z22">
        <v>2</v>
      </c>
      <c r="AA22">
        <v>80</v>
      </c>
      <c r="AB22" s="22">
        <v>20</v>
      </c>
      <c r="AC22" s="23">
        <v>21897</v>
      </c>
      <c r="AD22" s="23">
        <v>21897</v>
      </c>
    </row>
    <row r="23" spans="1:31" x14ac:dyDescent="0.3">
      <c r="A23" s="9" t="s">
        <v>4482</v>
      </c>
      <c r="B23" s="9" t="s">
        <v>4483</v>
      </c>
      <c r="C23" s="9">
        <v>2</v>
      </c>
      <c r="D23" s="9">
        <v>40</v>
      </c>
      <c r="E23" s="9">
        <f t="shared" si="0"/>
        <v>40</v>
      </c>
      <c r="F23" s="9">
        <v>20</v>
      </c>
      <c r="G23" s="9">
        <v>2</v>
      </c>
      <c r="L23" s="9">
        <v>305</v>
      </c>
      <c r="M23" s="9">
        <v>80</v>
      </c>
      <c r="U23">
        <v>30</v>
      </c>
      <c r="V23">
        <v>1045</v>
      </c>
      <c r="W23">
        <v>21010</v>
      </c>
      <c r="X23">
        <v>21010</v>
      </c>
      <c r="Z23">
        <v>2</v>
      </c>
      <c r="AA23">
        <v>80</v>
      </c>
      <c r="AB23" s="22">
        <v>30</v>
      </c>
      <c r="AC23" s="23">
        <v>21010</v>
      </c>
      <c r="AD23" s="23">
        <v>21010</v>
      </c>
    </row>
    <row r="24" spans="1:31" x14ac:dyDescent="0.3">
      <c r="A24" s="9" t="s">
        <v>4482</v>
      </c>
      <c r="B24" s="9" t="s">
        <v>4483</v>
      </c>
      <c r="C24" s="9">
        <v>2</v>
      </c>
      <c r="D24" s="9">
        <v>40</v>
      </c>
      <c r="E24" s="9">
        <f t="shared" si="0"/>
        <v>40</v>
      </c>
      <c r="F24" s="9">
        <v>20</v>
      </c>
      <c r="G24" s="9">
        <v>2</v>
      </c>
      <c r="L24" s="9">
        <v>305</v>
      </c>
      <c r="M24" s="9">
        <v>80</v>
      </c>
      <c r="U24">
        <v>40</v>
      </c>
      <c r="V24">
        <v>1045</v>
      </c>
      <c r="W24">
        <v>0</v>
      </c>
      <c r="X24">
        <v>0</v>
      </c>
      <c r="Z24">
        <v>2</v>
      </c>
      <c r="AA24">
        <v>80</v>
      </c>
      <c r="AB24" s="22">
        <v>40</v>
      </c>
      <c r="AC24" s="22">
        <v>0</v>
      </c>
      <c r="AD24" s="22">
        <v>0</v>
      </c>
    </row>
    <row r="25" spans="1:31" x14ac:dyDescent="0.3">
      <c r="A25" s="9" t="s">
        <v>4482</v>
      </c>
      <c r="B25" s="9" t="s">
        <v>4483</v>
      </c>
      <c r="C25" s="9">
        <v>1</v>
      </c>
      <c r="D25" s="9">
        <v>40</v>
      </c>
      <c r="E25" s="9">
        <f t="shared" si="0"/>
        <v>40</v>
      </c>
      <c r="F25" s="9">
        <v>20</v>
      </c>
      <c r="G25" s="9">
        <v>2</v>
      </c>
      <c r="L25" s="9">
        <v>315</v>
      </c>
      <c r="M25" s="9">
        <v>80</v>
      </c>
      <c r="R25" s="9">
        <v>1</v>
      </c>
      <c r="T25" s="9">
        <v>2</v>
      </c>
      <c r="U25">
        <v>1</v>
      </c>
      <c r="V25">
        <v>796</v>
      </c>
      <c r="W25">
        <v>768</v>
      </c>
      <c r="X25">
        <v>0</v>
      </c>
      <c r="Z25">
        <v>1</v>
      </c>
      <c r="AA25">
        <v>80</v>
      </c>
      <c r="AB25" s="22">
        <v>1</v>
      </c>
      <c r="AC25" s="22">
        <v>768</v>
      </c>
      <c r="AD25" s="22">
        <v>0</v>
      </c>
      <c r="AE25" s="22">
        <v>796</v>
      </c>
    </row>
    <row r="26" spans="1:31" x14ac:dyDescent="0.3">
      <c r="A26" s="9" t="s">
        <v>4482</v>
      </c>
      <c r="B26" s="9" t="s">
        <v>4483</v>
      </c>
      <c r="C26" s="9">
        <v>1</v>
      </c>
      <c r="D26" s="9">
        <v>40</v>
      </c>
      <c r="E26" s="9">
        <f t="shared" si="0"/>
        <v>40</v>
      </c>
      <c r="F26" s="9">
        <v>20</v>
      </c>
      <c r="G26" s="9">
        <v>2</v>
      </c>
      <c r="L26" s="9">
        <v>315</v>
      </c>
      <c r="M26" s="9">
        <v>80</v>
      </c>
      <c r="R26" s="9">
        <v>1</v>
      </c>
      <c r="T26" s="9">
        <v>2</v>
      </c>
      <c r="U26">
        <v>2</v>
      </c>
      <c r="V26">
        <v>796</v>
      </c>
      <c r="W26">
        <v>1608</v>
      </c>
      <c r="X26">
        <v>0</v>
      </c>
      <c r="Z26">
        <v>1</v>
      </c>
      <c r="AA26">
        <v>80</v>
      </c>
      <c r="AB26" s="22">
        <v>2</v>
      </c>
      <c r="AC26" s="23">
        <v>1608</v>
      </c>
      <c r="AD26" s="22">
        <v>0</v>
      </c>
    </row>
    <row r="27" spans="1:31" x14ac:dyDescent="0.3">
      <c r="A27" s="9" t="s">
        <v>4482</v>
      </c>
      <c r="B27" s="9" t="s">
        <v>4483</v>
      </c>
      <c r="C27" s="9">
        <v>1</v>
      </c>
      <c r="D27" s="9">
        <v>40</v>
      </c>
      <c r="E27" s="9">
        <f t="shared" si="0"/>
        <v>40</v>
      </c>
      <c r="F27" s="9">
        <v>20</v>
      </c>
      <c r="G27" s="9">
        <v>2</v>
      </c>
      <c r="L27" s="9">
        <v>315</v>
      </c>
      <c r="M27" s="9">
        <v>80</v>
      </c>
      <c r="R27" s="9">
        <v>1</v>
      </c>
      <c r="T27" s="9">
        <v>2</v>
      </c>
      <c r="U27">
        <v>3</v>
      </c>
      <c r="V27">
        <v>796</v>
      </c>
      <c r="W27">
        <v>2477</v>
      </c>
      <c r="X27">
        <v>0</v>
      </c>
      <c r="Z27">
        <v>1</v>
      </c>
      <c r="AA27">
        <v>80</v>
      </c>
      <c r="AB27" s="22">
        <v>3</v>
      </c>
      <c r="AC27" s="23">
        <v>2477</v>
      </c>
      <c r="AD27" s="22">
        <v>0</v>
      </c>
    </row>
    <row r="28" spans="1:31" x14ac:dyDescent="0.3">
      <c r="A28" s="9" t="s">
        <v>4482</v>
      </c>
      <c r="B28" s="9" t="s">
        <v>4483</v>
      </c>
      <c r="C28" s="9">
        <v>1</v>
      </c>
      <c r="D28" s="9">
        <v>40</v>
      </c>
      <c r="E28" s="9">
        <f t="shared" si="0"/>
        <v>40</v>
      </c>
      <c r="F28" s="9">
        <v>20</v>
      </c>
      <c r="G28" s="9">
        <v>2</v>
      </c>
      <c r="L28" s="9">
        <v>315</v>
      </c>
      <c r="M28" s="9">
        <v>80</v>
      </c>
      <c r="R28" s="9">
        <v>1</v>
      </c>
      <c r="T28" s="9">
        <v>2</v>
      </c>
      <c r="U28">
        <v>4</v>
      </c>
      <c r="V28">
        <v>796</v>
      </c>
      <c r="W28">
        <v>3357</v>
      </c>
      <c r="X28">
        <v>0</v>
      </c>
      <c r="Z28">
        <v>1</v>
      </c>
      <c r="AA28">
        <v>80</v>
      </c>
      <c r="AB28" s="22">
        <v>4</v>
      </c>
      <c r="AC28" s="23">
        <v>3357</v>
      </c>
      <c r="AD28" s="22">
        <v>0</v>
      </c>
    </row>
    <row r="29" spans="1:31" x14ac:dyDescent="0.3">
      <c r="A29" s="9" t="s">
        <v>4482</v>
      </c>
      <c r="B29" s="9" t="s">
        <v>4483</v>
      </c>
      <c r="C29" s="9">
        <v>1</v>
      </c>
      <c r="D29" s="9">
        <v>40</v>
      </c>
      <c r="E29" s="9">
        <f t="shared" si="0"/>
        <v>40</v>
      </c>
      <c r="F29" s="9">
        <v>20</v>
      </c>
      <c r="G29" s="9">
        <v>2</v>
      </c>
      <c r="L29" s="9">
        <v>315</v>
      </c>
      <c r="M29" s="9">
        <v>80</v>
      </c>
      <c r="R29" s="9">
        <v>1</v>
      </c>
      <c r="T29" s="9">
        <v>2</v>
      </c>
      <c r="U29">
        <v>5</v>
      </c>
      <c r="V29">
        <v>796</v>
      </c>
      <c r="W29">
        <v>4241</v>
      </c>
      <c r="X29">
        <v>0</v>
      </c>
      <c r="Z29">
        <v>1</v>
      </c>
      <c r="AA29">
        <v>80</v>
      </c>
      <c r="AB29" s="22">
        <v>5</v>
      </c>
      <c r="AC29" s="23">
        <v>4241</v>
      </c>
      <c r="AD29" s="22">
        <v>0</v>
      </c>
    </row>
    <row r="30" spans="1:31" x14ac:dyDescent="0.3">
      <c r="A30" s="9" t="s">
        <v>4482</v>
      </c>
      <c r="B30" s="9" t="s">
        <v>4483</v>
      </c>
      <c r="C30" s="9">
        <v>1</v>
      </c>
      <c r="D30" s="9">
        <v>40</v>
      </c>
      <c r="E30" s="9">
        <f t="shared" si="0"/>
        <v>40</v>
      </c>
      <c r="F30" s="9">
        <v>20</v>
      </c>
      <c r="G30" s="9">
        <v>2</v>
      </c>
      <c r="L30" s="9">
        <v>315</v>
      </c>
      <c r="M30" s="9">
        <v>80</v>
      </c>
      <c r="R30" s="9">
        <v>1</v>
      </c>
      <c r="T30" s="9">
        <v>2</v>
      </c>
      <c r="U30">
        <v>6</v>
      </c>
      <c r="V30">
        <v>796</v>
      </c>
      <c r="W30">
        <v>5126</v>
      </c>
      <c r="X30">
        <v>0</v>
      </c>
      <c r="Z30">
        <v>1</v>
      </c>
      <c r="AA30">
        <v>80</v>
      </c>
      <c r="AB30" s="22">
        <v>6</v>
      </c>
      <c r="AC30" s="23">
        <v>5126</v>
      </c>
      <c r="AD30" s="22">
        <v>0</v>
      </c>
    </row>
    <row r="31" spans="1:31" x14ac:dyDescent="0.3">
      <c r="A31" s="9" t="s">
        <v>4482</v>
      </c>
      <c r="B31" s="9" t="s">
        <v>4483</v>
      </c>
      <c r="C31" s="9">
        <v>1</v>
      </c>
      <c r="D31" s="9">
        <v>40</v>
      </c>
      <c r="E31" s="9">
        <f t="shared" si="0"/>
        <v>40</v>
      </c>
      <c r="F31" s="9">
        <v>20</v>
      </c>
      <c r="G31" s="9">
        <v>2</v>
      </c>
      <c r="L31" s="9">
        <v>315</v>
      </c>
      <c r="M31" s="9">
        <v>80</v>
      </c>
      <c r="R31" s="9">
        <v>1</v>
      </c>
      <c r="T31" s="9">
        <v>2</v>
      </c>
      <c r="U31">
        <v>7</v>
      </c>
      <c r="V31">
        <v>796</v>
      </c>
      <c r="W31">
        <v>6013</v>
      </c>
      <c r="X31">
        <v>0</v>
      </c>
      <c r="Z31">
        <v>1</v>
      </c>
      <c r="AA31">
        <v>80</v>
      </c>
      <c r="AB31" s="22">
        <v>7</v>
      </c>
      <c r="AC31" s="23">
        <v>6013</v>
      </c>
      <c r="AD31" s="22">
        <v>0</v>
      </c>
    </row>
    <row r="32" spans="1:31" x14ac:dyDescent="0.3">
      <c r="A32" s="9" t="s">
        <v>4482</v>
      </c>
      <c r="B32" s="9" t="s">
        <v>4483</v>
      </c>
      <c r="C32" s="9">
        <v>1</v>
      </c>
      <c r="D32" s="9">
        <v>40</v>
      </c>
      <c r="E32" s="9">
        <f t="shared" si="0"/>
        <v>40</v>
      </c>
      <c r="F32" s="9">
        <v>20</v>
      </c>
      <c r="G32" s="9">
        <v>2</v>
      </c>
      <c r="L32" s="9">
        <v>315</v>
      </c>
      <c r="M32" s="9">
        <v>80</v>
      </c>
      <c r="R32" s="9">
        <v>1</v>
      </c>
      <c r="T32" s="9">
        <v>2</v>
      </c>
      <c r="U32">
        <v>10</v>
      </c>
      <c r="V32">
        <v>796</v>
      </c>
      <c r="W32">
        <v>8677</v>
      </c>
      <c r="X32">
        <v>0</v>
      </c>
      <c r="Z32">
        <v>1</v>
      </c>
      <c r="AA32">
        <v>80</v>
      </c>
      <c r="AB32" s="22">
        <v>10</v>
      </c>
      <c r="AC32" s="23">
        <v>8677</v>
      </c>
      <c r="AD32" s="22">
        <v>0</v>
      </c>
    </row>
    <row r="33" spans="1:31" x14ac:dyDescent="0.3">
      <c r="A33" s="9" t="s">
        <v>4482</v>
      </c>
      <c r="B33" s="9" t="s">
        <v>4483</v>
      </c>
      <c r="C33" s="9">
        <v>1</v>
      </c>
      <c r="D33" s="9">
        <v>40</v>
      </c>
      <c r="E33" s="9">
        <f t="shared" si="0"/>
        <v>40</v>
      </c>
      <c r="F33" s="9">
        <v>20</v>
      </c>
      <c r="G33" s="9">
        <v>2</v>
      </c>
      <c r="L33" s="9">
        <v>315</v>
      </c>
      <c r="M33" s="9">
        <v>80</v>
      </c>
      <c r="R33" s="9">
        <v>1</v>
      </c>
      <c r="T33" s="9">
        <v>2</v>
      </c>
      <c r="U33">
        <v>20</v>
      </c>
      <c r="V33">
        <v>796</v>
      </c>
      <c r="W33">
        <v>17933</v>
      </c>
      <c r="X33">
        <v>9446</v>
      </c>
      <c r="Z33">
        <v>1</v>
      </c>
      <c r="AA33">
        <v>80</v>
      </c>
      <c r="AB33" s="22">
        <v>20</v>
      </c>
      <c r="AC33" s="23">
        <v>17933</v>
      </c>
      <c r="AD33" s="23">
        <v>9446</v>
      </c>
    </row>
    <row r="34" spans="1:31" x14ac:dyDescent="0.3">
      <c r="A34" s="9" t="s">
        <v>4482</v>
      </c>
      <c r="B34" s="9" t="s">
        <v>4483</v>
      </c>
      <c r="C34" s="9">
        <v>1</v>
      </c>
      <c r="D34" s="9">
        <v>40</v>
      </c>
      <c r="E34" s="9">
        <f t="shared" si="0"/>
        <v>40</v>
      </c>
      <c r="F34" s="9">
        <v>20</v>
      </c>
      <c r="G34" s="9">
        <v>2</v>
      </c>
      <c r="L34" s="9">
        <v>315</v>
      </c>
      <c r="M34" s="9">
        <v>80</v>
      </c>
      <c r="R34" s="9">
        <v>1</v>
      </c>
      <c r="T34" s="9">
        <v>2</v>
      </c>
      <c r="U34">
        <v>30</v>
      </c>
      <c r="V34">
        <v>796</v>
      </c>
      <c r="W34">
        <v>17543</v>
      </c>
      <c r="X34">
        <v>8968</v>
      </c>
      <c r="Z34">
        <v>1</v>
      </c>
      <c r="AA34">
        <v>80</v>
      </c>
      <c r="AB34" s="22">
        <v>30</v>
      </c>
      <c r="AC34" s="23">
        <v>17543</v>
      </c>
      <c r="AD34" s="23">
        <v>8968</v>
      </c>
    </row>
    <row r="35" spans="1:31" x14ac:dyDescent="0.3">
      <c r="A35" s="9" t="s">
        <v>4482</v>
      </c>
      <c r="B35" s="9" t="s">
        <v>4483</v>
      </c>
      <c r="C35" s="9">
        <v>1</v>
      </c>
      <c r="D35" s="9">
        <v>40</v>
      </c>
      <c r="E35" s="9">
        <f t="shared" si="0"/>
        <v>40</v>
      </c>
      <c r="F35" s="9">
        <v>20</v>
      </c>
      <c r="G35" s="9">
        <v>2</v>
      </c>
      <c r="L35" s="9">
        <v>315</v>
      </c>
      <c r="M35" s="9">
        <v>80</v>
      </c>
      <c r="R35" s="9">
        <v>1</v>
      </c>
      <c r="T35" s="9">
        <v>2</v>
      </c>
      <c r="U35">
        <v>40</v>
      </c>
      <c r="V35">
        <v>796</v>
      </c>
      <c r="W35">
        <v>0</v>
      </c>
      <c r="X35">
        <v>0</v>
      </c>
      <c r="Z35">
        <v>1</v>
      </c>
      <c r="AA35">
        <v>80</v>
      </c>
      <c r="AB35" s="22">
        <v>40</v>
      </c>
      <c r="AC35" s="22">
        <v>0</v>
      </c>
      <c r="AD35" s="22">
        <v>0</v>
      </c>
    </row>
    <row r="36" spans="1:31" x14ac:dyDescent="0.3">
      <c r="A36" s="9" t="s">
        <v>4482</v>
      </c>
      <c r="B36" s="9" t="s">
        <v>4483</v>
      </c>
      <c r="C36" s="9">
        <v>2</v>
      </c>
      <c r="D36" s="9">
        <v>40</v>
      </c>
      <c r="E36" s="9">
        <f t="shared" si="0"/>
        <v>40</v>
      </c>
      <c r="F36" s="9">
        <v>20</v>
      </c>
      <c r="G36" s="9">
        <v>2</v>
      </c>
      <c r="L36" s="9">
        <v>315</v>
      </c>
      <c r="M36" s="9">
        <v>80</v>
      </c>
      <c r="U36">
        <v>1</v>
      </c>
      <c r="V36">
        <v>896</v>
      </c>
      <c r="W36">
        <v>795</v>
      </c>
      <c r="X36">
        <v>0</v>
      </c>
      <c r="Z36">
        <v>2</v>
      </c>
      <c r="AA36">
        <v>80</v>
      </c>
      <c r="AB36" s="22">
        <v>1</v>
      </c>
      <c r="AC36" s="22">
        <v>795</v>
      </c>
      <c r="AD36" s="22">
        <v>0</v>
      </c>
      <c r="AE36" s="22">
        <v>896</v>
      </c>
    </row>
    <row r="37" spans="1:31" x14ac:dyDescent="0.3">
      <c r="A37" s="9" t="s">
        <v>4482</v>
      </c>
      <c r="B37" s="9" t="s">
        <v>4483</v>
      </c>
      <c r="C37" s="9">
        <v>2</v>
      </c>
      <c r="D37" s="9">
        <v>40</v>
      </c>
      <c r="E37" s="9">
        <f t="shared" si="0"/>
        <v>40</v>
      </c>
      <c r="F37" s="9">
        <v>20</v>
      </c>
      <c r="G37" s="9">
        <v>2</v>
      </c>
      <c r="L37" s="9">
        <v>315</v>
      </c>
      <c r="M37" s="9">
        <v>80</v>
      </c>
      <c r="U37">
        <v>2</v>
      </c>
      <c r="V37">
        <v>896</v>
      </c>
      <c r="W37">
        <v>1606</v>
      </c>
      <c r="X37">
        <v>283</v>
      </c>
      <c r="Z37">
        <v>2</v>
      </c>
      <c r="AA37">
        <v>80</v>
      </c>
      <c r="AB37" s="22">
        <v>2</v>
      </c>
      <c r="AC37" s="23">
        <v>1606</v>
      </c>
      <c r="AD37" s="22">
        <v>283</v>
      </c>
    </row>
    <row r="38" spans="1:31" x14ac:dyDescent="0.3">
      <c r="A38" s="9" t="s">
        <v>4482</v>
      </c>
      <c r="B38" s="9" t="s">
        <v>4483</v>
      </c>
      <c r="C38" s="9">
        <v>2</v>
      </c>
      <c r="D38" s="9">
        <v>40</v>
      </c>
      <c r="E38" s="9">
        <f t="shared" si="0"/>
        <v>40</v>
      </c>
      <c r="F38" s="9">
        <v>20</v>
      </c>
      <c r="G38" s="9">
        <v>2</v>
      </c>
      <c r="L38" s="9">
        <v>315</v>
      </c>
      <c r="M38" s="9">
        <v>80</v>
      </c>
      <c r="U38">
        <v>3</v>
      </c>
      <c r="V38">
        <v>896</v>
      </c>
      <c r="W38">
        <v>2431</v>
      </c>
      <c r="X38">
        <v>1373</v>
      </c>
      <c r="Z38">
        <v>2</v>
      </c>
      <c r="AA38">
        <v>80</v>
      </c>
      <c r="AB38" s="22">
        <v>3</v>
      </c>
      <c r="AC38" s="23">
        <v>2431</v>
      </c>
      <c r="AD38" s="23">
        <v>1373</v>
      </c>
    </row>
    <row r="39" spans="1:31" x14ac:dyDescent="0.3">
      <c r="A39" s="9" t="s">
        <v>4482</v>
      </c>
      <c r="B39" s="9" t="s">
        <v>4483</v>
      </c>
      <c r="C39" s="9">
        <v>2</v>
      </c>
      <c r="D39" s="9">
        <v>40</v>
      </c>
      <c r="E39" s="9">
        <f t="shared" si="0"/>
        <v>40</v>
      </c>
      <c r="F39" s="9">
        <v>20</v>
      </c>
      <c r="G39" s="9">
        <v>2</v>
      </c>
      <c r="L39" s="9">
        <v>315</v>
      </c>
      <c r="M39" s="9">
        <v>80</v>
      </c>
      <c r="U39">
        <v>4</v>
      </c>
      <c r="V39">
        <v>896</v>
      </c>
      <c r="W39">
        <v>3273</v>
      </c>
      <c r="X39">
        <v>2479</v>
      </c>
      <c r="Z39">
        <v>2</v>
      </c>
      <c r="AA39">
        <v>80</v>
      </c>
      <c r="AB39" s="22">
        <v>4</v>
      </c>
      <c r="AC39" s="23">
        <v>3273</v>
      </c>
      <c r="AD39" s="23">
        <v>2479</v>
      </c>
    </row>
    <row r="40" spans="1:31" x14ac:dyDescent="0.3">
      <c r="A40" s="9" t="s">
        <v>4482</v>
      </c>
      <c r="B40" s="9" t="s">
        <v>4483</v>
      </c>
      <c r="C40" s="9">
        <v>2</v>
      </c>
      <c r="D40" s="9">
        <v>40</v>
      </c>
      <c r="E40" s="9">
        <f t="shared" si="0"/>
        <v>40</v>
      </c>
      <c r="F40" s="9">
        <v>20</v>
      </c>
      <c r="G40" s="9">
        <v>2</v>
      </c>
      <c r="L40" s="9">
        <v>315</v>
      </c>
      <c r="M40" s="9">
        <v>80</v>
      </c>
      <c r="U40">
        <v>5</v>
      </c>
      <c r="V40">
        <v>896</v>
      </c>
      <c r="W40">
        <v>4132</v>
      </c>
      <c r="X40">
        <v>3603</v>
      </c>
      <c r="Z40">
        <v>2</v>
      </c>
      <c r="AA40">
        <v>80</v>
      </c>
      <c r="AB40" s="22">
        <v>5</v>
      </c>
      <c r="AC40" s="23">
        <v>4132</v>
      </c>
      <c r="AD40" s="23">
        <v>3603</v>
      </c>
    </row>
    <row r="41" spans="1:31" x14ac:dyDescent="0.3">
      <c r="A41" s="9" t="s">
        <v>4482</v>
      </c>
      <c r="B41" s="9" t="s">
        <v>4483</v>
      </c>
      <c r="C41" s="9">
        <v>2</v>
      </c>
      <c r="D41" s="9">
        <v>40</v>
      </c>
      <c r="E41" s="9">
        <f t="shared" si="0"/>
        <v>40</v>
      </c>
      <c r="F41" s="9">
        <v>20</v>
      </c>
      <c r="G41" s="9">
        <v>2</v>
      </c>
      <c r="L41" s="9">
        <v>315</v>
      </c>
      <c r="M41" s="9">
        <v>80</v>
      </c>
      <c r="U41">
        <v>6</v>
      </c>
      <c r="V41">
        <v>896</v>
      </c>
      <c r="W41">
        <v>5010</v>
      </c>
      <c r="X41">
        <v>4745</v>
      </c>
      <c r="Z41">
        <v>2</v>
      </c>
      <c r="AA41">
        <v>80</v>
      </c>
      <c r="AB41" s="22">
        <v>6</v>
      </c>
      <c r="AC41" s="23">
        <v>5010</v>
      </c>
      <c r="AD41" s="23">
        <v>4745</v>
      </c>
    </row>
    <row r="42" spans="1:31" x14ac:dyDescent="0.3">
      <c r="A42" s="9" t="s">
        <v>4482</v>
      </c>
      <c r="B42" s="9" t="s">
        <v>4483</v>
      </c>
      <c r="C42" s="9">
        <v>2</v>
      </c>
      <c r="D42" s="9">
        <v>40</v>
      </c>
      <c r="E42" s="9">
        <f t="shared" si="0"/>
        <v>40</v>
      </c>
      <c r="F42" s="9">
        <v>20</v>
      </c>
      <c r="G42" s="9">
        <v>2</v>
      </c>
      <c r="L42" s="9">
        <v>315</v>
      </c>
      <c r="M42" s="9">
        <v>80</v>
      </c>
      <c r="U42">
        <v>7</v>
      </c>
      <c r="V42">
        <v>896</v>
      </c>
      <c r="W42">
        <v>5907</v>
      </c>
      <c r="X42">
        <v>5907</v>
      </c>
      <c r="Z42">
        <v>2</v>
      </c>
      <c r="AA42">
        <v>80</v>
      </c>
      <c r="AB42" s="22">
        <v>7</v>
      </c>
      <c r="AC42" s="23">
        <v>5907</v>
      </c>
      <c r="AD42" s="23">
        <v>5907</v>
      </c>
    </row>
    <row r="43" spans="1:31" x14ac:dyDescent="0.3">
      <c r="A43" s="9" t="s">
        <v>4482</v>
      </c>
      <c r="B43" s="9" t="s">
        <v>4483</v>
      </c>
      <c r="C43" s="9">
        <v>2</v>
      </c>
      <c r="D43" s="9">
        <v>40</v>
      </c>
      <c r="E43" s="9">
        <f t="shared" si="0"/>
        <v>40</v>
      </c>
      <c r="F43" s="9">
        <v>20</v>
      </c>
      <c r="G43" s="9">
        <v>2</v>
      </c>
      <c r="L43" s="9">
        <v>315</v>
      </c>
      <c r="M43" s="9">
        <v>80</v>
      </c>
      <c r="U43">
        <v>10</v>
      </c>
      <c r="V43">
        <v>896</v>
      </c>
      <c r="W43">
        <v>8694</v>
      </c>
      <c r="X43">
        <v>8694</v>
      </c>
      <c r="Z43">
        <v>2</v>
      </c>
      <c r="AA43">
        <v>80</v>
      </c>
      <c r="AB43" s="22">
        <v>10</v>
      </c>
      <c r="AC43" s="23">
        <v>8694</v>
      </c>
      <c r="AD43" s="23">
        <v>8694</v>
      </c>
    </row>
    <row r="44" spans="1:31" x14ac:dyDescent="0.3">
      <c r="A44" s="9" t="s">
        <v>4482</v>
      </c>
      <c r="B44" s="9" t="s">
        <v>4483</v>
      </c>
      <c r="C44" s="9">
        <v>2</v>
      </c>
      <c r="D44" s="9">
        <v>40</v>
      </c>
      <c r="E44" s="9">
        <f t="shared" si="0"/>
        <v>40</v>
      </c>
      <c r="F44" s="9">
        <v>20</v>
      </c>
      <c r="G44" s="9">
        <v>2</v>
      </c>
      <c r="L44" s="9">
        <v>315</v>
      </c>
      <c r="M44" s="9">
        <v>80</v>
      </c>
      <c r="U44">
        <v>20</v>
      </c>
      <c r="V44">
        <v>896</v>
      </c>
      <c r="W44">
        <v>18892</v>
      </c>
      <c r="X44">
        <v>18892</v>
      </c>
      <c r="Z44">
        <v>2</v>
      </c>
      <c r="AA44">
        <v>80</v>
      </c>
      <c r="AB44" s="22">
        <v>20</v>
      </c>
      <c r="AC44" s="23">
        <v>18892</v>
      </c>
      <c r="AD44" s="23">
        <v>18892</v>
      </c>
    </row>
    <row r="45" spans="1:31" x14ac:dyDescent="0.3">
      <c r="A45" s="9" t="s">
        <v>4482</v>
      </c>
      <c r="B45" s="9" t="s">
        <v>4483</v>
      </c>
      <c r="C45" s="9">
        <v>2</v>
      </c>
      <c r="D45" s="9">
        <v>40</v>
      </c>
      <c r="E45" s="9">
        <f t="shared" si="0"/>
        <v>40</v>
      </c>
      <c r="F45" s="9">
        <v>20</v>
      </c>
      <c r="G45" s="9">
        <v>2</v>
      </c>
      <c r="L45" s="9">
        <v>315</v>
      </c>
      <c r="M45" s="9">
        <v>80</v>
      </c>
      <c r="U45">
        <v>30</v>
      </c>
      <c r="V45">
        <v>896</v>
      </c>
      <c r="W45">
        <v>17935</v>
      </c>
      <c r="X45">
        <v>17935</v>
      </c>
      <c r="Z45">
        <v>2</v>
      </c>
      <c r="AA45">
        <v>80</v>
      </c>
      <c r="AB45" s="22">
        <v>30</v>
      </c>
      <c r="AC45" s="23">
        <v>17935</v>
      </c>
      <c r="AD45" s="23">
        <v>17935</v>
      </c>
    </row>
    <row r="46" spans="1:31" x14ac:dyDescent="0.3">
      <c r="A46" s="9" t="s">
        <v>4482</v>
      </c>
      <c r="B46" s="9" t="s">
        <v>4483</v>
      </c>
      <c r="C46" s="9">
        <v>2</v>
      </c>
      <c r="D46" s="9">
        <v>40</v>
      </c>
      <c r="E46" s="9">
        <f t="shared" si="0"/>
        <v>40</v>
      </c>
      <c r="F46" s="9">
        <v>20</v>
      </c>
      <c r="G46" s="9">
        <v>2</v>
      </c>
      <c r="L46" s="9">
        <v>315</v>
      </c>
      <c r="M46" s="9">
        <v>80</v>
      </c>
      <c r="U46">
        <v>40</v>
      </c>
      <c r="V46">
        <v>896</v>
      </c>
      <c r="W46">
        <v>0</v>
      </c>
      <c r="X46">
        <v>0</v>
      </c>
      <c r="Z46">
        <v>2</v>
      </c>
      <c r="AA46">
        <v>80</v>
      </c>
      <c r="AB46" s="22">
        <v>40</v>
      </c>
      <c r="AC46" s="22">
        <v>0</v>
      </c>
      <c r="AD46" s="22">
        <v>0</v>
      </c>
    </row>
    <row r="47" spans="1:31" x14ac:dyDescent="0.3">
      <c r="A47" s="9" t="s">
        <v>4482</v>
      </c>
      <c r="B47" s="9" t="s">
        <v>4483</v>
      </c>
      <c r="C47" s="9">
        <v>1</v>
      </c>
      <c r="D47" s="9">
        <v>40</v>
      </c>
      <c r="E47" s="9">
        <f t="shared" si="0"/>
        <v>50</v>
      </c>
      <c r="F47" s="9">
        <v>20</v>
      </c>
      <c r="G47" s="9">
        <v>2</v>
      </c>
      <c r="L47" s="9">
        <v>325</v>
      </c>
      <c r="M47" s="9">
        <v>90</v>
      </c>
      <c r="R47" s="9">
        <v>1</v>
      </c>
      <c r="T47" s="9">
        <v>2</v>
      </c>
      <c r="U47">
        <v>1</v>
      </c>
      <c r="V47">
        <v>1350</v>
      </c>
      <c r="W47">
        <v>1412</v>
      </c>
      <c r="X47">
        <v>0</v>
      </c>
      <c r="Z47">
        <v>1</v>
      </c>
      <c r="AA47">
        <v>90</v>
      </c>
      <c r="AB47" s="22">
        <v>1</v>
      </c>
      <c r="AC47" s="23">
        <v>1412</v>
      </c>
      <c r="AD47" s="22">
        <v>0</v>
      </c>
      <c r="AE47" s="23">
        <v>1350</v>
      </c>
    </row>
    <row r="48" spans="1:31" x14ac:dyDescent="0.3">
      <c r="A48" s="9" t="s">
        <v>4482</v>
      </c>
      <c r="B48" s="9" t="s">
        <v>4483</v>
      </c>
      <c r="C48" s="9">
        <v>1</v>
      </c>
      <c r="D48" s="9">
        <v>40</v>
      </c>
      <c r="E48" s="9">
        <f t="shared" si="0"/>
        <v>50</v>
      </c>
      <c r="F48" s="9">
        <v>20</v>
      </c>
      <c r="G48" s="9">
        <v>2</v>
      </c>
      <c r="L48" s="9">
        <v>325</v>
      </c>
      <c r="M48" s="9">
        <v>90</v>
      </c>
      <c r="R48" s="9">
        <v>1</v>
      </c>
      <c r="T48" s="9">
        <v>2</v>
      </c>
      <c r="U48">
        <v>2</v>
      </c>
      <c r="V48">
        <v>1350</v>
      </c>
      <c r="W48">
        <v>2962</v>
      </c>
      <c r="X48">
        <v>0</v>
      </c>
      <c r="Z48">
        <v>1</v>
      </c>
      <c r="AA48">
        <v>90</v>
      </c>
      <c r="AB48" s="22">
        <v>2</v>
      </c>
      <c r="AC48" s="23">
        <v>2962</v>
      </c>
      <c r="AD48" s="22">
        <v>0</v>
      </c>
    </row>
    <row r="49" spans="1:31" x14ac:dyDescent="0.3">
      <c r="A49" s="9" t="s">
        <v>4482</v>
      </c>
      <c r="B49" s="9" t="s">
        <v>4483</v>
      </c>
      <c r="C49" s="9">
        <v>1</v>
      </c>
      <c r="D49" s="9">
        <v>40</v>
      </c>
      <c r="E49" s="9">
        <f t="shared" si="0"/>
        <v>50</v>
      </c>
      <c r="F49" s="9">
        <v>20</v>
      </c>
      <c r="G49" s="9">
        <v>2</v>
      </c>
      <c r="L49" s="9">
        <v>325</v>
      </c>
      <c r="M49" s="9">
        <v>90</v>
      </c>
      <c r="R49" s="9">
        <v>1</v>
      </c>
      <c r="T49" s="9">
        <v>2</v>
      </c>
      <c r="U49">
        <v>3</v>
      </c>
      <c r="V49">
        <v>1350</v>
      </c>
      <c r="W49">
        <v>4579</v>
      </c>
      <c r="X49">
        <v>0</v>
      </c>
      <c r="Z49">
        <v>1</v>
      </c>
      <c r="AA49">
        <v>90</v>
      </c>
      <c r="AB49" s="22">
        <v>3</v>
      </c>
      <c r="AC49" s="23">
        <v>4579</v>
      </c>
      <c r="AD49" s="22">
        <v>0</v>
      </c>
    </row>
    <row r="50" spans="1:31" x14ac:dyDescent="0.3">
      <c r="A50" s="9" t="s">
        <v>4482</v>
      </c>
      <c r="B50" s="9" t="s">
        <v>4483</v>
      </c>
      <c r="C50" s="9">
        <v>1</v>
      </c>
      <c r="D50" s="9">
        <v>40</v>
      </c>
      <c r="E50" s="9">
        <f t="shared" si="0"/>
        <v>50</v>
      </c>
      <c r="F50" s="9">
        <v>20</v>
      </c>
      <c r="G50" s="9">
        <v>2</v>
      </c>
      <c r="L50" s="9">
        <v>325</v>
      </c>
      <c r="M50" s="9">
        <v>90</v>
      </c>
      <c r="R50" s="9">
        <v>1</v>
      </c>
      <c r="T50" s="9">
        <v>2</v>
      </c>
      <c r="U50">
        <v>4</v>
      </c>
      <c r="V50">
        <v>1350</v>
      </c>
      <c r="W50">
        <v>6218</v>
      </c>
      <c r="X50">
        <v>0</v>
      </c>
      <c r="Z50">
        <v>1</v>
      </c>
      <c r="AA50">
        <v>90</v>
      </c>
      <c r="AB50" s="22">
        <v>4</v>
      </c>
      <c r="AC50" s="23">
        <v>6218</v>
      </c>
      <c r="AD50" s="22">
        <v>0</v>
      </c>
    </row>
    <row r="51" spans="1:31" x14ac:dyDescent="0.3">
      <c r="A51" s="9" t="s">
        <v>4482</v>
      </c>
      <c r="B51" s="9" t="s">
        <v>4483</v>
      </c>
      <c r="C51" s="9">
        <v>1</v>
      </c>
      <c r="D51" s="9">
        <v>40</v>
      </c>
      <c r="E51" s="9">
        <f t="shared" si="0"/>
        <v>50</v>
      </c>
      <c r="F51" s="9">
        <v>20</v>
      </c>
      <c r="G51" s="9">
        <v>2</v>
      </c>
      <c r="L51" s="9">
        <v>325</v>
      </c>
      <c r="M51" s="9">
        <v>90</v>
      </c>
      <c r="R51" s="9">
        <v>1</v>
      </c>
      <c r="T51" s="9">
        <v>2</v>
      </c>
      <c r="U51">
        <v>5</v>
      </c>
      <c r="V51">
        <v>1350</v>
      </c>
      <c r="W51">
        <v>7871</v>
      </c>
      <c r="X51">
        <v>0</v>
      </c>
      <c r="Z51">
        <v>1</v>
      </c>
      <c r="AA51">
        <v>90</v>
      </c>
      <c r="AB51" s="22">
        <v>5</v>
      </c>
      <c r="AC51" s="23">
        <v>7871</v>
      </c>
      <c r="AD51" s="22">
        <v>0</v>
      </c>
    </row>
    <row r="52" spans="1:31" x14ac:dyDescent="0.3">
      <c r="A52" s="9" t="s">
        <v>4482</v>
      </c>
      <c r="B52" s="9" t="s">
        <v>4483</v>
      </c>
      <c r="C52" s="9">
        <v>1</v>
      </c>
      <c r="D52" s="9">
        <v>40</v>
      </c>
      <c r="E52" s="9">
        <f t="shared" si="0"/>
        <v>50</v>
      </c>
      <c r="F52" s="9">
        <v>20</v>
      </c>
      <c r="G52" s="9">
        <v>2</v>
      </c>
      <c r="L52" s="9">
        <v>325</v>
      </c>
      <c r="M52" s="9">
        <v>90</v>
      </c>
      <c r="R52" s="9">
        <v>1</v>
      </c>
      <c r="T52" s="9">
        <v>2</v>
      </c>
      <c r="U52">
        <v>6</v>
      </c>
      <c r="V52">
        <v>1350</v>
      </c>
      <c r="W52">
        <v>9531</v>
      </c>
      <c r="X52">
        <v>0</v>
      </c>
      <c r="Z52">
        <v>1</v>
      </c>
      <c r="AA52">
        <v>90</v>
      </c>
      <c r="AB52" s="22">
        <v>6</v>
      </c>
      <c r="AC52" s="23">
        <v>9531</v>
      </c>
      <c r="AD52" s="22">
        <v>0</v>
      </c>
    </row>
    <row r="53" spans="1:31" x14ac:dyDescent="0.3">
      <c r="A53" s="9" t="s">
        <v>4482</v>
      </c>
      <c r="B53" s="9" t="s">
        <v>4483</v>
      </c>
      <c r="C53" s="9">
        <v>1</v>
      </c>
      <c r="D53" s="9">
        <v>40</v>
      </c>
      <c r="E53" s="9">
        <f t="shared" si="0"/>
        <v>50</v>
      </c>
      <c r="F53" s="9">
        <v>20</v>
      </c>
      <c r="G53" s="9">
        <v>2</v>
      </c>
      <c r="L53" s="9">
        <v>325</v>
      </c>
      <c r="M53" s="9">
        <v>90</v>
      </c>
      <c r="R53" s="9">
        <v>1</v>
      </c>
      <c r="T53" s="9">
        <v>2</v>
      </c>
      <c r="U53">
        <v>7</v>
      </c>
      <c r="V53">
        <v>1350</v>
      </c>
      <c r="W53">
        <v>11197</v>
      </c>
      <c r="X53">
        <v>0</v>
      </c>
      <c r="Z53">
        <v>1</v>
      </c>
      <c r="AA53">
        <v>90</v>
      </c>
      <c r="AB53" s="22">
        <v>7</v>
      </c>
      <c r="AC53" s="23">
        <v>11197</v>
      </c>
      <c r="AD53" s="22">
        <v>0</v>
      </c>
    </row>
    <row r="54" spans="1:31" x14ac:dyDescent="0.3">
      <c r="A54" s="9" t="s">
        <v>4482</v>
      </c>
      <c r="B54" s="9" t="s">
        <v>4483</v>
      </c>
      <c r="C54" s="9">
        <v>1</v>
      </c>
      <c r="D54" s="9">
        <v>40</v>
      </c>
      <c r="E54" s="9">
        <f t="shared" si="0"/>
        <v>50</v>
      </c>
      <c r="F54" s="9">
        <v>20</v>
      </c>
      <c r="G54" s="9">
        <v>2</v>
      </c>
      <c r="L54" s="9">
        <v>325</v>
      </c>
      <c r="M54" s="9">
        <v>90</v>
      </c>
      <c r="R54" s="9">
        <v>1</v>
      </c>
      <c r="T54" s="9">
        <v>2</v>
      </c>
      <c r="U54">
        <v>10</v>
      </c>
      <c r="V54">
        <v>1350</v>
      </c>
      <c r="W54">
        <v>16255</v>
      </c>
      <c r="X54">
        <v>0</v>
      </c>
      <c r="Z54">
        <v>1</v>
      </c>
      <c r="AA54">
        <v>90</v>
      </c>
      <c r="AB54" s="22">
        <v>10</v>
      </c>
      <c r="AC54" s="23">
        <v>16255</v>
      </c>
      <c r="AD54" s="22">
        <v>0</v>
      </c>
    </row>
    <row r="55" spans="1:31" x14ac:dyDescent="0.3">
      <c r="A55" s="9" t="s">
        <v>4482</v>
      </c>
      <c r="B55" s="9" t="s">
        <v>4483</v>
      </c>
      <c r="C55" s="9">
        <v>1</v>
      </c>
      <c r="D55" s="9">
        <v>40</v>
      </c>
      <c r="E55" s="9">
        <f t="shared" si="0"/>
        <v>50</v>
      </c>
      <c r="F55" s="9">
        <v>20</v>
      </c>
      <c r="G55" s="9">
        <v>2</v>
      </c>
      <c r="L55" s="9">
        <v>325</v>
      </c>
      <c r="M55" s="9">
        <v>90</v>
      </c>
      <c r="R55" s="9">
        <v>1</v>
      </c>
      <c r="T55" s="9">
        <v>2</v>
      </c>
      <c r="U55">
        <v>20</v>
      </c>
      <c r="V55">
        <v>1350</v>
      </c>
      <c r="W55">
        <v>34842</v>
      </c>
      <c r="X55">
        <v>18821</v>
      </c>
      <c r="Z55">
        <v>1</v>
      </c>
      <c r="AA55">
        <v>90</v>
      </c>
      <c r="AB55" s="22">
        <v>20</v>
      </c>
      <c r="AC55" s="23">
        <v>34842</v>
      </c>
      <c r="AD55" s="23">
        <v>18821</v>
      </c>
    </row>
    <row r="56" spans="1:31" x14ac:dyDescent="0.3">
      <c r="A56" s="9" t="s">
        <v>4482</v>
      </c>
      <c r="B56" s="9" t="s">
        <v>4483</v>
      </c>
      <c r="C56" s="9">
        <v>1</v>
      </c>
      <c r="D56" s="9">
        <v>40</v>
      </c>
      <c r="E56" s="9">
        <f t="shared" si="0"/>
        <v>50</v>
      </c>
      <c r="F56" s="9">
        <v>20</v>
      </c>
      <c r="G56" s="9">
        <v>2</v>
      </c>
      <c r="L56" s="9">
        <v>325</v>
      </c>
      <c r="M56" s="9">
        <v>90</v>
      </c>
      <c r="R56" s="9">
        <v>1</v>
      </c>
      <c r="T56" s="9">
        <v>2</v>
      </c>
      <c r="U56">
        <v>30</v>
      </c>
      <c r="V56">
        <v>1350</v>
      </c>
      <c r="W56">
        <v>41869</v>
      </c>
      <c r="X56">
        <v>21900</v>
      </c>
      <c r="Z56">
        <v>1</v>
      </c>
      <c r="AA56">
        <v>90</v>
      </c>
      <c r="AB56" s="22">
        <v>30</v>
      </c>
      <c r="AC56" s="23">
        <v>41869</v>
      </c>
      <c r="AD56" s="23">
        <v>21900</v>
      </c>
    </row>
    <row r="57" spans="1:31" x14ac:dyDescent="0.3">
      <c r="A57" s="9" t="s">
        <v>4482</v>
      </c>
      <c r="B57" s="9" t="s">
        <v>4483</v>
      </c>
      <c r="C57" s="9">
        <v>1</v>
      </c>
      <c r="D57" s="9">
        <v>40</v>
      </c>
      <c r="E57" s="9">
        <f t="shared" si="0"/>
        <v>50</v>
      </c>
      <c r="F57" s="9">
        <v>20</v>
      </c>
      <c r="G57" s="9">
        <v>2</v>
      </c>
      <c r="L57" s="9">
        <v>325</v>
      </c>
      <c r="M57" s="9">
        <v>90</v>
      </c>
      <c r="R57" s="9">
        <v>1</v>
      </c>
      <c r="T57" s="9">
        <v>2</v>
      </c>
      <c r="U57">
        <v>40</v>
      </c>
      <c r="V57">
        <v>1350</v>
      </c>
      <c r="W57">
        <v>42388</v>
      </c>
      <c r="X57">
        <v>21635</v>
      </c>
      <c r="Z57">
        <v>1</v>
      </c>
      <c r="AA57">
        <v>90</v>
      </c>
      <c r="AB57" s="22">
        <v>40</v>
      </c>
      <c r="AC57" s="23">
        <v>42388</v>
      </c>
      <c r="AD57" s="23">
        <v>21635</v>
      </c>
    </row>
    <row r="58" spans="1:31" x14ac:dyDescent="0.3">
      <c r="A58" s="9" t="s">
        <v>4482</v>
      </c>
      <c r="B58" s="9" t="s">
        <v>4483</v>
      </c>
      <c r="C58" s="9">
        <v>1</v>
      </c>
      <c r="D58" s="9">
        <v>40</v>
      </c>
      <c r="E58" s="9">
        <f t="shared" si="0"/>
        <v>50</v>
      </c>
      <c r="F58" s="9">
        <v>20</v>
      </c>
      <c r="G58" s="9">
        <v>2</v>
      </c>
      <c r="L58" s="9">
        <v>325</v>
      </c>
      <c r="M58" s="9">
        <v>90</v>
      </c>
      <c r="R58" s="9">
        <v>1</v>
      </c>
      <c r="T58" s="9">
        <v>2</v>
      </c>
      <c r="U58">
        <v>50</v>
      </c>
      <c r="V58">
        <v>1350</v>
      </c>
      <c r="W58">
        <v>0</v>
      </c>
      <c r="X58">
        <v>0</v>
      </c>
      <c r="Z58">
        <v>1</v>
      </c>
      <c r="AA58">
        <v>90</v>
      </c>
      <c r="AB58" s="22">
        <v>50</v>
      </c>
      <c r="AC58" s="22">
        <v>0</v>
      </c>
      <c r="AD58" s="22">
        <v>0</v>
      </c>
    </row>
    <row r="59" spans="1:31" x14ac:dyDescent="0.3">
      <c r="A59" s="9" t="s">
        <v>4482</v>
      </c>
      <c r="B59" s="9" t="s">
        <v>4483</v>
      </c>
      <c r="C59" s="9">
        <v>2</v>
      </c>
      <c r="D59" s="9">
        <v>40</v>
      </c>
      <c r="E59" s="9">
        <f t="shared" si="0"/>
        <v>50</v>
      </c>
      <c r="F59" s="9">
        <v>20</v>
      </c>
      <c r="G59" s="9">
        <v>2</v>
      </c>
      <c r="L59" s="9">
        <v>325</v>
      </c>
      <c r="M59" s="9">
        <v>90</v>
      </c>
      <c r="U59">
        <v>1</v>
      </c>
      <c r="V59">
        <v>1573</v>
      </c>
      <c r="W59">
        <v>1506</v>
      </c>
      <c r="X59">
        <v>0</v>
      </c>
      <c r="Z59">
        <v>2</v>
      </c>
      <c r="AA59">
        <v>90</v>
      </c>
      <c r="AB59" s="22">
        <v>1</v>
      </c>
      <c r="AC59" s="23">
        <v>1506</v>
      </c>
      <c r="AD59" s="22">
        <v>0</v>
      </c>
      <c r="AE59" s="23">
        <v>1573</v>
      </c>
    </row>
    <row r="60" spans="1:31" x14ac:dyDescent="0.3">
      <c r="A60" s="9" t="s">
        <v>4482</v>
      </c>
      <c r="B60" s="9" t="s">
        <v>4483</v>
      </c>
      <c r="C60" s="9">
        <v>2</v>
      </c>
      <c r="D60" s="9">
        <v>40</v>
      </c>
      <c r="E60" s="9">
        <f t="shared" si="0"/>
        <v>50</v>
      </c>
      <c r="F60" s="9">
        <v>20</v>
      </c>
      <c r="G60" s="9">
        <v>2</v>
      </c>
      <c r="L60" s="9">
        <v>325</v>
      </c>
      <c r="M60" s="9">
        <v>90</v>
      </c>
      <c r="U60">
        <v>2</v>
      </c>
      <c r="V60">
        <v>1573</v>
      </c>
      <c r="W60">
        <v>3050</v>
      </c>
      <c r="X60">
        <v>1251</v>
      </c>
      <c r="Z60">
        <v>2</v>
      </c>
      <c r="AA60">
        <v>90</v>
      </c>
      <c r="AB60" s="22">
        <v>2</v>
      </c>
      <c r="AC60" s="23">
        <v>3050</v>
      </c>
      <c r="AD60" s="23">
        <v>1251</v>
      </c>
    </row>
    <row r="61" spans="1:31" x14ac:dyDescent="0.3">
      <c r="A61" s="9" t="s">
        <v>4482</v>
      </c>
      <c r="B61" s="9" t="s">
        <v>4483</v>
      </c>
      <c r="C61" s="9">
        <v>2</v>
      </c>
      <c r="D61" s="9">
        <v>40</v>
      </c>
      <c r="E61" s="9">
        <f t="shared" si="0"/>
        <v>50</v>
      </c>
      <c r="F61" s="9">
        <v>20</v>
      </c>
      <c r="G61" s="9">
        <v>2</v>
      </c>
      <c r="L61" s="9">
        <v>325</v>
      </c>
      <c r="M61" s="9">
        <v>90</v>
      </c>
      <c r="U61">
        <v>3</v>
      </c>
      <c r="V61">
        <v>1573</v>
      </c>
      <c r="W61">
        <v>4628</v>
      </c>
      <c r="X61">
        <v>3189</v>
      </c>
      <c r="Z61">
        <v>2</v>
      </c>
      <c r="AA61">
        <v>90</v>
      </c>
      <c r="AB61" s="22">
        <v>3</v>
      </c>
      <c r="AC61" s="23">
        <v>4628</v>
      </c>
      <c r="AD61" s="23">
        <v>3189</v>
      </c>
    </row>
    <row r="62" spans="1:31" x14ac:dyDescent="0.3">
      <c r="A62" s="9" t="s">
        <v>4482</v>
      </c>
      <c r="B62" s="9" t="s">
        <v>4483</v>
      </c>
      <c r="C62" s="9">
        <v>2</v>
      </c>
      <c r="D62" s="9">
        <v>40</v>
      </c>
      <c r="E62" s="9">
        <f t="shared" si="0"/>
        <v>50</v>
      </c>
      <c r="F62" s="9">
        <v>20</v>
      </c>
      <c r="G62" s="9">
        <v>2</v>
      </c>
      <c r="L62" s="9">
        <v>325</v>
      </c>
      <c r="M62" s="9">
        <v>90</v>
      </c>
      <c r="U62">
        <v>4</v>
      </c>
      <c r="V62">
        <v>1573</v>
      </c>
      <c r="W62">
        <v>6243</v>
      </c>
      <c r="X62">
        <v>5164</v>
      </c>
      <c r="Z62">
        <v>2</v>
      </c>
      <c r="AA62">
        <v>90</v>
      </c>
      <c r="AB62" s="22">
        <v>4</v>
      </c>
      <c r="AC62" s="23">
        <v>6243</v>
      </c>
      <c r="AD62" s="23">
        <v>5164</v>
      </c>
    </row>
    <row r="63" spans="1:31" x14ac:dyDescent="0.3">
      <c r="A63" s="9" t="s">
        <v>4482</v>
      </c>
      <c r="B63" s="9" t="s">
        <v>4483</v>
      </c>
      <c r="C63" s="9">
        <v>2</v>
      </c>
      <c r="D63" s="9">
        <v>40</v>
      </c>
      <c r="E63" s="9">
        <f t="shared" si="0"/>
        <v>50</v>
      </c>
      <c r="F63" s="9">
        <v>20</v>
      </c>
      <c r="G63" s="9">
        <v>2</v>
      </c>
      <c r="L63" s="9">
        <v>325</v>
      </c>
      <c r="M63" s="9">
        <v>90</v>
      </c>
      <c r="U63">
        <v>5</v>
      </c>
      <c r="V63">
        <v>1573</v>
      </c>
      <c r="W63">
        <v>7895</v>
      </c>
      <c r="X63">
        <v>7176</v>
      </c>
      <c r="Z63">
        <v>2</v>
      </c>
      <c r="AA63">
        <v>90</v>
      </c>
      <c r="AB63" s="22">
        <v>5</v>
      </c>
      <c r="AC63" s="23">
        <v>7895</v>
      </c>
      <c r="AD63" s="23">
        <v>7176</v>
      </c>
    </row>
    <row r="64" spans="1:31" x14ac:dyDescent="0.3">
      <c r="A64" s="9" t="s">
        <v>4482</v>
      </c>
      <c r="B64" s="9" t="s">
        <v>4483</v>
      </c>
      <c r="C64" s="9">
        <v>2</v>
      </c>
      <c r="D64" s="9">
        <v>40</v>
      </c>
      <c r="E64" s="9">
        <f t="shared" si="0"/>
        <v>50</v>
      </c>
      <c r="F64" s="9">
        <v>20</v>
      </c>
      <c r="G64" s="9">
        <v>2</v>
      </c>
      <c r="L64" s="9">
        <v>325</v>
      </c>
      <c r="M64" s="9">
        <v>90</v>
      </c>
      <c r="U64">
        <v>6</v>
      </c>
      <c r="V64">
        <v>1573</v>
      </c>
      <c r="W64">
        <v>9586</v>
      </c>
      <c r="X64">
        <v>9226</v>
      </c>
      <c r="Z64">
        <v>2</v>
      </c>
      <c r="AA64">
        <v>90</v>
      </c>
      <c r="AB64" s="22">
        <v>6</v>
      </c>
      <c r="AC64" s="23">
        <v>9586</v>
      </c>
      <c r="AD64" s="23">
        <v>9226</v>
      </c>
    </row>
    <row r="65" spans="1:31" x14ac:dyDescent="0.3">
      <c r="A65" s="9" t="s">
        <v>4482</v>
      </c>
      <c r="B65" s="9" t="s">
        <v>4483</v>
      </c>
      <c r="C65" s="9">
        <v>2</v>
      </c>
      <c r="D65" s="9">
        <v>40</v>
      </c>
      <c r="E65" s="9">
        <f t="shared" si="0"/>
        <v>50</v>
      </c>
      <c r="F65" s="9">
        <v>20</v>
      </c>
      <c r="G65" s="9">
        <v>2</v>
      </c>
      <c r="L65" s="9">
        <v>325</v>
      </c>
      <c r="M65" s="9">
        <v>90</v>
      </c>
      <c r="U65">
        <v>7</v>
      </c>
      <c r="V65">
        <v>1573</v>
      </c>
      <c r="W65">
        <v>11316</v>
      </c>
      <c r="X65">
        <v>11316</v>
      </c>
      <c r="Z65">
        <v>2</v>
      </c>
      <c r="AA65">
        <v>90</v>
      </c>
      <c r="AB65" s="22">
        <v>7</v>
      </c>
      <c r="AC65" s="23">
        <v>11316</v>
      </c>
      <c r="AD65" s="23">
        <v>11316</v>
      </c>
    </row>
    <row r="66" spans="1:31" x14ac:dyDescent="0.3">
      <c r="A66" s="9" t="s">
        <v>4482</v>
      </c>
      <c r="B66" s="9" t="s">
        <v>4483</v>
      </c>
      <c r="C66" s="9">
        <v>2</v>
      </c>
      <c r="D66" s="9">
        <v>40</v>
      </c>
      <c r="E66" s="9">
        <f t="shared" si="0"/>
        <v>50</v>
      </c>
      <c r="F66" s="9">
        <v>20</v>
      </c>
      <c r="G66" s="9">
        <v>2</v>
      </c>
      <c r="L66" s="9">
        <v>325</v>
      </c>
      <c r="M66" s="9">
        <v>90</v>
      </c>
      <c r="U66">
        <v>10</v>
      </c>
      <c r="V66">
        <v>1573</v>
      </c>
      <c r="W66">
        <v>16746</v>
      </c>
      <c r="X66">
        <v>16746</v>
      </c>
      <c r="Z66">
        <v>2</v>
      </c>
      <c r="AA66">
        <v>90</v>
      </c>
      <c r="AB66" s="22">
        <v>10</v>
      </c>
      <c r="AC66" s="23">
        <v>16746</v>
      </c>
      <c r="AD66" s="23">
        <v>16746</v>
      </c>
    </row>
    <row r="67" spans="1:31" x14ac:dyDescent="0.3">
      <c r="A67" s="9" t="s">
        <v>4482</v>
      </c>
      <c r="B67" s="9" t="s">
        <v>4483</v>
      </c>
      <c r="C67" s="9">
        <v>2</v>
      </c>
      <c r="D67" s="9">
        <v>40</v>
      </c>
      <c r="E67" s="9">
        <f t="shared" si="0"/>
        <v>50</v>
      </c>
      <c r="F67" s="9">
        <v>20</v>
      </c>
      <c r="G67" s="9">
        <v>2</v>
      </c>
      <c r="L67" s="9">
        <v>325</v>
      </c>
      <c r="M67" s="9">
        <v>90</v>
      </c>
      <c r="U67">
        <v>20</v>
      </c>
      <c r="V67">
        <v>1573</v>
      </c>
      <c r="W67">
        <v>37641</v>
      </c>
      <c r="X67">
        <v>37641</v>
      </c>
      <c r="Z67">
        <v>2</v>
      </c>
      <c r="AA67">
        <v>90</v>
      </c>
      <c r="AB67" s="22">
        <v>20</v>
      </c>
      <c r="AC67" s="23">
        <v>37641</v>
      </c>
      <c r="AD67" s="23">
        <v>37641</v>
      </c>
    </row>
    <row r="68" spans="1:31" x14ac:dyDescent="0.3">
      <c r="A68" s="9" t="s">
        <v>4482</v>
      </c>
      <c r="B68" s="9" t="s">
        <v>4483</v>
      </c>
      <c r="C68" s="9">
        <v>2</v>
      </c>
      <c r="D68" s="9">
        <v>40</v>
      </c>
      <c r="E68" s="9">
        <f t="shared" ref="E68:E131" si="1">M68-D68</f>
        <v>50</v>
      </c>
      <c r="F68" s="9">
        <v>20</v>
      </c>
      <c r="G68" s="9">
        <v>2</v>
      </c>
      <c r="L68" s="9">
        <v>325</v>
      </c>
      <c r="M68" s="9">
        <v>90</v>
      </c>
      <c r="U68">
        <v>30</v>
      </c>
      <c r="V68">
        <v>1573</v>
      </c>
      <c r="W68">
        <v>43799</v>
      </c>
      <c r="X68">
        <v>43799</v>
      </c>
      <c r="Z68">
        <v>2</v>
      </c>
      <c r="AA68">
        <v>90</v>
      </c>
      <c r="AB68" s="22">
        <v>30</v>
      </c>
      <c r="AC68" s="23">
        <v>43799</v>
      </c>
      <c r="AD68" s="23">
        <v>43799</v>
      </c>
    </row>
    <row r="69" spans="1:31" x14ac:dyDescent="0.3">
      <c r="A69" s="9" t="s">
        <v>4482</v>
      </c>
      <c r="B69" s="9" t="s">
        <v>4483</v>
      </c>
      <c r="C69" s="9">
        <v>2</v>
      </c>
      <c r="D69" s="9">
        <v>40</v>
      </c>
      <c r="E69" s="9">
        <f t="shared" si="1"/>
        <v>50</v>
      </c>
      <c r="F69" s="9">
        <v>20</v>
      </c>
      <c r="G69" s="9">
        <v>2</v>
      </c>
      <c r="L69" s="9">
        <v>325</v>
      </c>
      <c r="M69" s="9">
        <v>90</v>
      </c>
      <c r="U69">
        <v>40</v>
      </c>
      <c r="V69">
        <v>1573</v>
      </c>
      <c r="W69">
        <v>43270</v>
      </c>
      <c r="X69">
        <v>43270</v>
      </c>
      <c r="Z69">
        <v>2</v>
      </c>
      <c r="AA69">
        <v>90</v>
      </c>
      <c r="AB69" s="22">
        <v>40</v>
      </c>
      <c r="AC69" s="23">
        <v>43270</v>
      </c>
      <c r="AD69" s="23">
        <v>43270</v>
      </c>
    </row>
    <row r="70" spans="1:31" x14ac:dyDescent="0.3">
      <c r="A70" s="9" t="s">
        <v>4482</v>
      </c>
      <c r="B70" s="9" t="s">
        <v>4483</v>
      </c>
      <c r="C70" s="9">
        <v>2</v>
      </c>
      <c r="D70" s="9">
        <v>40</v>
      </c>
      <c r="E70" s="9">
        <f t="shared" si="1"/>
        <v>50</v>
      </c>
      <c r="F70" s="9">
        <v>20</v>
      </c>
      <c r="G70" s="9">
        <v>2</v>
      </c>
      <c r="L70" s="9">
        <v>325</v>
      </c>
      <c r="M70" s="9">
        <v>90</v>
      </c>
      <c r="U70">
        <v>50</v>
      </c>
      <c r="V70">
        <v>1573</v>
      </c>
      <c r="W70">
        <v>0</v>
      </c>
      <c r="X70">
        <v>0</v>
      </c>
      <c r="Z70">
        <v>2</v>
      </c>
      <c r="AA70">
        <v>90</v>
      </c>
      <c r="AB70" s="22">
        <v>50</v>
      </c>
      <c r="AC70" s="22">
        <v>0</v>
      </c>
      <c r="AD70" s="22">
        <v>0</v>
      </c>
    </row>
    <row r="71" spans="1:31" x14ac:dyDescent="0.3">
      <c r="A71" s="9" t="s">
        <v>4482</v>
      </c>
      <c r="B71" s="9" t="s">
        <v>4483</v>
      </c>
      <c r="C71" s="9">
        <v>1</v>
      </c>
      <c r="D71" s="9">
        <v>40</v>
      </c>
      <c r="E71" s="9">
        <f t="shared" si="1"/>
        <v>50</v>
      </c>
      <c r="F71" s="9">
        <v>20</v>
      </c>
      <c r="G71" s="9">
        <v>2</v>
      </c>
      <c r="L71" s="9">
        <v>335</v>
      </c>
      <c r="M71" s="9">
        <v>90</v>
      </c>
      <c r="R71" s="9">
        <v>1</v>
      </c>
      <c r="T71" s="9">
        <v>2</v>
      </c>
      <c r="U71">
        <v>1</v>
      </c>
      <c r="V71">
        <v>1250</v>
      </c>
      <c r="W71">
        <v>1307</v>
      </c>
      <c r="X71">
        <v>0</v>
      </c>
      <c r="Z71">
        <v>1</v>
      </c>
      <c r="AA71">
        <v>90</v>
      </c>
      <c r="AB71" s="22">
        <v>1</v>
      </c>
      <c r="AC71" s="23">
        <v>1307</v>
      </c>
      <c r="AD71" s="22">
        <v>0</v>
      </c>
      <c r="AE71" s="23">
        <v>1250</v>
      </c>
    </row>
    <row r="72" spans="1:31" x14ac:dyDescent="0.3">
      <c r="A72" s="9" t="s">
        <v>4482</v>
      </c>
      <c r="B72" s="9" t="s">
        <v>4483</v>
      </c>
      <c r="C72" s="9">
        <v>1</v>
      </c>
      <c r="D72" s="9">
        <v>40</v>
      </c>
      <c r="E72" s="9">
        <f t="shared" si="1"/>
        <v>50</v>
      </c>
      <c r="F72" s="9">
        <v>20</v>
      </c>
      <c r="G72" s="9">
        <v>2</v>
      </c>
      <c r="L72" s="9">
        <v>335</v>
      </c>
      <c r="M72" s="9">
        <v>90</v>
      </c>
      <c r="R72" s="9">
        <v>1</v>
      </c>
      <c r="T72" s="9">
        <v>2</v>
      </c>
      <c r="U72">
        <v>2</v>
      </c>
      <c r="V72">
        <v>1250</v>
      </c>
      <c r="W72">
        <v>2741</v>
      </c>
      <c r="X72">
        <v>0</v>
      </c>
      <c r="Z72">
        <v>1</v>
      </c>
      <c r="AA72">
        <v>90</v>
      </c>
      <c r="AB72" s="22">
        <v>2</v>
      </c>
      <c r="AC72" s="23">
        <v>2741</v>
      </c>
      <c r="AD72" s="22">
        <v>0</v>
      </c>
    </row>
    <row r="73" spans="1:31" x14ac:dyDescent="0.3">
      <c r="A73" s="9" t="s">
        <v>4482</v>
      </c>
      <c r="B73" s="9" t="s">
        <v>4483</v>
      </c>
      <c r="C73" s="9">
        <v>1</v>
      </c>
      <c r="D73" s="9">
        <v>40</v>
      </c>
      <c r="E73" s="9">
        <f t="shared" si="1"/>
        <v>50</v>
      </c>
      <c r="F73" s="9">
        <v>20</v>
      </c>
      <c r="G73" s="9">
        <v>2</v>
      </c>
      <c r="L73" s="9">
        <v>335</v>
      </c>
      <c r="M73" s="9">
        <v>90</v>
      </c>
      <c r="R73" s="9">
        <v>1</v>
      </c>
      <c r="T73" s="9">
        <v>2</v>
      </c>
      <c r="U73">
        <v>3</v>
      </c>
      <c r="V73">
        <v>1250</v>
      </c>
      <c r="W73">
        <v>4236</v>
      </c>
      <c r="X73">
        <v>0</v>
      </c>
      <c r="Z73">
        <v>1</v>
      </c>
      <c r="AA73">
        <v>90</v>
      </c>
      <c r="AB73" s="22">
        <v>3</v>
      </c>
      <c r="AC73" s="23">
        <v>4236</v>
      </c>
      <c r="AD73" s="22">
        <v>0</v>
      </c>
    </row>
    <row r="74" spans="1:31" x14ac:dyDescent="0.3">
      <c r="A74" s="9" t="s">
        <v>4482</v>
      </c>
      <c r="B74" s="9" t="s">
        <v>4483</v>
      </c>
      <c r="C74" s="9">
        <v>1</v>
      </c>
      <c r="D74" s="9">
        <v>40</v>
      </c>
      <c r="E74" s="9">
        <f t="shared" si="1"/>
        <v>50</v>
      </c>
      <c r="F74" s="9">
        <v>20</v>
      </c>
      <c r="G74" s="9">
        <v>2</v>
      </c>
      <c r="L74" s="9">
        <v>335</v>
      </c>
      <c r="M74" s="9">
        <v>90</v>
      </c>
      <c r="R74" s="9">
        <v>1</v>
      </c>
      <c r="T74" s="9">
        <v>2</v>
      </c>
      <c r="U74">
        <v>4</v>
      </c>
      <c r="V74">
        <v>1250</v>
      </c>
      <c r="W74">
        <v>5752</v>
      </c>
      <c r="X74">
        <v>0</v>
      </c>
      <c r="Z74">
        <v>1</v>
      </c>
      <c r="AA74">
        <v>90</v>
      </c>
      <c r="AB74" s="22">
        <v>4</v>
      </c>
      <c r="AC74" s="23">
        <v>5752</v>
      </c>
      <c r="AD74" s="22">
        <v>0</v>
      </c>
    </row>
    <row r="75" spans="1:31" x14ac:dyDescent="0.3">
      <c r="A75" s="9" t="s">
        <v>4482</v>
      </c>
      <c r="B75" s="9" t="s">
        <v>4483</v>
      </c>
      <c r="C75" s="9">
        <v>1</v>
      </c>
      <c r="D75" s="9">
        <v>40</v>
      </c>
      <c r="E75" s="9">
        <f t="shared" si="1"/>
        <v>50</v>
      </c>
      <c r="F75" s="9">
        <v>20</v>
      </c>
      <c r="G75" s="9">
        <v>2</v>
      </c>
      <c r="L75" s="9">
        <v>335</v>
      </c>
      <c r="M75" s="9">
        <v>90</v>
      </c>
      <c r="R75" s="9">
        <v>1</v>
      </c>
      <c r="T75" s="9">
        <v>2</v>
      </c>
      <c r="U75">
        <v>5</v>
      </c>
      <c r="V75">
        <v>1250</v>
      </c>
      <c r="W75">
        <v>7280</v>
      </c>
      <c r="X75">
        <v>0</v>
      </c>
      <c r="Z75">
        <v>1</v>
      </c>
      <c r="AA75">
        <v>90</v>
      </c>
      <c r="AB75" s="22">
        <v>5</v>
      </c>
      <c r="AC75" s="23">
        <v>7280</v>
      </c>
      <c r="AD75" s="22">
        <v>0</v>
      </c>
    </row>
    <row r="76" spans="1:31" x14ac:dyDescent="0.3">
      <c r="A76" s="9" t="s">
        <v>4482</v>
      </c>
      <c r="B76" s="9" t="s">
        <v>4483</v>
      </c>
      <c r="C76" s="9">
        <v>1</v>
      </c>
      <c r="D76" s="9">
        <v>40</v>
      </c>
      <c r="E76" s="9">
        <f t="shared" si="1"/>
        <v>50</v>
      </c>
      <c r="F76" s="9">
        <v>20</v>
      </c>
      <c r="G76" s="9">
        <v>2</v>
      </c>
      <c r="L76" s="9">
        <v>335</v>
      </c>
      <c r="M76" s="9">
        <v>90</v>
      </c>
      <c r="R76" s="9">
        <v>1</v>
      </c>
      <c r="T76" s="9">
        <v>2</v>
      </c>
      <c r="U76">
        <v>6</v>
      </c>
      <c r="V76">
        <v>1250</v>
      </c>
      <c r="W76">
        <v>8815</v>
      </c>
      <c r="X76">
        <v>0</v>
      </c>
      <c r="Z76">
        <v>1</v>
      </c>
      <c r="AA76">
        <v>90</v>
      </c>
      <c r="AB76" s="22">
        <v>6</v>
      </c>
      <c r="AC76" s="23">
        <v>8815</v>
      </c>
      <c r="AD76" s="22">
        <v>0</v>
      </c>
    </row>
    <row r="77" spans="1:31" x14ac:dyDescent="0.3">
      <c r="A77" s="9" t="s">
        <v>4482</v>
      </c>
      <c r="B77" s="9" t="s">
        <v>4483</v>
      </c>
      <c r="C77" s="9">
        <v>1</v>
      </c>
      <c r="D77" s="9">
        <v>40</v>
      </c>
      <c r="E77" s="9">
        <f t="shared" si="1"/>
        <v>50</v>
      </c>
      <c r="F77" s="9">
        <v>20</v>
      </c>
      <c r="G77" s="9">
        <v>2</v>
      </c>
      <c r="L77" s="9">
        <v>335</v>
      </c>
      <c r="M77" s="9">
        <v>90</v>
      </c>
      <c r="R77" s="9">
        <v>1</v>
      </c>
      <c r="T77" s="9">
        <v>2</v>
      </c>
      <c r="U77">
        <v>7</v>
      </c>
      <c r="V77">
        <v>1250</v>
      </c>
      <c r="W77">
        <v>10355</v>
      </c>
      <c r="X77">
        <v>0</v>
      </c>
      <c r="Z77">
        <v>1</v>
      </c>
      <c r="AA77">
        <v>90</v>
      </c>
      <c r="AB77" s="22">
        <v>7</v>
      </c>
      <c r="AC77" s="23">
        <v>10355</v>
      </c>
      <c r="AD77" s="22">
        <v>0</v>
      </c>
    </row>
    <row r="78" spans="1:31" x14ac:dyDescent="0.3">
      <c r="A78" s="9" t="s">
        <v>4482</v>
      </c>
      <c r="B78" s="9" t="s">
        <v>4483</v>
      </c>
      <c r="C78" s="9">
        <v>1</v>
      </c>
      <c r="D78" s="9">
        <v>40</v>
      </c>
      <c r="E78" s="9">
        <f t="shared" si="1"/>
        <v>50</v>
      </c>
      <c r="F78" s="9">
        <v>20</v>
      </c>
      <c r="G78" s="9">
        <v>2</v>
      </c>
      <c r="L78" s="9">
        <v>335</v>
      </c>
      <c r="M78" s="9">
        <v>90</v>
      </c>
      <c r="R78" s="9">
        <v>1</v>
      </c>
      <c r="T78" s="9">
        <v>2</v>
      </c>
      <c r="U78">
        <v>10</v>
      </c>
      <c r="V78">
        <v>1250</v>
      </c>
      <c r="W78">
        <v>15033</v>
      </c>
      <c r="X78">
        <v>0</v>
      </c>
      <c r="Z78">
        <v>1</v>
      </c>
      <c r="AA78">
        <v>90</v>
      </c>
      <c r="AB78" s="22">
        <v>10</v>
      </c>
      <c r="AC78" s="23">
        <v>15033</v>
      </c>
      <c r="AD78" s="22">
        <v>0</v>
      </c>
    </row>
    <row r="79" spans="1:31" x14ac:dyDescent="0.3">
      <c r="A79" s="9" t="s">
        <v>4482</v>
      </c>
      <c r="B79" s="9" t="s">
        <v>4483</v>
      </c>
      <c r="C79" s="9">
        <v>1</v>
      </c>
      <c r="D79" s="9">
        <v>40</v>
      </c>
      <c r="E79" s="9">
        <f t="shared" si="1"/>
        <v>50</v>
      </c>
      <c r="F79" s="9">
        <v>20</v>
      </c>
      <c r="G79" s="9">
        <v>2</v>
      </c>
      <c r="L79" s="9">
        <v>335</v>
      </c>
      <c r="M79" s="9">
        <v>90</v>
      </c>
      <c r="R79" s="9">
        <v>1</v>
      </c>
      <c r="T79" s="9">
        <v>2</v>
      </c>
      <c r="U79">
        <v>20</v>
      </c>
      <c r="V79">
        <v>1250</v>
      </c>
      <c r="W79">
        <v>32212</v>
      </c>
      <c r="X79">
        <v>17406</v>
      </c>
      <c r="Z79">
        <v>1</v>
      </c>
      <c r="AA79">
        <v>90</v>
      </c>
      <c r="AB79" s="22">
        <v>20</v>
      </c>
      <c r="AC79" s="23">
        <v>32212</v>
      </c>
      <c r="AD79" s="23">
        <v>17406</v>
      </c>
    </row>
    <row r="80" spans="1:31" x14ac:dyDescent="0.3">
      <c r="A80" s="9" t="s">
        <v>4482</v>
      </c>
      <c r="B80" s="9" t="s">
        <v>4483</v>
      </c>
      <c r="C80" s="9">
        <v>1</v>
      </c>
      <c r="D80" s="9">
        <v>40</v>
      </c>
      <c r="E80" s="9">
        <f t="shared" si="1"/>
        <v>50</v>
      </c>
      <c r="F80" s="9">
        <v>20</v>
      </c>
      <c r="G80" s="9">
        <v>2</v>
      </c>
      <c r="L80" s="9">
        <v>335</v>
      </c>
      <c r="M80" s="9">
        <v>90</v>
      </c>
      <c r="R80" s="9">
        <v>1</v>
      </c>
      <c r="T80" s="9">
        <v>2</v>
      </c>
      <c r="U80">
        <v>30</v>
      </c>
      <c r="V80">
        <v>1250</v>
      </c>
      <c r="W80">
        <v>38479</v>
      </c>
      <c r="X80">
        <v>20138</v>
      </c>
      <c r="Z80">
        <v>1</v>
      </c>
      <c r="AA80">
        <v>90</v>
      </c>
      <c r="AB80" s="22">
        <v>30</v>
      </c>
      <c r="AC80" s="23">
        <v>38479</v>
      </c>
      <c r="AD80" s="23">
        <v>20138</v>
      </c>
    </row>
    <row r="81" spans="1:31" x14ac:dyDescent="0.3">
      <c r="A81" s="9" t="s">
        <v>4482</v>
      </c>
      <c r="B81" s="9" t="s">
        <v>4483</v>
      </c>
      <c r="C81" s="9">
        <v>1</v>
      </c>
      <c r="D81" s="9">
        <v>40</v>
      </c>
      <c r="E81" s="9">
        <f t="shared" si="1"/>
        <v>50</v>
      </c>
      <c r="F81" s="9">
        <v>20</v>
      </c>
      <c r="G81" s="9">
        <v>2</v>
      </c>
      <c r="L81" s="9">
        <v>335</v>
      </c>
      <c r="M81" s="9">
        <v>90</v>
      </c>
      <c r="R81" s="9">
        <v>1</v>
      </c>
      <c r="T81" s="9">
        <v>2</v>
      </c>
      <c r="U81">
        <v>40</v>
      </c>
      <c r="V81">
        <v>1250</v>
      </c>
      <c r="W81">
        <v>38785</v>
      </c>
      <c r="X81">
        <v>19802</v>
      </c>
      <c r="Z81">
        <v>1</v>
      </c>
      <c r="AA81">
        <v>90</v>
      </c>
      <c r="AB81" s="22">
        <v>40</v>
      </c>
      <c r="AC81" s="23">
        <v>38785</v>
      </c>
      <c r="AD81" s="23">
        <v>19802</v>
      </c>
    </row>
    <row r="82" spans="1:31" x14ac:dyDescent="0.3">
      <c r="A82" s="9" t="s">
        <v>4482</v>
      </c>
      <c r="B82" s="9" t="s">
        <v>4483</v>
      </c>
      <c r="C82" s="9">
        <v>1</v>
      </c>
      <c r="D82" s="9">
        <v>40</v>
      </c>
      <c r="E82" s="9">
        <f t="shared" si="1"/>
        <v>50</v>
      </c>
      <c r="F82" s="9">
        <v>20</v>
      </c>
      <c r="G82" s="9">
        <v>2</v>
      </c>
      <c r="L82" s="9">
        <v>335</v>
      </c>
      <c r="M82" s="9">
        <v>90</v>
      </c>
      <c r="R82" s="9">
        <v>1</v>
      </c>
      <c r="T82" s="9">
        <v>2</v>
      </c>
      <c r="U82">
        <v>50</v>
      </c>
      <c r="V82">
        <v>1250</v>
      </c>
      <c r="W82">
        <v>0</v>
      </c>
      <c r="X82">
        <v>0</v>
      </c>
      <c r="Z82">
        <v>1</v>
      </c>
      <c r="AA82">
        <v>90</v>
      </c>
      <c r="AB82" s="22">
        <v>50</v>
      </c>
      <c r="AC82" s="22">
        <v>0</v>
      </c>
      <c r="AD82" s="22">
        <v>0</v>
      </c>
    </row>
    <row r="83" spans="1:31" x14ac:dyDescent="0.3">
      <c r="A83" s="9" t="s">
        <v>4482</v>
      </c>
      <c r="B83" s="9" t="s">
        <v>4483</v>
      </c>
      <c r="C83" s="9">
        <v>2</v>
      </c>
      <c r="D83" s="9">
        <v>40</v>
      </c>
      <c r="E83" s="9">
        <f t="shared" si="1"/>
        <v>50</v>
      </c>
      <c r="F83" s="9">
        <v>20</v>
      </c>
      <c r="G83" s="9">
        <v>2</v>
      </c>
      <c r="L83" s="9">
        <v>335</v>
      </c>
      <c r="M83" s="9">
        <v>90</v>
      </c>
      <c r="U83">
        <v>1</v>
      </c>
      <c r="V83">
        <v>1457</v>
      </c>
      <c r="W83">
        <v>1395</v>
      </c>
      <c r="X83">
        <v>0</v>
      </c>
      <c r="Z83">
        <v>2</v>
      </c>
      <c r="AA83">
        <v>90</v>
      </c>
      <c r="AB83" s="22">
        <v>1</v>
      </c>
      <c r="AC83" s="23">
        <v>1395</v>
      </c>
      <c r="AD83" s="22">
        <v>0</v>
      </c>
      <c r="AE83" s="23">
        <v>1457</v>
      </c>
    </row>
    <row r="84" spans="1:31" x14ac:dyDescent="0.3">
      <c r="A84" s="9" t="s">
        <v>4482</v>
      </c>
      <c r="B84" s="9" t="s">
        <v>4483</v>
      </c>
      <c r="C84" s="9">
        <v>2</v>
      </c>
      <c r="D84" s="9">
        <v>40</v>
      </c>
      <c r="E84" s="9">
        <f t="shared" si="1"/>
        <v>50</v>
      </c>
      <c r="F84" s="9">
        <v>20</v>
      </c>
      <c r="G84" s="9">
        <v>2</v>
      </c>
      <c r="L84" s="9">
        <v>335</v>
      </c>
      <c r="M84" s="9">
        <v>90</v>
      </c>
      <c r="U84">
        <v>2</v>
      </c>
      <c r="V84">
        <v>1457</v>
      </c>
      <c r="W84">
        <v>2823</v>
      </c>
      <c r="X84">
        <v>1108</v>
      </c>
      <c r="Z84">
        <v>2</v>
      </c>
      <c r="AA84">
        <v>90</v>
      </c>
      <c r="AB84" s="22">
        <v>2</v>
      </c>
      <c r="AC84" s="23">
        <v>2823</v>
      </c>
      <c r="AD84" s="23">
        <v>1108</v>
      </c>
    </row>
    <row r="85" spans="1:31" x14ac:dyDescent="0.3">
      <c r="A85" s="9" t="s">
        <v>4482</v>
      </c>
      <c r="B85" s="9" t="s">
        <v>4483</v>
      </c>
      <c r="C85" s="9">
        <v>2</v>
      </c>
      <c r="D85" s="9">
        <v>40</v>
      </c>
      <c r="E85" s="9">
        <f t="shared" si="1"/>
        <v>50</v>
      </c>
      <c r="F85" s="9">
        <v>20</v>
      </c>
      <c r="G85" s="9">
        <v>2</v>
      </c>
      <c r="L85" s="9">
        <v>335</v>
      </c>
      <c r="M85" s="9">
        <v>90</v>
      </c>
      <c r="U85">
        <v>3</v>
      </c>
      <c r="V85">
        <v>1457</v>
      </c>
      <c r="W85">
        <v>4283</v>
      </c>
      <c r="X85">
        <v>2911</v>
      </c>
      <c r="Z85">
        <v>2</v>
      </c>
      <c r="AA85">
        <v>90</v>
      </c>
      <c r="AB85" s="22">
        <v>3</v>
      </c>
      <c r="AC85" s="23">
        <v>4283</v>
      </c>
      <c r="AD85" s="23">
        <v>2911</v>
      </c>
    </row>
    <row r="86" spans="1:31" x14ac:dyDescent="0.3">
      <c r="A86" s="9" t="s">
        <v>4482</v>
      </c>
      <c r="B86" s="9" t="s">
        <v>4483</v>
      </c>
      <c r="C86" s="9">
        <v>2</v>
      </c>
      <c r="D86" s="9">
        <v>40</v>
      </c>
      <c r="E86" s="9">
        <f t="shared" si="1"/>
        <v>50</v>
      </c>
      <c r="F86" s="9">
        <v>20</v>
      </c>
      <c r="G86" s="9">
        <v>2</v>
      </c>
      <c r="L86" s="9">
        <v>335</v>
      </c>
      <c r="M86" s="9">
        <v>90</v>
      </c>
      <c r="U86">
        <v>4</v>
      </c>
      <c r="V86">
        <v>1457</v>
      </c>
      <c r="W86">
        <v>5777</v>
      </c>
      <c r="X86">
        <v>4748</v>
      </c>
      <c r="Z86">
        <v>2</v>
      </c>
      <c r="AA86">
        <v>90</v>
      </c>
      <c r="AB86" s="22">
        <v>4</v>
      </c>
      <c r="AC86" s="23">
        <v>5777</v>
      </c>
      <c r="AD86" s="23">
        <v>4748</v>
      </c>
    </row>
    <row r="87" spans="1:31" x14ac:dyDescent="0.3">
      <c r="A87" s="9" t="s">
        <v>4482</v>
      </c>
      <c r="B87" s="9" t="s">
        <v>4483</v>
      </c>
      <c r="C87" s="9">
        <v>2</v>
      </c>
      <c r="D87" s="9">
        <v>40</v>
      </c>
      <c r="E87" s="9">
        <f t="shared" si="1"/>
        <v>50</v>
      </c>
      <c r="F87" s="9">
        <v>20</v>
      </c>
      <c r="G87" s="9">
        <v>2</v>
      </c>
      <c r="L87" s="9">
        <v>335</v>
      </c>
      <c r="M87" s="9">
        <v>90</v>
      </c>
      <c r="U87">
        <v>5</v>
      </c>
      <c r="V87">
        <v>1457</v>
      </c>
      <c r="W87">
        <v>7305</v>
      </c>
      <c r="X87">
        <v>6619</v>
      </c>
      <c r="Z87">
        <v>2</v>
      </c>
      <c r="AA87">
        <v>90</v>
      </c>
      <c r="AB87" s="22">
        <v>5</v>
      </c>
      <c r="AC87" s="23">
        <v>7305</v>
      </c>
      <c r="AD87" s="23">
        <v>6619</v>
      </c>
    </row>
    <row r="88" spans="1:31" x14ac:dyDescent="0.3">
      <c r="A88" s="9" t="s">
        <v>4482</v>
      </c>
      <c r="B88" s="9" t="s">
        <v>4483</v>
      </c>
      <c r="C88" s="9">
        <v>2</v>
      </c>
      <c r="D88" s="9">
        <v>40</v>
      </c>
      <c r="E88" s="9">
        <f t="shared" si="1"/>
        <v>50</v>
      </c>
      <c r="F88" s="9">
        <v>20</v>
      </c>
      <c r="G88" s="9">
        <v>2</v>
      </c>
      <c r="L88" s="9">
        <v>335</v>
      </c>
      <c r="M88" s="9">
        <v>90</v>
      </c>
      <c r="U88">
        <v>6</v>
      </c>
      <c r="V88">
        <v>1457</v>
      </c>
      <c r="W88">
        <v>8869</v>
      </c>
      <c r="X88">
        <v>8526</v>
      </c>
      <c r="Z88">
        <v>2</v>
      </c>
      <c r="AA88">
        <v>90</v>
      </c>
      <c r="AB88" s="22">
        <v>6</v>
      </c>
      <c r="AC88" s="23">
        <v>8869</v>
      </c>
      <c r="AD88" s="23">
        <v>8526</v>
      </c>
    </row>
    <row r="89" spans="1:31" x14ac:dyDescent="0.3">
      <c r="A89" s="9" t="s">
        <v>4482</v>
      </c>
      <c r="B89" s="9" t="s">
        <v>4483</v>
      </c>
      <c r="C89" s="9">
        <v>2</v>
      </c>
      <c r="D89" s="9">
        <v>40</v>
      </c>
      <c r="E89" s="9">
        <f t="shared" si="1"/>
        <v>50</v>
      </c>
      <c r="F89" s="9">
        <v>20</v>
      </c>
      <c r="G89" s="9">
        <v>2</v>
      </c>
      <c r="L89" s="9">
        <v>335</v>
      </c>
      <c r="M89" s="9">
        <v>90</v>
      </c>
      <c r="U89">
        <v>7</v>
      </c>
      <c r="V89">
        <v>1457</v>
      </c>
      <c r="W89">
        <v>10470</v>
      </c>
      <c r="X89">
        <v>10470</v>
      </c>
      <c r="Z89">
        <v>2</v>
      </c>
      <c r="AA89">
        <v>90</v>
      </c>
      <c r="AB89" s="22">
        <v>7</v>
      </c>
      <c r="AC89" s="23">
        <v>10470</v>
      </c>
      <c r="AD89" s="23">
        <v>10470</v>
      </c>
    </row>
    <row r="90" spans="1:31" x14ac:dyDescent="0.3">
      <c r="A90" s="9" t="s">
        <v>4482</v>
      </c>
      <c r="B90" s="9" t="s">
        <v>4483</v>
      </c>
      <c r="C90" s="9">
        <v>2</v>
      </c>
      <c r="D90" s="9">
        <v>40</v>
      </c>
      <c r="E90" s="9">
        <f t="shared" si="1"/>
        <v>50</v>
      </c>
      <c r="F90" s="9">
        <v>20</v>
      </c>
      <c r="G90" s="9">
        <v>2</v>
      </c>
      <c r="L90" s="9">
        <v>335</v>
      </c>
      <c r="M90" s="9">
        <v>90</v>
      </c>
      <c r="U90">
        <v>10</v>
      </c>
      <c r="V90">
        <v>1457</v>
      </c>
      <c r="W90">
        <v>15493</v>
      </c>
      <c r="X90">
        <v>15493</v>
      </c>
      <c r="Z90">
        <v>2</v>
      </c>
      <c r="AA90">
        <v>90</v>
      </c>
      <c r="AB90" s="22">
        <v>10</v>
      </c>
      <c r="AC90" s="23">
        <v>15493</v>
      </c>
      <c r="AD90" s="23">
        <v>15493</v>
      </c>
    </row>
    <row r="91" spans="1:31" x14ac:dyDescent="0.3">
      <c r="A91" s="9" t="s">
        <v>4482</v>
      </c>
      <c r="B91" s="9" t="s">
        <v>4483</v>
      </c>
      <c r="C91" s="9">
        <v>2</v>
      </c>
      <c r="D91" s="9">
        <v>40</v>
      </c>
      <c r="E91" s="9">
        <f t="shared" si="1"/>
        <v>50</v>
      </c>
      <c r="F91" s="9">
        <v>20</v>
      </c>
      <c r="G91" s="9">
        <v>2</v>
      </c>
      <c r="L91" s="9">
        <v>335</v>
      </c>
      <c r="M91" s="9">
        <v>90</v>
      </c>
      <c r="U91">
        <v>20</v>
      </c>
      <c r="V91">
        <v>1457</v>
      </c>
      <c r="W91">
        <v>34812</v>
      </c>
      <c r="X91">
        <v>34812</v>
      </c>
      <c r="Z91">
        <v>2</v>
      </c>
      <c r="AA91">
        <v>90</v>
      </c>
      <c r="AB91" s="22">
        <v>20</v>
      </c>
      <c r="AC91" s="23">
        <v>34812</v>
      </c>
      <c r="AD91" s="23">
        <v>34812</v>
      </c>
    </row>
    <row r="92" spans="1:31" x14ac:dyDescent="0.3">
      <c r="A92" s="9" t="s">
        <v>4482</v>
      </c>
      <c r="B92" s="9" t="s">
        <v>4483</v>
      </c>
      <c r="C92" s="9">
        <v>2</v>
      </c>
      <c r="D92" s="9">
        <v>40</v>
      </c>
      <c r="E92" s="9">
        <f t="shared" si="1"/>
        <v>50</v>
      </c>
      <c r="F92" s="9">
        <v>20</v>
      </c>
      <c r="G92" s="9">
        <v>2</v>
      </c>
      <c r="L92" s="9">
        <v>335</v>
      </c>
      <c r="M92" s="9">
        <v>90</v>
      </c>
      <c r="U92">
        <v>30</v>
      </c>
      <c r="V92">
        <v>1457</v>
      </c>
      <c r="W92">
        <v>40275</v>
      </c>
      <c r="X92">
        <v>40275</v>
      </c>
      <c r="Z92">
        <v>2</v>
      </c>
      <c r="AA92">
        <v>90</v>
      </c>
      <c r="AB92" s="22">
        <v>30</v>
      </c>
      <c r="AC92" s="23">
        <v>40275</v>
      </c>
      <c r="AD92" s="23">
        <v>40275</v>
      </c>
    </row>
    <row r="93" spans="1:31" x14ac:dyDescent="0.3">
      <c r="A93" s="9" t="s">
        <v>4482</v>
      </c>
      <c r="B93" s="9" t="s">
        <v>4483</v>
      </c>
      <c r="C93" s="9">
        <v>2</v>
      </c>
      <c r="D93" s="9">
        <v>40</v>
      </c>
      <c r="E93" s="9">
        <f t="shared" si="1"/>
        <v>50</v>
      </c>
      <c r="F93" s="9">
        <v>20</v>
      </c>
      <c r="G93" s="9">
        <v>2</v>
      </c>
      <c r="L93" s="9">
        <v>335</v>
      </c>
      <c r="M93" s="9">
        <v>90</v>
      </c>
      <c r="U93">
        <v>40</v>
      </c>
      <c r="V93">
        <v>1457</v>
      </c>
      <c r="W93">
        <v>39604</v>
      </c>
      <c r="X93">
        <v>39604</v>
      </c>
      <c r="Z93">
        <v>2</v>
      </c>
      <c r="AA93">
        <v>90</v>
      </c>
      <c r="AB93" s="22">
        <v>40</v>
      </c>
      <c r="AC93" s="23">
        <v>39604</v>
      </c>
      <c r="AD93" s="23">
        <v>39604</v>
      </c>
    </row>
    <row r="94" spans="1:31" x14ac:dyDescent="0.3">
      <c r="A94" s="9" t="s">
        <v>4482</v>
      </c>
      <c r="B94" s="9" t="s">
        <v>4483</v>
      </c>
      <c r="C94" s="9">
        <v>2</v>
      </c>
      <c r="D94" s="9">
        <v>40</v>
      </c>
      <c r="E94" s="9">
        <f t="shared" si="1"/>
        <v>50</v>
      </c>
      <c r="F94" s="9">
        <v>20</v>
      </c>
      <c r="G94" s="9">
        <v>2</v>
      </c>
      <c r="L94" s="9">
        <v>335</v>
      </c>
      <c r="M94" s="9">
        <v>90</v>
      </c>
      <c r="U94">
        <v>50</v>
      </c>
      <c r="V94">
        <v>1457</v>
      </c>
      <c r="W94">
        <v>0</v>
      </c>
      <c r="X94">
        <v>0</v>
      </c>
      <c r="Z94">
        <v>2</v>
      </c>
      <c r="AA94">
        <v>90</v>
      </c>
      <c r="AB94" s="22">
        <v>50</v>
      </c>
      <c r="AC94" s="22">
        <v>0</v>
      </c>
      <c r="AD94" s="22">
        <v>0</v>
      </c>
    </row>
    <row r="95" spans="1:31" x14ac:dyDescent="0.3">
      <c r="A95" s="9" t="s">
        <v>4482</v>
      </c>
      <c r="B95" s="9" t="s">
        <v>4483</v>
      </c>
      <c r="C95" s="9">
        <v>1</v>
      </c>
      <c r="D95" s="9">
        <v>40</v>
      </c>
      <c r="E95" s="9">
        <f t="shared" si="1"/>
        <v>73</v>
      </c>
      <c r="F95" s="9">
        <v>20</v>
      </c>
      <c r="G95" s="9">
        <v>2</v>
      </c>
      <c r="L95" s="9">
        <v>345</v>
      </c>
      <c r="M95" s="9">
        <v>113</v>
      </c>
      <c r="R95" s="9">
        <v>1</v>
      </c>
      <c r="T95" s="9">
        <v>2</v>
      </c>
      <c r="U95">
        <v>1</v>
      </c>
      <c r="V95">
        <v>1773</v>
      </c>
      <c r="W95">
        <v>1908</v>
      </c>
      <c r="X95">
        <v>0</v>
      </c>
      <c r="Z95">
        <v>1</v>
      </c>
      <c r="AA95">
        <v>113</v>
      </c>
      <c r="AB95" s="22">
        <v>1</v>
      </c>
      <c r="AC95" s="23">
        <v>1908</v>
      </c>
      <c r="AD95" s="22">
        <v>0</v>
      </c>
      <c r="AE95" s="23">
        <v>1773</v>
      </c>
    </row>
    <row r="96" spans="1:31" x14ac:dyDescent="0.3">
      <c r="A96" s="9" t="s">
        <v>4482</v>
      </c>
      <c r="B96" s="9" t="s">
        <v>4483</v>
      </c>
      <c r="C96" s="9">
        <v>1</v>
      </c>
      <c r="D96" s="9">
        <v>40</v>
      </c>
      <c r="E96" s="9">
        <f t="shared" si="1"/>
        <v>73</v>
      </c>
      <c r="F96" s="9">
        <v>20</v>
      </c>
      <c r="G96" s="9">
        <v>2</v>
      </c>
      <c r="L96" s="9">
        <v>345</v>
      </c>
      <c r="M96" s="9">
        <v>113</v>
      </c>
      <c r="R96" s="9">
        <v>1</v>
      </c>
      <c r="T96" s="9">
        <v>2</v>
      </c>
      <c r="U96">
        <v>2</v>
      </c>
      <c r="V96">
        <v>1773</v>
      </c>
      <c r="W96">
        <v>4003</v>
      </c>
      <c r="X96">
        <v>0</v>
      </c>
      <c r="Z96">
        <v>1</v>
      </c>
      <c r="AA96">
        <v>113</v>
      </c>
      <c r="AB96" s="22">
        <v>2</v>
      </c>
      <c r="AC96" s="23">
        <v>4003</v>
      </c>
      <c r="AD96" s="22">
        <v>0</v>
      </c>
    </row>
    <row r="97" spans="1:31" x14ac:dyDescent="0.3">
      <c r="A97" s="9" t="s">
        <v>4482</v>
      </c>
      <c r="B97" s="9" t="s">
        <v>4483</v>
      </c>
      <c r="C97" s="9">
        <v>1</v>
      </c>
      <c r="D97" s="9">
        <v>40</v>
      </c>
      <c r="E97" s="9">
        <f t="shared" si="1"/>
        <v>73</v>
      </c>
      <c r="F97" s="9">
        <v>20</v>
      </c>
      <c r="G97" s="9">
        <v>2</v>
      </c>
      <c r="L97" s="9">
        <v>345</v>
      </c>
      <c r="M97" s="9">
        <v>113</v>
      </c>
      <c r="R97" s="9">
        <v>1</v>
      </c>
      <c r="T97" s="9">
        <v>2</v>
      </c>
      <c r="U97">
        <v>3</v>
      </c>
      <c r="V97">
        <v>1773</v>
      </c>
      <c r="W97">
        <v>6191</v>
      </c>
      <c r="X97">
        <v>0</v>
      </c>
      <c r="Z97">
        <v>1</v>
      </c>
      <c r="AA97">
        <v>113</v>
      </c>
      <c r="AB97" s="22">
        <v>3</v>
      </c>
      <c r="AC97" s="23">
        <v>6191</v>
      </c>
      <c r="AD97" s="22">
        <v>0</v>
      </c>
    </row>
    <row r="98" spans="1:31" x14ac:dyDescent="0.3">
      <c r="A98" s="9" t="s">
        <v>4482</v>
      </c>
      <c r="B98" s="9" t="s">
        <v>4483</v>
      </c>
      <c r="C98" s="9">
        <v>1</v>
      </c>
      <c r="D98" s="9">
        <v>40</v>
      </c>
      <c r="E98" s="9">
        <f t="shared" si="1"/>
        <v>73</v>
      </c>
      <c r="F98" s="9">
        <v>20</v>
      </c>
      <c r="G98" s="9">
        <v>2</v>
      </c>
      <c r="L98" s="9">
        <v>345</v>
      </c>
      <c r="M98" s="9">
        <v>113</v>
      </c>
      <c r="R98" s="9">
        <v>1</v>
      </c>
      <c r="T98" s="9">
        <v>2</v>
      </c>
      <c r="U98">
        <v>4</v>
      </c>
      <c r="V98">
        <v>1773</v>
      </c>
      <c r="W98">
        <v>8413</v>
      </c>
      <c r="X98">
        <v>0</v>
      </c>
      <c r="Z98">
        <v>1</v>
      </c>
      <c r="AA98">
        <v>113</v>
      </c>
      <c r="AB98" s="22">
        <v>4</v>
      </c>
      <c r="AC98" s="23">
        <v>8413</v>
      </c>
      <c r="AD98" s="22">
        <v>0</v>
      </c>
    </row>
    <row r="99" spans="1:31" x14ac:dyDescent="0.3">
      <c r="A99" s="9" t="s">
        <v>4482</v>
      </c>
      <c r="B99" s="9" t="s">
        <v>4483</v>
      </c>
      <c r="C99" s="9">
        <v>1</v>
      </c>
      <c r="D99" s="9">
        <v>40</v>
      </c>
      <c r="E99" s="9">
        <f t="shared" si="1"/>
        <v>73</v>
      </c>
      <c r="F99" s="9">
        <v>20</v>
      </c>
      <c r="G99" s="9">
        <v>2</v>
      </c>
      <c r="L99" s="9">
        <v>345</v>
      </c>
      <c r="M99" s="9">
        <v>113</v>
      </c>
      <c r="R99" s="9">
        <v>1</v>
      </c>
      <c r="T99" s="9">
        <v>2</v>
      </c>
      <c r="U99">
        <v>5</v>
      </c>
      <c r="V99">
        <v>1773</v>
      </c>
      <c r="W99">
        <v>10654</v>
      </c>
      <c r="X99">
        <v>0</v>
      </c>
      <c r="Z99">
        <v>1</v>
      </c>
      <c r="AA99">
        <v>113</v>
      </c>
      <c r="AB99" s="22">
        <v>5</v>
      </c>
      <c r="AC99" s="23">
        <v>10654</v>
      </c>
      <c r="AD99" s="22">
        <v>0</v>
      </c>
    </row>
    <row r="100" spans="1:31" x14ac:dyDescent="0.3">
      <c r="A100" s="9" t="s">
        <v>4482</v>
      </c>
      <c r="B100" s="9" t="s">
        <v>4483</v>
      </c>
      <c r="C100" s="9">
        <v>1</v>
      </c>
      <c r="D100" s="9">
        <v>40</v>
      </c>
      <c r="E100" s="9">
        <f t="shared" si="1"/>
        <v>73</v>
      </c>
      <c r="F100" s="9">
        <v>20</v>
      </c>
      <c r="G100" s="9">
        <v>2</v>
      </c>
      <c r="L100" s="9">
        <v>345</v>
      </c>
      <c r="M100" s="9">
        <v>113</v>
      </c>
      <c r="R100" s="9">
        <v>1</v>
      </c>
      <c r="T100" s="9">
        <v>2</v>
      </c>
      <c r="U100">
        <v>6</v>
      </c>
      <c r="V100">
        <v>1773</v>
      </c>
      <c r="W100">
        <v>12907</v>
      </c>
      <c r="X100">
        <v>0</v>
      </c>
      <c r="Z100">
        <v>1</v>
      </c>
      <c r="AA100">
        <v>113</v>
      </c>
      <c r="AB100" s="22">
        <v>6</v>
      </c>
      <c r="AC100" s="23">
        <v>12907</v>
      </c>
      <c r="AD100" s="22">
        <v>0</v>
      </c>
    </row>
    <row r="101" spans="1:31" x14ac:dyDescent="0.3">
      <c r="A101" s="9" t="s">
        <v>4482</v>
      </c>
      <c r="B101" s="9" t="s">
        <v>4483</v>
      </c>
      <c r="C101" s="9">
        <v>1</v>
      </c>
      <c r="D101" s="9">
        <v>40</v>
      </c>
      <c r="E101" s="9">
        <f t="shared" si="1"/>
        <v>73</v>
      </c>
      <c r="F101" s="9">
        <v>20</v>
      </c>
      <c r="G101" s="9">
        <v>2</v>
      </c>
      <c r="L101" s="9">
        <v>345</v>
      </c>
      <c r="M101" s="9">
        <v>113</v>
      </c>
      <c r="R101" s="9">
        <v>1</v>
      </c>
      <c r="T101" s="9">
        <v>2</v>
      </c>
      <c r="U101">
        <v>7</v>
      </c>
      <c r="V101">
        <v>1773</v>
      </c>
      <c r="W101">
        <v>15170</v>
      </c>
      <c r="X101">
        <v>0</v>
      </c>
      <c r="Z101">
        <v>1</v>
      </c>
      <c r="AA101">
        <v>113</v>
      </c>
      <c r="AB101" s="22">
        <v>7</v>
      </c>
      <c r="AC101" s="23">
        <v>15170</v>
      </c>
      <c r="AD101" s="22">
        <v>0</v>
      </c>
    </row>
    <row r="102" spans="1:31" x14ac:dyDescent="0.3">
      <c r="A102" s="9" t="s">
        <v>4482</v>
      </c>
      <c r="B102" s="9" t="s">
        <v>4483</v>
      </c>
      <c r="C102" s="9">
        <v>1</v>
      </c>
      <c r="D102" s="9">
        <v>40</v>
      </c>
      <c r="E102" s="9">
        <f t="shared" si="1"/>
        <v>73</v>
      </c>
      <c r="F102" s="9">
        <v>20</v>
      </c>
      <c r="G102" s="9">
        <v>2</v>
      </c>
      <c r="L102" s="9">
        <v>345</v>
      </c>
      <c r="M102" s="9">
        <v>113</v>
      </c>
      <c r="R102" s="9">
        <v>1</v>
      </c>
      <c r="T102" s="9">
        <v>2</v>
      </c>
      <c r="U102">
        <v>10</v>
      </c>
      <c r="V102">
        <v>1773</v>
      </c>
      <c r="W102">
        <v>22062</v>
      </c>
      <c r="X102">
        <v>0</v>
      </c>
      <c r="Z102">
        <v>1</v>
      </c>
      <c r="AA102">
        <v>113</v>
      </c>
      <c r="AB102" s="22">
        <v>10</v>
      </c>
      <c r="AC102" s="23">
        <v>22062</v>
      </c>
      <c r="AD102" s="22">
        <v>0</v>
      </c>
    </row>
    <row r="103" spans="1:31" x14ac:dyDescent="0.3">
      <c r="A103" s="9" t="s">
        <v>4482</v>
      </c>
      <c r="B103" s="9" t="s">
        <v>4483</v>
      </c>
      <c r="C103" s="9">
        <v>1</v>
      </c>
      <c r="D103" s="9">
        <v>40</v>
      </c>
      <c r="E103" s="9">
        <f t="shared" si="1"/>
        <v>73</v>
      </c>
      <c r="F103" s="9">
        <v>20</v>
      </c>
      <c r="G103" s="9">
        <v>2</v>
      </c>
      <c r="L103" s="9">
        <v>345</v>
      </c>
      <c r="M103" s="9">
        <v>113</v>
      </c>
      <c r="R103" s="9">
        <v>1</v>
      </c>
      <c r="T103" s="9">
        <v>2</v>
      </c>
      <c r="U103">
        <v>20</v>
      </c>
      <c r="V103">
        <v>1773</v>
      </c>
      <c r="W103">
        <v>47772</v>
      </c>
      <c r="X103">
        <v>26376</v>
      </c>
      <c r="Z103">
        <v>1</v>
      </c>
      <c r="AA103">
        <v>113</v>
      </c>
      <c r="AB103" s="22">
        <v>20</v>
      </c>
      <c r="AC103" s="23">
        <v>47772</v>
      </c>
      <c r="AD103" s="23">
        <v>26376</v>
      </c>
    </row>
    <row r="104" spans="1:31" x14ac:dyDescent="0.3">
      <c r="A104" s="9" t="s">
        <v>4482</v>
      </c>
      <c r="B104" s="9" t="s">
        <v>4483</v>
      </c>
      <c r="C104" s="9">
        <v>1</v>
      </c>
      <c r="D104" s="9">
        <v>40</v>
      </c>
      <c r="E104" s="9">
        <f t="shared" si="1"/>
        <v>73</v>
      </c>
      <c r="F104" s="9">
        <v>20</v>
      </c>
      <c r="G104" s="9">
        <v>2</v>
      </c>
      <c r="L104" s="9">
        <v>345</v>
      </c>
      <c r="M104" s="9">
        <v>113</v>
      </c>
      <c r="R104" s="9">
        <v>1</v>
      </c>
      <c r="T104" s="9">
        <v>2</v>
      </c>
      <c r="U104">
        <v>30</v>
      </c>
      <c r="V104">
        <v>1773</v>
      </c>
      <c r="W104">
        <v>60380</v>
      </c>
      <c r="X104">
        <v>32272</v>
      </c>
      <c r="Z104">
        <v>1</v>
      </c>
      <c r="AA104">
        <v>113</v>
      </c>
      <c r="AB104" s="22">
        <v>30</v>
      </c>
      <c r="AC104" s="23">
        <v>60380</v>
      </c>
      <c r="AD104" s="23">
        <v>32272</v>
      </c>
    </row>
    <row r="105" spans="1:31" x14ac:dyDescent="0.3">
      <c r="A105" s="9" t="s">
        <v>4482</v>
      </c>
      <c r="B105" s="9" t="s">
        <v>4483</v>
      </c>
      <c r="C105" s="9">
        <v>1</v>
      </c>
      <c r="D105" s="9">
        <v>40</v>
      </c>
      <c r="E105" s="9">
        <f t="shared" si="1"/>
        <v>73</v>
      </c>
      <c r="F105" s="9">
        <v>20</v>
      </c>
      <c r="G105" s="9">
        <v>2</v>
      </c>
      <c r="L105" s="9">
        <v>345</v>
      </c>
      <c r="M105" s="9">
        <v>113</v>
      </c>
      <c r="R105" s="9">
        <v>1</v>
      </c>
      <c r="T105" s="9">
        <v>2</v>
      </c>
      <c r="U105">
        <v>40</v>
      </c>
      <c r="V105">
        <v>1773</v>
      </c>
      <c r="W105">
        <v>73762</v>
      </c>
      <c r="X105">
        <v>38441</v>
      </c>
      <c r="Z105">
        <v>1</v>
      </c>
      <c r="AA105">
        <v>113</v>
      </c>
      <c r="AB105" s="22">
        <v>40</v>
      </c>
      <c r="AC105" s="23">
        <v>73762</v>
      </c>
      <c r="AD105" s="23">
        <v>38441</v>
      </c>
    </row>
    <row r="106" spans="1:31" x14ac:dyDescent="0.3">
      <c r="A106" s="9" t="s">
        <v>4482</v>
      </c>
      <c r="B106" s="9" t="s">
        <v>4483</v>
      </c>
      <c r="C106" s="9">
        <v>1</v>
      </c>
      <c r="D106" s="9">
        <v>40</v>
      </c>
      <c r="E106" s="9">
        <f t="shared" si="1"/>
        <v>73</v>
      </c>
      <c r="F106" s="9">
        <v>20</v>
      </c>
      <c r="G106" s="9">
        <v>2</v>
      </c>
      <c r="L106" s="9">
        <v>345</v>
      </c>
      <c r="M106" s="9">
        <v>113</v>
      </c>
      <c r="R106" s="9">
        <v>1</v>
      </c>
      <c r="T106" s="9">
        <v>2</v>
      </c>
      <c r="U106">
        <v>50</v>
      </c>
      <c r="V106">
        <v>1773</v>
      </c>
      <c r="W106">
        <v>85197</v>
      </c>
      <c r="X106">
        <v>43587</v>
      </c>
      <c r="Z106">
        <v>1</v>
      </c>
      <c r="AA106">
        <v>113</v>
      </c>
      <c r="AB106" s="22">
        <v>50</v>
      </c>
      <c r="AC106" s="23">
        <v>85197</v>
      </c>
      <c r="AD106" s="23">
        <v>43587</v>
      </c>
    </row>
    <row r="107" spans="1:31" x14ac:dyDescent="0.3">
      <c r="A107" s="9" t="s">
        <v>4482</v>
      </c>
      <c r="B107" s="9" t="s">
        <v>4483</v>
      </c>
      <c r="C107" s="9">
        <v>1</v>
      </c>
      <c r="D107" s="9">
        <v>40</v>
      </c>
      <c r="E107" s="9">
        <f t="shared" si="1"/>
        <v>73</v>
      </c>
      <c r="F107" s="9">
        <v>20</v>
      </c>
      <c r="G107" s="9">
        <v>2</v>
      </c>
      <c r="L107" s="9">
        <v>345</v>
      </c>
      <c r="M107" s="9">
        <v>113</v>
      </c>
      <c r="R107" s="9">
        <v>1</v>
      </c>
      <c r="T107" s="9">
        <v>2</v>
      </c>
      <c r="U107">
        <v>60</v>
      </c>
      <c r="V107">
        <v>1773</v>
      </c>
      <c r="W107">
        <v>92107</v>
      </c>
      <c r="X107">
        <v>46646</v>
      </c>
      <c r="Z107">
        <v>1</v>
      </c>
      <c r="AA107">
        <v>113</v>
      </c>
      <c r="AB107" s="22">
        <v>60</v>
      </c>
      <c r="AC107" s="23">
        <v>92107</v>
      </c>
      <c r="AD107" s="23">
        <v>46646</v>
      </c>
    </row>
    <row r="108" spans="1:31" x14ac:dyDescent="0.3">
      <c r="A108" s="9" t="s">
        <v>4482</v>
      </c>
      <c r="B108" s="9" t="s">
        <v>4483</v>
      </c>
      <c r="C108" s="9">
        <v>2</v>
      </c>
      <c r="D108" s="9">
        <v>40</v>
      </c>
      <c r="E108" s="9">
        <f t="shared" si="1"/>
        <v>73</v>
      </c>
      <c r="F108" s="9">
        <v>20</v>
      </c>
      <c r="G108" s="9">
        <v>2</v>
      </c>
      <c r="L108" s="9">
        <v>345</v>
      </c>
      <c r="M108" s="9">
        <v>113</v>
      </c>
      <c r="U108">
        <v>1</v>
      </c>
      <c r="V108">
        <v>2119</v>
      </c>
      <c r="W108">
        <v>2084</v>
      </c>
      <c r="X108">
        <v>0</v>
      </c>
      <c r="Z108">
        <v>2</v>
      </c>
      <c r="AA108">
        <v>113</v>
      </c>
      <c r="AB108" s="22">
        <v>1</v>
      </c>
      <c r="AC108" s="23">
        <v>2084</v>
      </c>
      <c r="AD108" s="22">
        <v>0</v>
      </c>
      <c r="AE108" s="23">
        <v>2119</v>
      </c>
    </row>
    <row r="109" spans="1:31" x14ac:dyDescent="0.3">
      <c r="A109" s="9" t="s">
        <v>4482</v>
      </c>
      <c r="B109" s="9" t="s">
        <v>4483</v>
      </c>
      <c r="C109" s="9">
        <v>2</v>
      </c>
      <c r="D109" s="9">
        <v>40</v>
      </c>
      <c r="E109" s="9">
        <f t="shared" si="1"/>
        <v>73</v>
      </c>
      <c r="F109" s="9">
        <v>20</v>
      </c>
      <c r="G109" s="9">
        <v>2</v>
      </c>
      <c r="L109" s="9">
        <v>345</v>
      </c>
      <c r="M109" s="9">
        <v>113</v>
      </c>
      <c r="U109">
        <v>2</v>
      </c>
      <c r="V109">
        <v>2119</v>
      </c>
      <c r="W109">
        <v>4220</v>
      </c>
      <c r="X109">
        <v>2035</v>
      </c>
      <c r="Z109">
        <v>2</v>
      </c>
      <c r="AA109">
        <v>113</v>
      </c>
      <c r="AB109" s="22">
        <v>2</v>
      </c>
      <c r="AC109" s="23">
        <v>4220</v>
      </c>
      <c r="AD109" s="23">
        <v>2035</v>
      </c>
    </row>
    <row r="110" spans="1:31" x14ac:dyDescent="0.3">
      <c r="A110" s="9" t="s">
        <v>4482</v>
      </c>
      <c r="B110" s="9" t="s">
        <v>4483</v>
      </c>
      <c r="C110" s="9">
        <v>2</v>
      </c>
      <c r="D110" s="9">
        <v>40</v>
      </c>
      <c r="E110" s="9">
        <f t="shared" si="1"/>
        <v>73</v>
      </c>
      <c r="F110" s="9">
        <v>20</v>
      </c>
      <c r="G110" s="9">
        <v>2</v>
      </c>
      <c r="L110" s="9">
        <v>345</v>
      </c>
      <c r="M110" s="9">
        <v>113</v>
      </c>
      <c r="U110">
        <v>3</v>
      </c>
      <c r="V110">
        <v>2119</v>
      </c>
      <c r="W110">
        <v>6406</v>
      </c>
      <c r="X110">
        <v>4658</v>
      </c>
      <c r="Z110">
        <v>2</v>
      </c>
      <c r="AA110">
        <v>113</v>
      </c>
      <c r="AB110" s="22">
        <v>3</v>
      </c>
      <c r="AC110" s="23">
        <v>6406</v>
      </c>
      <c r="AD110" s="23">
        <v>4658</v>
      </c>
    </row>
    <row r="111" spans="1:31" x14ac:dyDescent="0.3">
      <c r="A111" s="9" t="s">
        <v>4482</v>
      </c>
      <c r="B111" s="9" t="s">
        <v>4483</v>
      </c>
      <c r="C111" s="9">
        <v>2</v>
      </c>
      <c r="D111" s="9">
        <v>40</v>
      </c>
      <c r="E111" s="9">
        <f t="shared" si="1"/>
        <v>73</v>
      </c>
      <c r="F111" s="9">
        <v>20</v>
      </c>
      <c r="G111" s="9">
        <v>2</v>
      </c>
      <c r="L111" s="9">
        <v>345</v>
      </c>
      <c r="M111" s="9">
        <v>113</v>
      </c>
      <c r="U111">
        <v>4</v>
      </c>
      <c r="V111">
        <v>2119</v>
      </c>
      <c r="W111">
        <v>8645</v>
      </c>
      <c r="X111">
        <v>7334</v>
      </c>
      <c r="Z111">
        <v>2</v>
      </c>
      <c r="AA111">
        <v>113</v>
      </c>
      <c r="AB111" s="22">
        <v>4</v>
      </c>
      <c r="AC111" s="23">
        <v>8645</v>
      </c>
      <c r="AD111" s="23">
        <v>7334</v>
      </c>
    </row>
    <row r="112" spans="1:31" x14ac:dyDescent="0.3">
      <c r="A112" s="9" t="s">
        <v>4482</v>
      </c>
      <c r="B112" s="9" t="s">
        <v>4483</v>
      </c>
      <c r="C112" s="9">
        <v>2</v>
      </c>
      <c r="D112" s="9">
        <v>40</v>
      </c>
      <c r="E112" s="9">
        <f t="shared" si="1"/>
        <v>73</v>
      </c>
      <c r="F112" s="9">
        <v>20</v>
      </c>
      <c r="G112" s="9">
        <v>2</v>
      </c>
      <c r="L112" s="9">
        <v>345</v>
      </c>
      <c r="M112" s="9">
        <v>113</v>
      </c>
      <c r="U112">
        <v>5</v>
      </c>
      <c r="V112">
        <v>2119</v>
      </c>
      <c r="W112">
        <v>10937</v>
      </c>
      <c r="X112">
        <v>10063</v>
      </c>
      <c r="Z112">
        <v>2</v>
      </c>
      <c r="AA112">
        <v>113</v>
      </c>
      <c r="AB112" s="22">
        <v>5</v>
      </c>
      <c r="AC112" s="23">
        <v>10937</v>
      </c>
      <c r="AD112" s="23">
        <v>10063</v>
      </c>
    </row>
    <row r="113" spans="1:31" x14ac:dyDescent="0.3">
      <c r="A113" s="9" t="s">
        <v>4482</v>
      </c>
      <c r="B113" s="9" t="s">
        <v>4483</v>
      </c>
      <c r="C113" s="9">
        <v>2</v>
      </c>
      <c r="D113" s="9">
        <v>40</v>
      </c>
      <c r="E113" s="9">
        <f t="shared" si="1"/>
        <v>73</v>
      </c>
      <c r="F113" s="9">
        <v>20</v>
      </c>
      <c r="G113" s="9">
        <v>2</v>
      </c>
      <c r="L113" s="9">
        <v>345</v>
      </c>
      <c r="M113" s="9">
        <v>113</v>
      </c>
      <c r="U113">
        <v>6</v>
      </c>
      <c r="V113">
        <v>2119</v>
      </c>
      <c r="W113">
        <v>13284</v>
      </c>
      <c r="X113">
        <v>12847</v>
      </c>
      <c r="Z113">
        <v>2</v>
      </c>
      <c r="AA113">
        <v>113</v>
      </c>
      <c r="AB113" s="22">
        <v>6</v>
      </c>
      <c r="AC113" s="23">
        <v>13284</v>
      </c>
      <c r="AD113" s="23">
        <v>12847</v>
      </c>
    </row>
    <row r="114" spans="1:31" x14ac:dyDescent="0.3">
      <c r="A114" s="9" t="s">
        <v>4482</v>
      </c>
      <c r="B114" s="9" t="s">
        <v>4483</v>
      </c>
      <c r="C114" s="9">
        <v>2</v>
      </c>
      <c r="D114" s="9">
        <v>40</v>
      </c>
      <c r="E114" s="9">
        <f t="shared" si="1"/>
        <v>73</v>
      </c>
      <c r="F114" s="9">
        <v>20</v>
      </c>
      <c r="G114" s="9">
        <v>2</v>
      </c>
      <c r="L114" s="9">
        <v>345</v>
      </c>
      <c r="M114" s="9">
        <v>113</v>
      </c>
      <c r="U114">
        <v>7</v>
      </c>
      <c r="V114">
        <v>2119</v>
      </c>
      <c r="W114">
        <v>15689</v>
      </c>
      <c r="X114">
        <v>15689</v>
      </c>
      <c r="Z114">
        <v>2</v>
      </c>
      <c r="AA114">
        <v>113</v>
      </c>
      <c r="AB114" s="22">
        <v>7</v>
      </c>
      <c r="AC114" s="23">
        <v>15689</v>
      </c>
      <c r="AD114" s="23">
        <v>15689</v>
      </c>
    </row>
    <row r="115" spans="1:31" x14ac:dyDescent="0.3">
      <c r="A115" s="9" t="s">
        <v>4482</v>
      </c>
      <c r="B115" s="9" t="s">
        <v>4483</v>
      </c>
      <c r="C115" s="9">
        <v>2</v>
      </c>
      <c r="D115" s="9">
        <v>40</v>
      </c>
      <c r="E115" s="9">
        <f t="shared" si="1"/>
        <v>73</v>
      </c>
      <c r="F115" s="9">
        <v>20</v>
      </c>
      <c r="G115" s="9">
        <v>2</v>
      </c>
      <c r="L115" s="9">
        <v>345</v>
      </c>
      <c r="M115" s="9">
        <v>113</v>
      </c>
      <c r="U115">
        <v>10</v>
      </c>
      <c r="V115">
        <v>2119</v>
      </c>
      <c r="W115">
        <v>23253</v>
      </c>
      <c r="X115">
        <v>23253</v>
      </c>
      <c r="Z115">
        <v>2</v>
      </c>
      <c r="AA115">
        <v>113</v>
      </c>
      <c r="AB115" s="22">
        <v>10</v>
      </c>
      <c r="AC115" s="23">
        <v>23253</v>
      </c>
      <c r="AD115" s="23">
        <v>23253</v>
      </c>
    </row>
    <row r="116" spans="1:31" x14ac:dyDescent="0.3">
      <c r="A116" s="9" t="s">
        <v>4482</v>
      </c>
      <c r="B116" s="9" t="s">
        <v>4483</v>
      </c>
      <c r="C116" s="9">
        <v>2</v>
      </c>
      <c r="D116" s="9">
        <v>40</v>
      </c>
      <c r="E116" s="9">
        <f t="shared" si="1"/>
        <v>73</v>
      </c>
      <c r="F116" s="9">
        <v>20</v>
      </c>
      <c r="G116" s="9">
        <v>2</v>
      </c>
      <c r="L116" s="9">
        <v>345</v>
      </c>
      <c r="M116" s="9">
        <v>113</v>
      </c>
      <c r="U116">
        <v>20</v>
      </c>
      <c r="V116">
        <v>2119</v>
      </c>
      <c r="W116">
        <v>52751</v>
      </c>
      <c r="X116">
        <v>52751</v>
      </c>
      <c r="Z116">
        <v>2</v>
      </c>
      <c r="AA116">
        <v>113</v>
      </c>
      <c r="AB116" s="22">
        <v>20</v>
      </c>
      <c r="AC116" s="23">
        <v>52751</v>
      </c>
      <c r="AD116" s="23">
        <v>52751</v>
      </c>
    </row>
    <row r="117" spans="1:31" x14ac:dyDescent="0.3">
      <c r="A117" s="9" t="s">
        <v>4482</v>
      </c>
      <c r="B117" s="9" t="s">
        <v>4483</v>
      </c>
      <c r="C117" s="9">
        <v>2</v>
      </c>
      <c r="D117" s="9">
        <v>40</v>
      </c>
      <c r="E117" s="9">
        <f t="shared" si="1"/>
        <v>73</v>
      </c>
      <c r="F117" s="9">
        <v>20</v>
      </c>
      <c r="G117" s="9">
        <v>2</v>
      </c>
      <c r="L117" s="9">
        <v>345</v>
      </c>
      <c r="M117" s="9">
        <v>113</v>
      </c>
      <c r="U117">
        <v>30</v>
      </c>
      <c r="V117">
        <v>2119</v>
      </c>
      <c r="W117">
        <v>64544</v>
      </c>
      <c r="X117">
        <v>64544</v>
      </c>
      <c r="Z117">
        <v>2</v>
      </c>
      <c r="AA117">
        <v>113</v>
      </c>
      <c r="AB117" s="22">
        <v>30</v>
      </c>
      <c r="AC117" s="23">
        <v>64544</v>
      </c>
      <c r="AD117" s="23">
        <v>64544</v>
      </c>
    </row>
    <row r="118" spans="1:31" x14ac:dyDescent="0.3">
      <c r="A118" s="9" t="s">
        <v>4482</v>
      </c>
      <c r="B118" s="9" t="s">
        <v>4483</v>
      </c>
      <c r="C118" s="9">
        <v>2</v>
      </c>
      <c r="D118" s="9">
        <v>40</v>
      </c>
      <c r="E118" s="9">
        <f t="shared" si="1"/>
        <v>73</v>
      </c>
      <c r="F118" s="9">
        <v>20</v>
      </c>
      <c r="G118" s="9">
        <v>2</v>
      </c>
      <c r="L118" s="9">
        <v>345</v>
      </c>
      <c r="M118" s="9">
        <v>113</v>
      </c>
      <c r="U118">
        <v>40</v>
      </c>
      <c r="V118">
        <v>2119</v>
      </c>
      <c r="W118">
        <v>76882</v>
      </c>
      <c r="X118">
        <v>76882</v>
      </c>
      <c r="Z118">
        <v>2</v>
      </c>
      <c r="AA118">
        <v>113</v>
      </c>
      <c r="AB118" s="22">
        <v>40</v>
      </c>
      <c r="AC118" s="23">
        <v>76882</v>
      </c>
      <c r="AD118" s="23">
        <v>76882</v>
      </c>
    </row>
    <row r="119" spans="1:31" x14ac:dyDescent="0.3">
      <c r="A119" s="9" t="s">
        <v>4482</v>
      </c>
      <c r="B119" s="9" t="s">
        <v>4483</v>
      </c>
      <c r="C119" s="9">
        <v>2</v>
      </c>
      <c r="D119" s="9">
        <v>40</v>
      </c>
      <c r="E119" s="9">
        <f t="shared" si="1"/>
        <v>73</v>
      </c>
      <c r="F119" s="9">
        <v>20</v>
      </c>
      <c r="G119" s="9">
        <v>2</v>
      </c>
      <c r="L119" s="9">
        <v>345</v>
      </c>
      <c r="M119" s="9">
        <v>113</v>
      </c>
      <c r="U119">
        <v>50</v>
      </c>
      <c r="V119">
        <v>2119</v>
      </c>
      <c r="W119">
        <v>87174</v>
      </c>
      <c r="X119">
        <v>87174</v>
      </c>
      <c r="Z119">
        <v>2</v>
      </c>
      <c r="AA119">
        <v>113</v>
      </c>
      <c r="AB119" s="22">
        <v>50</v>
      </c>
      <c r="AC119" s="23">
        <v>87174</v>
      </c>
      <c r="AD119" s="23">
        <v>87174</v>
      </c>
    </row>
    <row r="120" spans="1:31" x14ac:dyDescent="0.3">
      <c r="A120" s="9" t="s">
        <v>4482</v>
      </c>
      <c r="B120" s="9" t="s">
        <v>4483</v>
      </c>
      <c r="C120" s="9">
        <v>2</v>
      </c>
      <c r="D120" s="9">
        <v>40</v>
      </c>
      <c r="E120" s="9">
        <f t="shared" si="1"/>
        <v>73</v>
      </c>
      <c r="F120" s="9">
        <v>20</v>
      </c>
      <c r="G120" s="9">
        <v>2</v>
      </c>
      <c r="L120" s="9">
        <v>345</v>
      </c>
      <c r="M120" s="9">
        <v>113</v>
      </c>
      <c r="U120">
        <v>60</v>
      </c>
      <c r="V120">
        <v>2119</v>
      </c>
      <c r="W120">
        <v>93292</v>
      </c>
      <c r="X120">
        <v>93292</v>
      </c>
      <c r="Z120">
        <v>2</v>
      </c>
      <c r="AA120">
        <v>113</v>
      </c>
      <c r="AB120" s="22">
        <v>60</v>
      </c>
      <c r="AC120" s="23">
        <v>93292</v>
      </c>
      <c r="AD120" s="23">
        <v>93292</v>
      </c>
    </row>
    <row r="121" spans="1:31" x14ac:dyDescent="0.3">
      <c r="A121" s="9" t="s">
        <v>4482</v>
      </c>
      <c r="B121" s="9" t="s">
        <v>4483</v>
      </c>
      <c r="C121" s="9">
        <v>1</v>
      </c>
      <c r="D121" s="9">
        <v>40</v>
      </c>
      <c r="E121" s="9">
        <f t="shared" si="1"/>
        <v>73</v>
      </c>
      <c r="F121" s="9">
        <v>20</v>
      </c>
      <c r="G121" s="9">
        <v>2</v>
      </c>
      <c r="L121" s="9">
        <v>355</v>
      </c>
      <c r="M121" s="9">
        <v>113</v>
      </c>
      <c r="R121" s="9">
        <v>1</v>
      </c>
      <c r="T121" s="9">
        <v>2</v>
      </c>
      <c r="U121">
        <v>1</v>
      </c>
      <c r="V121">
        <v>1742</v>
      </c>
      <c r="W121">
        <v>1881</v>
      </c>
      <c r="X121">
        <v>0</v>
      </c>
      <c r="Z121">
        <v>1</v>
      </c>
      <c r="AA121">
        <v>113</v>
      </c>
      <c r="AB121" s="22">
        <v>1</v>
      </c>
      <c r="AC121" s="23">
        <v>1881</v>
      </c>
      <c r="AD121" s="22">
        <v>0</v>
      </c>
      <c r="AE121" s="23">
        <v>1742</v>
      </c>
    </row>
    <row r="122" spans="1:31" x14ac:dyDescent="0.3">
      <c r="A122" s="9" t="s">
        <v>4482</v>
      </c>
      <c r="B122" s="9" t="s">
        <v>4483</v>
      </c>
      <c r="C122" s="9">
        <v>1</v>
      </c>
      <c r="D122" s="9">
        <v>40</v>
      </c>
      <c r="E122" s="9">
        <f t="shared" si="1"/>
        <v>73</v>
      </c>
      <c r="F122" s="9">
        <v>20</v>
      </c>
      <c r="G122" s="9">
        <v>2</v>
      </c>
      <c r="L122" s="9">
        <v>355</v>
      </c>
      <c r="M122" s="9">
        <v>113</v>
      </c>
      <c r="R122" s="9">
        <v>1</v>
      </c>
      <c r="T122" s="9">
        <v>2</v>
      </c>
      <c r="U122">
        <v>2</v>
      </c>
      <c r="V122">
        <v>1742</v>
      </c>
      <c r="W122">
        <v>3948</v>
      </c>
      <c r="X122">
        <v>0</v>
      </c>
      <c r="Z122">
        <v>1</v>
      </c>
      <c r="AA122">
        <v>113</v>
      </c>
      <c r="AB122" s="22">
        <v>2</v>
      </c>
      <c r="AC122" s="23">
        <v>3948</v>
      </c>
      <c r="AD122" s="22">
        <v>0</v>
      </c>
    </row>
    <row r="123" spans="1:31" x14ac:dyDescent="0.3">
      <c r="A123" s="9" t="s">
        <v>4482</v>
      </c>
      <c r="B123" s="9" t="s">
        <v>4483</v>
      </c>
      <c r="C123" s="9">
        <v>1</v>
      </c>
      <c r="D123" s="9">
        <v>40</v>
      </c>
      <c r="E123" s="9">
        <f t="shared" si="1"/>
        <v>73</v>
      </c>
      <c r="F123" s="9">
        <v>20</v>
      </c>
      <c r="G123" s="9">
        <v>2</v>
      </c>
      <c r="L123" s="9">
        <v>355</v>
      </c>
      <c r="M123" s="9">
        <v>113</v>
      </c>
      <c r="R123" s="9">
        <v>1</v>
      </c>
      <c r="T123" s="9">
        <v>2</v>
      </c>
      <c r="U123">
        <v>3</v>
      </c>
      <c r="V123">
        <v>1742</v>
      </c>
      <c r="W123">
        <v>6106</v>
      </c>
      <c r="X123">
        <v>0</v>
      </c>
      <c r="Z123">
        <v>1</v>
      </c>
      <c r="AA123">
        <v>113</v>
      </c>
      <c r="AB123" s="22">
        <v>3</v>
      </c>
      <c r="AC123" s="23">
        <v>6106</v>
      </c>
      <c r="AD123" s="22">
        <v>0</v>
      </c>
    </row>
    <row r="124" spans="1:31" x14ac:dyDescent="0.3">
      <c r="A124" s="9" t="s">
        <v>4482</v>
      </c>
      <c r="B124" s="9" t="s">
        <v>4483</v>
      </c>
      <c r="C124" s="9">
        <v>1</v>
      </c>
      <c r="D124" s="9">
        <v>40</v>
      </c>
      <c r="E124" s="9">
        <f t="shared" si="1"/>
        <v>73</v>
      </c>
      <c r="F124" s="9">
        <v>20</v>
      </c>
      <c r="G124" s="9">
        <v>2</v>
      </c>
      <c r="L124" s="9">
        <v>355</v>
      </c>
      <c r="M124" s="9">
        <v>113</v>
      </c>
      <c r="R124" s="9">
        <v>1</v>
      </c>
      <c r="T124" s="9">
        <v>2</v>
      </c>
      <c r="U124">
        <v>4</v>
      </c>
      <c r="V124">
        <v>1742</v>
      </c>
      <c r="W124">
        <v>8298</v>
      </c>
      <c r="X124">
        <v>0</v>
      </c>
      <c r="Z124">
        <v>1</v>
      </c>
      <c r="AA124">
        <v>113</v>
      </c>
      <c r="AB124" s="22">
        <v>4</v>
      </c>
      <c r="AC124" s="23">
        <v>8298</v>
      </c>
      <c r="AD124" s="22">
        <v>0</v>
      </c>
    </row>
    <row r="125" spans="1:31" x14ac:dyDescent="0.3">
      <c r="A125" s="9" t="s">
        <v>4482</v>
      </c>
      <c r="B125" s="9" t="s">
        <v>4483</v>
      </c>
      <c r="C125" s="9">
        <v>1</v>
      </c>
      <c r="D125" s="9">
        <v>40</v>
      </c>
      <c r="E125" s="9">
        <f t="shared" si="1"/>
        <v>73</v>
      </c>
      <c r="F125" s="9">
        <v>20</v>
      </c>
      <c r="G125" s="9">
        <v>2</v>
      </c>
      <c r="L125" s="9">
        <v>355</v>
      </c>
      <c r="M125" s="9">
        <v>113</v>
      </c>
      <c r="R125" s="9">
        <v>1</v>
      </c>
      <c r="T125" s="9">
        <v>2</v>
      </c>
      <c r="U125">
        <v>5</v>
      </c>
      <c r="V125">
        <v>1742</v>
      </c>
      <c r="W125">
        <v>10508</v>
      </c>
      <c r="X125">
        <v>0</v>
      </c>
      <c r="Z125">
        <v>1</v>
      </c>
      <c r="AA125">
        <v>113</v>
      </c>
      <c r="AB125" s="22">
        <v>5</v>
      </c>
      <c r="AC125" s="23">
        <v>10508</v>
      </c>
      <c r="AD125" s="22">
        <v>0</v>
      </c>
    </row>
    <row r="126" spans="1:31" x14ac:dyDescent="0.3">
      <c r="A126" s="9" t="s">
        <v>4482</v>
      </c>
      <c r="B126" s="9" t="s">
        <v>4483</v>
      </c>
      <c r="C126" s="9">
        <v>1</v>
      </c>
      <c r="D126" s="9">
        <v>40</v>
      </c>
      <c r="E126" s="9">
        <f t="shared" si="1"/>
        <v>73</v>
      </c>
      <c r="F126" s="9">
        <v>20</v>
      </c>
      <c r="G126" s="9">
        <v>2</v>
      </c>
      <c r="L126" s="9">
        <v>355</v>
      </c>
      <c r="M126" s="9">
        <v>113</v>
      </c>
      <c r="R126" s="9">
        <v>1</v>
      </c>
      <c r="T126" s="9">
        <v>2</v>
      </c>
      <c r="U126">
        <v>6</v>
      </c>
      <c r="V126">
        <v>1742</v>
      </c>
      <c r="W126">
        <v>12730</v>
      </c>
      <c r="X126">
        <v>0</v>
      </c>
      <c r="Z126">
        <v>1</v>
      </c>
      <c r="AA126">
        <v>113</v>
      </c>
      <c r="AB126" s="22">
        <v>6</v>
      </c>
      <c r="AC126" s="23">
        <v>12730</v>
      </c>
      <c r="AD126" s="22">
        <v>0</v>
      </c>
    </row>
    <row r="127" spans="1:31" x14ac:dyDescent="0.3">
      <c r="A127" s="9" t="s">
        <v>4482</v>
      </c>
      <c r="B127" s="9" t="s">
        <v>4483</v>
      </c>
      <c r="C127" s="9">
        <v>1</v>
      </c>
      <c r="D127" s="9">
        <v>40</v>
      </c>
      <c r="E127" s="9">
        <f t="shared" si="1"/>
        <v>73</v>
      </c>
      <c r="F127" s="9">
        <v>20</v>
      </c>
      <c r="G127" s="9">
        <v>2</v>
      </c>
      <c r="L127" s="9">
        <v>355</v>
      </c>
      <c r="M127" s="9">
        <v>113</v>
      </c>
      <c r="R127" s="9">
        <v>1</v>
      </c>
      <c r="T127" s="9">
        <v>2</v>
      </c>
      <c r="U127">
        <v>7</v>
      </c>
      <c r="V127">
        <v>1742</v>
      </c>
      <c r="W127">
        <v>14960</v>
      </c>
      <c r="X127">
        <v>0</v>
      </c>
      <c r="Z127">
        <v>1</v>
      </c>
      <c r="AA127">
        <v>113</v>
      </c>
      <c r="AB127" s="22">
        <v>7</v>
      </c>
      <c r="AC127" s="23">
        <v>14960</v>
      </c>
      <c r="AD127" s="22">
        <v>0</v>
      </c>
    </row>
    <row r="128" spans="1:31" x14ac:dyDescent="0.3">
      <c r="A128" s="9" t="s">
        <v>4482</v>
      </c>
      <c r="B128" s="9" t="s">
        <v>4483</v>
      </c>
      <c r="C128" s="9">
        <v>1</v>
      </c>
      <c r="D128" s="9">
        <v>40</v>
      </c>
      <c r="E128" s="9">
        <f t="shared" si="1"/>
        <v>73</v>
      </c>
      <c r="F128" s="9">
        <v>20</v>
      </c>
      <c r="G128" s="9">
        <v>2</v>
      </c>
      <c r="L128" s="9">
        <v>355</v>
      </c>
      <c r="M128" s="9">
        <v>113</v>
      </c>
      <c r="R128" s="9">
        <v>1</v>
      </c>
      <c r="T128" s="9">
        <v>2</v>
      </c>
      <c r="U128">
        <v>10</v>
      </c>
      <c r="V128">
        <v>1742</v>
      </c>
      <c r="W128">
        <v>21750</v>
      </c>
      <c r="X128">
        <v>0</v>
      </c>
      <c r="Z128">
        <v>1</v>
      </c>
      <c r="AA128">
        <v>113</v>
      </c>
      <c r="AB128" s="22">
        <v>10</v>
      </c>
      <c r="AC128" s="23">
        <v>21750</v>
      </c>
      <c r="AD128" s="22">
        <v>0</v>
      </c>
    </row>
    <row r="129" spans="1:31" x14ac:dyDescent="0.3">
      <c r="A129" s="9" t="s">
        <v>4482</v>
      </c>
      <c r="B129" s="9" t="s">
        <v>4483</v>
      </c>
      <c r="C129" s="9">
        <v>1</v>
      </c>
      <c r="D129" s="9">
        <v>40</v>
      </c>
      <c r="E129" s="9">
        <f t="shared" si="1"/>
        <v>73</v>
      </c>
      <c r="F129" s="9">
        <v>20</v>
      </c>
      <c r="G129" s="9">
        <v>2</v>
      </c>
      <c r="L129" s="9">
        <v>355</v>
      </c>
      <c r="M129" s="9">
        <v>113</v>
      </c>
      <c r="R129" s="9">
        <v>1</v>
      </c>
      <c r="T129" s="9">
        <v>2</v>
      </c>
      <c r="U129">
        <v>20</v>
      </c>
      <c r="V129">
        <v>1742</v>
      </c>
      <c r="W129">
        <v>47057</v>
      </c>
      <c r="X129">
        <v>26028</v>
      </c>
      <c r="Z129">
        <v>1</v>
      </c>
      <c r="AA129">
        <v>113</v>
      </c>
      <c r="AB129" s="22">
        <v>20</v>
      </c>
      <c r="AC129" s="23">
        <v>47057</v>
      </c>
      <c r="AD129" s="23">
        <v>26028</v>
      </c>
    </row>
    <row r="130" spans="1:31" x14ac:dyDescent="0.3">
      <c r="A130" s="9" t="s">
        <v>4482</v>
      </c>
      <c r="B130" s="9" t="s">
        <v>4483</v>
      </c>
      <c r="C130" s="9">
        <v>1</v>
      </c>
      <c r="D130" s="9">
        <v>40</v>
      </c>
      <c r="E130" s="9">
        <f t="shared" si="1"/>
        <v>73</v>
      </c>
      <c r="F130" s="9">
        <v>20</v>
      </c>
      <c r="G130" s="9">
        <v>2</v>
      </c>
      <c r="L130" s="9">
        <v>355</v>
      </c>
      <c r="M130" s="9">
        <v>113</v>
      </c>
      <c r="R130" s="9">
        <v>1</v>
      </c>
      <c r="T130" s="9">
        <v>2</v>
      </c>
      <c r="U130">
        <v>30</v>
      </c>
      <c r="V130">
        <v>1742</v>
      </c>
      <c r="W130">
        <v>59504</v>
      </c>
      <c r="X130">
        <v>31863</v>
      </c>
      <c r="Z130">
        <v>1</v>
      </c>
      <c r="AA130">
        <v>113</v>
      </c>
      <c r="AB130" s="22">
        <v>30</v>
      </c>
      <c r="AC130" s="23">
        <v>59504</v>
      </c>
      <c r="AD130" s="23">
        <v>31863</v>
      </c>
    </row>
    <row r="131" spans="1:31" x14ac:dyDescent="0.3">
      <c r="A131" s="9" t="s">
        <v>4482</v>
      </c>
      <c r="B131" s="9" t="s">
        <v>4483</v>
      </c>
      <c r="C131" s="9">
        <v>1</v>
      </c>
      <c r="D131" s="9">
        <v>40</v>
      </c>
      <c r="E131" s="9">
        <f t="shared" si="1"/>
        <v>73</v>
      </c>
      <c r="F131" s="9">
        <v>20</v>
      </c>
      <c r="G131" s="9">
        <v>2</v>
      </c>
      <c r="L131" s="9">
        <v>355</v>
      </c>
      <c r="M131" s="9">
        <v>113</v>
      </c>
      <c r="R131" s="9">
        <v>1</v>
      </c>
      <c r="T131" s="9">
        <v>2</v>
      </c>
      <c r="U131">
        <v>40</v>
      </c>
      <c r="V131">
        <v>1742</v>
      </c>
      <c r="W131">
        <v>72946</v>
      </c>
      <c r="X131">
        <v>38070</v>
      </c>
      <c r="Z131">
        <v>1</v>
      </c>
      <c r="AA131">
        <v>113</v>
      </c>
      <c r="AB131" s="22">
        <v>40</v>
      </c>
      <c r="AC131" s="23">
        <v>72946</v>
      </c>
      <c r="AD131" s="23">
        <v>38070</v>
      </c>
    </row>
    <row r="132" spans="1:31" x14ac:dyDescent="0.3">
      <c r="A132" s="9" t="s">
        <v>4482</v>
      </c>
      <c r="B132" s="9" t="s">
        <v>4483</v>
      </c>
      <c r="C132" s="9">
        <v>1</v>
      </c>
      <c r="D132" s="9">
        <v>40</v>
      </c>
      <c r="E132" s="9">
        <f t="shared" ref="E132:E194" si="2">M132-D132</f>
        <v>73</v>
      </c>
      <c r="F132" s="9">
        <v>20</v>
      </c>
      <c r="G132" s="9">
        <v>2</v>
      </c>
      <c r="L132" s="9">
        <v>355</v>
      </c>
      <c r="M132" s="9">
        <v>113</v>
      </c>
      <c r="R132" s="9">
        <v>1</v>
      </c>
      <c r="T132" s="9">
        <v>2</v>
      </c>
      <c r="U132">
        <v>50</v>
      </c>
      <c r="V132">
        <v>1742</v>
      </c>
      <c r="W132">
        <v>84683</v>
      </c>
      <c r="X132">
        <v>43358</v>
      </c>
      <c r="Z132">
        <v>1</v>
      </c>
      <c r="AA132">
        <v>113</v>
      </c>
      <c r="AB132" s="22">
        <v>50</v>
      </c>
      <c r="AC132" s="23">
        <v>84683</v>
      </c>
      <c r="AD132" s="23">
        <v>43358</v>
      </c>
    </row>
    <row r="133" spans="1:31" x14ac:dyDescent="0.3">
      <c r="A133" s="9" t="s">
        <v>4482</v>
      </c>
      <c r="B133" s="9" t="s">
        <v>4483</v>
      </c>
      <c r="C133" s="9">
        <v>1</v>
      </c>
      <c r="D133" s="9">
        <v>40</v>
      </c>
      <c r="E133" s="9">
        <f t="shared" si="2"/>
        <v>73</v>
      </c>
      <c r="F133" s="9">
        <v>20</v>
      </c>
      <c r="G133" s="9">
        <v>2</v>
      </c>
      <c r="L133" s="9">
        <v>355</v>
      </c>
      <c r="M133" s="9">
        <v>113</v>
      </c>
      <c r="R133" s="9">
        <v>1</v>
      </c>
      <c r="T133" s="9">
        <v>2</v>
      </c>
      <c r="U133">
        <v>60</v>
      </c>
      <c r="V133">
        <v>1742</v>
      </c>
      <c r="W133">
        <v>91902</v>
      </c>
      <c r="X133">
        <v>46556</v>
      </c>
      <c r="Z133">
        <v>1</v>
      </c>
      <c r="AA133">
        <v>113</v>
      </c>
      <c r="AB133" s="22">
        <v>60</v>
      </c>
      <c r="AC133" s="23">
        <v>91902</v>
      </c>
      <c r="AD133" s="23">
        <v>46556</v>
      </c>
    </row>
    <row r="134" spans="1:31" x14ac:dyDescent="0.3">
      <c r="A134" s="9" t="s">
        <v>4482</v>
      </c>
      <c r="B134" s="9" t="s">
        <v>4483</v>
      </c>
      <c r="C134" s="9">
        <v>2</v>
      </c>
      <c r="D134" s="9">
        <v>40</v>
      </c>
      <c r="E134" s="9">
        <f t="shared" si="2"/>
        <v>73</v>
      </c>
      <c r="F134" s="9">
        <v>20</v>
      </c>
      <c r="G134" s="9">
        <v>2</v>
      </c>
      <c r="L134" s="9">
        <v>355</v>
      </c>
      <c r="M134" s="9">
        <v>113</v>
      </c>
      <c r="U134">
        <v>1</v>
      </c>
      <c r="V134">
        <v>2086</v>
      </c>
      <c r="W134">
        <v>2059</v>
      </c>
      <c r="X134">
        <v>0</v>
      </c>
      <c r="Z134">
        <v>2</v>
      </c>
      <c r="AA134">
        <v>113</v>
      </c>
      <c r="AB134" s="22">
        <v>1</v>
      </c>
      <c r="AC134" s="23">
        <v>2059</v>
      </c>
      <c r="AD134" s="22">
        <v>0</v>
      </c>
      <c r="AE134" s="23">
        <v>2086</v>
      </c>
    </row>
    <row r="135" spans="1:31" x14ac:dyDescent="0.3">
      <c r="A135" s="9" t="s">
        <v>4482</v>
      </c>
      <c r="B135" s="9" t="s">
        <v>4483</v>
      </c>
      <c r="C135" s="9">
        <v>2</v>
      </c>
      <c r="D135" s="9">
        <v>40</v>
      </c>
      <c r="E135" s="9">
        <f t="shared" si="2"/>
        <v>73</v>
      </c>
      <c r="F135" s="9">
        <v>20</v>
      </c>
      <c r="G135" s="9">
        <v>2</v>
      </c>
      <c r="L135" s="9">
        <v>355</v>
      </c>
      <c r="M135" s="9">
        <v>113</v>
      </c>
      <c r="U135">
        <v>2</v>
      </c>
      <c r="V135">
        <v>2086</v>
      </c>
      <c r="W135">
        <v>4169</v>
      </c>
      <c r="X135">
        <v>2008</v>
      </c>
      <c r="Z135">
        <v>2</v>
      </c>
      <c r="AA135">
        <v>113</v>
      </c>
      <c r="AB135" s="22">
        <v>2</v>
      </c>
      <c r="AC135" s="23">
        <v>4169</v>
      </c>
      <c r="AD135" s="23">
        <v>2008</v>
      </c>
    </row>
    <row r="136" spans="1:31" x14ac:dyDescent="0.3">
      <c r="A136" s="9" t="s">
        <v>4482</v>
      </c>
      <c r="B136" s="9" t="s">
        <v>4483</v>
      </c>
      <c r="C136" s="9">
        <v>2</v>
      </c>
      <c r="D136" s="9">
        <v>40</v>
      </c>
      <c r="E136" s="9">
        <f t="shared" si="2"/>
        <v>73</v>
      </c>
      <c r="F136" s="9">
        <v>20</v>
      </c>
      <c r="G136" s="9">
        <v>2</v>
      </c>
      <c r="L136" s="9">
        <v>355</v>
      </c>
      <c r="M136" s="9">
        <v>113</v>
      </c>
      <c r="U136">
        <v>3</v>
      </c>
      <c r="V136">
        <v>2086</v>
      </c>
      <c r="W136">
        <v>6330</v>
      </c>
      <c r="X136">
        <v>4601</v>
      </c>
      <c r="Z136">
        <v>2</v>
      </c>
      <c r="AA136">
        <v>113</v>
      </c>
      <c r="AB136" s="22">
        <v>3</v>
      </c>
      <c r="AC136" s="23">
        <v>6330</v>
      </c>
      <c r="AD136" s="23">
        <v>4601</v>
      </c>
    </row>
    <row r="137" spans="1:31" x14ac:dyDescent="0.3">
      <c r="A137" s="9" t="s">
        <v>4482</v>
      </c>
      <c r="B137" s="9" t="s">
        <v>4483</v>
      </c>
      <c r="C137" s="9">
        <v>2</v>
      </c>
      <c r="D137" s="9">
        <v>40</v>
      </c>
      <c r="E137" s="9">
        <f t="shared" si="2"/>
        <v>73</v>
      </c>
      <c r="F137" s="9">
        <v>20</v>
      </c>
      <c r="G137" s="9">
        <v>2</v>
      </c>
      <c r="L137" s="9">
        <v>355</v>
      </c>
      <c r="M137" s="9">
        <v>113</v>
      </c>
      <c r="U137">
        <v>4</v>
      </c>
      <c r="V137">
        <v>2086</v>
      </c>
      <c r="W137">
        <v>8542</v>
      </c>
      <c r="X137">
        <v>7246</v>
      </c>
      <c r="Z137">
        <v>2</v>
      </c>
      <c r="AA137">
        <v>113</v>
      </c>
      <c r="AB137" s="22">
        <v>4</v>
      </c>
      <c r="AC137" s="23">
        <v>8542</v>
      </c>
      <c r="AD137" s="23">
        <v>7246</v>
      </c>
    </row>
    <row r="138" spans="1:31" x14ac:dyDescent="0.3">
      <c r="A138" s="9" t="s">
        <v>4482</v>
      </c>
      <c r="B138" s="9" t="s">
        <v>4483</v>
      </c>
      <c r="C138" s="9">
        <v>2</v>
      </c>
      <c r="D138" s="9">
        <v>40</v>
      </c>
      <c r="E138" s="9">
        <f t="shared" si="2"/>
        <v>73</v>
      </c>
      <c r="F138" s="9">
        <v>20</v>
      </c>
      <c r="G138" s="9">
        <v>2</v>
      </c>
      <c r="L138" s="9">
        <v>355</v>
      </c>
      <c r="M138" s="9">
        <v>113</v>
      </c>
      <c r="U138">
        <v>5</v>
      </c>
      <c r="V138">
        <v>2086</v>
      </c>
      <c r="W138">
        <v>10807</v>
      </c>
      <c r="X138">
        <v>9943</v>
      </c>
      <c r="Z138">
        <v>2</v>
      </c>
      <c r="AA138">
        <v>113</v>
      </c>
      <c r="AB138" s="22">
        <v>5</v>
      </c>
      <c r="AC138" s="23">
        <v>10807</v>
      </c>
      <c r="AD138" s="23">
        <v>9943</v>
      </c>
    </row>
    <row r="139" spans="1:31" x14ac:dyDescent="0.3">
      <c r="A139" s="9" t="s">
        <v>4482</v>
      </c>
      <c r="B139" s="9" t="s">
        <v>4483</v>
      </c>
      <c r="C139" s="9">
        <v>2</v>
      </c>
      <c r="D139" s="9">
        <v>40</v>
      </c>
      <c r="E139" s="9">
        <f t="shared" si="2"/>
        <v>73</v>
      </c>
      <c r="F139" s="9">
        <v>20</v>
      </c>
      <c r="G139" s="9">
        <v>2</v>
      </c>
      <c r="L139" s="9">
        <v>355</v>
      </c>
      <c r="M139" s="9">
        <v>113</v>
      </c>
      <c r="U139">
        <v>6</v>
      </c>
      <c r="V139">
        <v>2086</v>
      </c>
      <c r="W139">
        <v>13125</v>
      </c>
      <c r="X139">
        <v>12693</v>
      </c>
      <c r="Z139">
        <v>2</v>
      </c>
      <c r="AA139">
        <v>113</v>
      </c>
      <c r="AB139" s="22">
        <v>6</v>
      </c>
      <c r="AC139" s="23">
        <v>13125</v>
      </c>
      <c r="AD139" s="23">
        <v>12693</v>
      </c>
    </row>
    <row r="140" spans="1:31" x14ac:dyDescent="0.3">
      <c r="A140" s="9" t="s">
        <v>4482</v>
      </c>
      <c r="B140" s="9" t="s">
        <v>4483</v>
      </c>
      <c r="C140" s="9">
        <v>2</v>
      </c>
      <c r="D140" s="9">
        <v>40</v>
      </c>
      <c r="E140" s="9">
        <f t="shared" si="2"/>
        <v>73</v>
      </c>
      <c r="F140" s="9">
        <v>20</v>
      </c>
      <c r="G140" s="9">
        <v>2</v>
      </c>
      <c r="L140" s="9">
        <v>355</v>
      </c>
      <c r="M140" s="9">
        <v>113</v>
      </c>
      <c r="U140">
        <v>7</v>
      </c>
      <c r="V140">
        <v>2086</v>
      </c>
      <c r="W140">
        <v>15499</v>
      </c>
      <c r="X140">
        <v>15499</v>
      </c>
      <c r="Z140">
        <v>2</v>
      </c>
      <c r="AA140">
        <v>113</v>
      </c>
      <c r="AB140" s="22">
        <v>7</v>
      </c>
      <c r="AC140" s="23">
        <v>15499</v>
      </c>
      <c r="AD140" s="23">
        <v>15499</v>
      </c>
    </row>
    <row r="141" spans="1:31" x14ac:dyDescent="0.3">
      <c r="A141" s="9" t="s">
        <v>4482</v>
      </c>
      <c r="B141" s="9" t="s">
        <v>4483</v>
      </c>
      <c r="C141" s="9">
        <v>2</v>
      </c>
      <c r="D141" s="9">
        <v>40</v>
      </c>
      <c r="E141" s="9">
        <f t="shared" si="2"/>
        <v>73</v>
      </c>
      <c r="F141" s="9">
        <v>20</v>
      </c>
      <c r="G141" s="9">
        <v>2</v>
      </c>
      <c r="L141" s="9">
        <v>355</v>
      </c>
      <c r="M141" s="9">
        <v>113</v>
      </c>
      <c r="U141">
        <v>10</v>
      </c>
      <c r="V141">
        <v>2086</v>
      </c>
      <c r="W141">
        <v>22964</v>
      </c>
      <c r="X141">
        <v>22964</v>
      </c>
      <c r="Z141">
        <v>2</v>
      </c>
      <c r="AA141">
        <v>113</v>
      </c>
      <c r="AB141" s="22">
        <v>10</v>
      </c>
      <c r="AC141" s="23">
        <v>22964</v>
      </c>
      <c r="AD141" s="23">
        <v>22964</v>
      </c>
    </row>
    <row r="142" spans="1:31" x14ac:dyDescent="0.3">
      <c r="A142" s="9" t="s">
        <v>4482</v>
      </c>
      <c r="B142" s="9" t="s">
        <v>4483</v>
      </c>
      <c r="C142" s="9">
        <v>2</v>
      </c>
      <c r="D142" s="9">
        <v>40</v>
      </c>
      <c r="E142" s="9">
        <f t="shared" si="2"/>
        <v>73</v>
      </c>
      <c r="F142" s="9">
        <v>20</v>
      </c>
      <c r="G142" s="9">
        <v>2</v>
      </c>
      <c r="L142" s="9">
        <v>355</v>
      </c>
      <c r="M142" s="9">
        <v>113</v>
      </c>
      <c r="U142">
        <v>20</v>
      </c>
      <c r="V142">
        <v>2086</v>
      </c>
      <c r="W142">
        <v>52056</v>
      </c>
      <c r="X142">
        <v>52056</v>
      </c>
      <c r="Z142">
        <v>2</v>
      </c>
      <c r="AA142">
        <v>113</v>
      </c>
      <c r="AB142" s="22">
        <v>20</v>
      </c>
      <c r="AC142" s="23">
        <v>52056</v>
      </c>
      <c r="AD142" s="23">
        <v>52056</v>
      </c>
    </row>
    <row r="143" spans="1:31" x14ac:dyDescent="0.3">
      <c r="A143" s="9" t="s">
        <v>4482</v>
      </c>
      <c r="B143" s="9" t="s">
        <v>4483</v>
      </c>
      <c r="C143" s="9">
        <v>2</v>
      </c>
      <c r="D143" s="9">
        <v>40</v>
      </c>
      <c r="E143" s="9">
        <f t="shared" si="2"/>
        <v>73</v>
      </c>
      <c r="F143" s="9">
        <v>20</v>
      </c>
      <c r="G143" s="9">
        <v>2</v>
      </c>
      <c r="L143" s="9">
        <v>355</v>
      </c>
      <c r="M143" s="9">
        <v>113</v>
      </c>
      <c r="U143">
        <v>30</v>
      </c>
      <c r="V143">
        <v>2086</v>
      </c>
      <c r="W143">
        <v>63725</v>
      </c>
      <c r="X143">
        <v>63725</v>
      </c>
      <c r="Z143">
        <v>2</v>
      </c>
      <c r="AA143">
        <v>113</v>
      </c>
      <c r="AB143" s="22">
        <v>30</v>
      </c>
      <c r="AC143" s="23">
        <v>63725</v>
      </c>
      <c r="AD143" s="23">
        <v>63725</v>
      </c>
    </row>
    <row r="144" spans="1:31" x14ac:dyDescent="0.3">
      <c r="A144" s="9" t="s">
        <v>4482</v>
      </c>
      <c r="B144" s="9" t="s">
        <v>4483</v>
      </c>
      <c r="C144" s="9">
        <v>2</v>
      </c>
      <c r="D144" s="9">
        <v>40</v>
      </c>
      <c r="E144" s="9">
        <f t="shared" si="2"/>
        <v>73</v>
      </c>
      <c r="F144" s="9">
        <v>20</v>
      </c>
      <c r="G144" s="9">
        <v>2</v>
      </c>
      <c r="L144" s="9">
        <v>355</v>
      </c>
      <c r="M144" s="9">
        <v>113</v>
      </c>
      <c r="U144">
        <v>40</v>
      </c>
      <c r="V144">
        <v>2086</v>
      </c>
      <c r="W144">
        <v>76140</v>
      </c>
      <c r="X144">
        <v>76140</v>
      </c>
      <c r="Z144">
        <v>2</v>
      </c>
      <c r="AA144">
        <v>113</v>
      </c>
      <c r="AB144" s="22">
        <v>40</v>
      </c>
      <c r="AC144" s="23">
        <v>76140</v>
      </c>
      <c r="AD144" s="23">
        <v>76140</v>
      </c>
    </row>
    <row r="145" spans="1:31" x14ac:dyDescent="0.3">
      <c r="A145" s="9" t="s">
        <v>4482</v>
      </c>
      <c r="B145" s="9" t="s">
        <v>4483</v>
      </c>
      <c r="C145" s="9">
        <v>2</v>
      </c>
      <c r="D145" s="9">
        <v>40</v>
      </c>
      <c r="E145" s="9">
        <f t="shared" si="2"/>
        <v>73</v>
      </c>
      <c r="F145" s="9">
        <v>20</v>
      </c>
      <c r="G145" s="9">
        <v>2</v>
      </c>
      <c r="L145" s="9">
        <v>355</v>
      </c>
      <c r="M145" s="9">
        <v>113</v>
      </c>
      <c r="U145">
        <v>50</v>
      </c>
      <c r="V145">
        <v>2086</v>
      </c>
      <c r="W145">
        <v>86716</v>
      </c>
      <c r="X145">
        <v>86716</v>
      </c>
      <c r="Z145">
        <v>2</v>
      </c>
      <c r="AA145">
        <v>113</v>
      </c>
      <c r="AB145" s="22">
        <v>50</v>
      </c>
      <c r="AC145" s="23">
        <v>86716</v>
      </c>
      <c r="AD145" s="23">
        <v>86716</v>
      </c>
    </row>
    <row r="146" spans="1:31" x14ac:dyDescent="0.3">
      <c r="A146" s="9" t="s">
        <v>4482</v>
      </c>
      <c r="B146" s="9" t="s">
        <v>4483</v>
      </c>
      <c r="C146" s="9">
        <v>2</v>
      </c>
      <c r="D146" s="9">
        <v>40</v>
      </c>
      <c r="E146" s="9">
        <f t="shared" si="2"/>
        <v>73</v>
      </c>
      <c r="F146" s="9">
        <v>20</v>
      </c>
      <c r="G146" s="9">
        <v>2</v>
      </c>
      <c r="L146" s="9">
        <v>355</v>
      </c>
      <c r="M146" s="9">
        <v>113</v>
      </c>
      <c r="U146">
        <v>60</v>
      </c>
      <c r="V146">
        <v>2086</v>
      </c>
      <c r="W146">
        <v>93111</v>
      </c>
      <c r="X146">
        <v>93111</v>
      </c>
      <c r="Z146">
        <v>2</v>
      </c>
      <c r="AA146">
        <v>113</v>
      </c>
      <c r="AB146" s="22">
        <v>60</v>
      </c>
      <c r="AC146" s="23">
        <v>93111</v>
      </c>
      <c r="AD146" s="23">
        <v>93111</v>
      </c>
    </row>
    <row r="147" spans="1:31" x14ac:dyDescent="0.3">
      <c r="A147" s="9" t="s">
        <v>4482</v>
      </c>
      <c r="B147" s="9" t="s">
        <v>4483</v>
      </c>
      <c r="C147" s="9">
        <v>1</v>
      </c>
      <c r="D147" s="9">
        <v>40</v>
      </c>
      <c r="E147" s="9">
        <f t="shared" si="2"/>
        <v>73</v>
      </c>
      <c r="F147" s="9">
        <v>20</v>
      </c>
      <c r="G147" s="9">
        <v>2</v>
      </c>
      <c r="L147" s="9">
        <v>0</v>
      </c>
      <c r="M147" s="9">
        <v>113</v>
      </c>
      <c r="R147" s="9">
        <v>1</v>
      </c>
      <c r="T147" s="9">
        <v>2</v>
      </c>
      <c r="U147">
        <v>1</v>
      </c>
      <c r="V147">
        <v>1654</v>
      </c>
      <c r="W147">
        <v>1802</v>
      </c>
      <c r="X147">
        <v>0</v>
      </c>
      <c r="Z147">
        <v>1</v>
      </c>
      <c r="AA147">
        <v>113</v>
      </c>
      <c r="AB147" s="22">
        <v>1</v>
      </c>
      <c r="AC147" s="23">
        <v>1802</v>
      </c>
      <c r="AD147" s="22">
        <v>0</v>
      </c>
      <c r="AE147" s="23">
        <v>1654</v>
      </c>
    </row>
    <row r="148" spans="1:31" x14ac:dyDescent="0.3">
      <c r="A148" s="9" t="s">
        <v>4482</v>
      </c>
      <c r="B148" s="9" t="s">
        <v>4483</v>
      </c>
      <c r="C148" s="9">
        <v>1</v>
      </c>
      <c r="D148" s="9">
        <v>40</v>
      </c>
      <c r="E148" s="9">
        <f t="shared" si="2"/>
        <v>73</v>
      </c>
      <c r="F148" s="9">
        <v>20</v>
      </c>
      <c r="G148" s="9">
        <v>2</v>
      </c>
      <c r="L148" s="9">
        <v>0</v>
      </c>
      <c r="M148" s="9">
        <v>113</v>
      </c>
      <c r="R148" s="9">
        <v>1</v>
      </c>
      <c r="T148" s="9">
        <v>2</v>
      </c>
      <c r="U148">
        <v>2</v>
      </c>
      <c r="V148">
        <v>1654</v>
      </c>
      <c r="W148">
        <v>3781</v>
      </c>
      <c r="X148">
        <v>0</v>
      </c>
      <c r="Z148">
        <v>1</v>
      </c>
      <c r="AA148">
        <v>113</v>
      </c>
      <c r="AB148" s="22">
        <v>2</v>
      </c>
      <c r="AC148" s="23">
        <v>3781</v>
      </c>
      <c r="AD148" s="22">
        <v>0</v>
      </c>
    </row>
    <row r="149" spans="1:31" x14ac:dyDescent="0.3">
      <c r="A149" s="9" t="s">
        <v>4482</v>
      </c>
      <c r="B149" s="9" t="s">
        <v>4483</v>
      </c>
      <c r="C149" s="9">
        <v>1</v>
      </c>
      <c r="D149" s="9">
        <v>40</v>
      </c>
      <c r="E149" s="9">
        <f t="shared" si="2"/>
        <v>73</v>
      </c>
      <c r="F149" s="9">
        <v>20</v>
      </c>
      <c r="G149" s="9">
        <v>2</v>
      </c>
      <c r="L149" s="9">
        <v>0</v>
      </c>
      <c r="M149" s="9">
        <v>113</v>
      </c>
      <c r="R149" s="9">
        <v>1</v>
      </c>
      <c r="T149" s="9">
        <v>2</v>
      </c>
      <c r="U149">
        <v>3</v>
      </c>
      <c r="V149">
        <v>1654</v>
      </c>
      <c r="W149">
        <v>5850</v>
      </c>
      <c r="X149">
        <v>0</v>
      </c>
      <c r="Z149">
        <v>1</v>
      </c>
      <c r="AA149">
        <v>113</v>
      </c>
      <c r="AB149" s="22">
        <v>3</v>
      </c>
      <c r="AC149" s="23">
        <v>5850</v>
      </c>
      <c r="AD149" s="22">
        <v>0</v>
      </c>
    </row>
    <row r="150" spans="1:31" x14ac:dyDescent="0.3">
      <c r="A150" s="9" t="s">
        <v>4482</v>
      </c>
      <c r="B150" s="9" t="s">
        <v>4483</v>
      </c>
      <c r="C150" s="9">
        <v>1</v>
      </c>
      <c r="D150" s="9">
        <v>40</v>
      </c>
      <c r="E150" s="9">
        <f t="shared" si="2"/>
        <v>73</v>
      </c>
      <c r="F150" s="9">
        <v>20</v>
      </c>
      <c r="G150" s="9">
        <v>2</v>
      </c>
      <c r="L150" s="9">
        <v>0</v>
      </c>
      <c r="M150" s="9">
        <v>113</v>
      </c>
      <c r="R150" s="9">
        <v>1</v>
      </c>
      <c r="T150" s="9">
        <v>2</v>
      </c>
      <c r="U150">
        <v>4</v>
      </c>
      <c r="V150">
        <v>1654</v>
      </c>
      <c r="W150">
        <v>7950</v>
      </c>
      <c r="X150">
        <v>0</v>
      </c>
      <c r="Z150">
        <v>1</v>
      </c>
      <c r="AA150">
        <v>113</v>
      </c>
      <c r="AB150" s="22">
        <v>4</v>
      </c>
      <c r="AC150" s="23">
        <v>7950</v>
      </c>
      <c r="AD150" s="22">
        <v>0</v>
      </c>
    </row>
    <row r="151" spans="1:31" x14ac:dyDescent="0.3">
      <c r="A151" s="9" t="s">
        <v>4482</v>
      </c>
      <c r="B151" s="9" t="s">
        <v>4483</v>
      </c>
      <c r="C151" s="9">
        <v>1</v>
      </c>
      <c r="D151" s="9">
        <v>40</v>
      </c>
      <c r="E151" s="9">
        <f t="shared" si="2"/>
        <v>73</v>
      </c>
      <c r="F151" s="9">
        <v>20</v>
      </c>
      <c r="G151" s="9">
        <v>2</v>
      </c>
      <c r="L151" s="9">
        <v>0</v>
      </c>
      <c r="M151" s="9">
        <v>113</v>
      </c>
      <c r="R151" s="9">
        <v>1</v>
      </c>
      <c r="T151" s="9">
        <v>2</v>
      </c>
      <c r="U151">
        <v>5</v>
      </c>
      <c r="V151">
        <v>1654</v>
      </c>
      <c r="W151">
        <v>10069</v>
      </c>
      <c r="X151">
        <v>0</v>
      </c>
      <c r="Z151">
        <v>1</v>
      </c>
      <c r="AA151">
        <v>113</v>
      </c>
      <c r="AB151" s="22">
        <v>5</v>
      </c>
      <c r="AC151" s="23">
        <v>10069</v>
      </c>
      <c r="AD151" s="22">
        <v>0</v>
      </c>
    </row>
    <row r="152" spans="1:31" x14ac:dyDescent="0.3">
      <c r="A152" s="9" t="s">
        <v>4482</v>
      </c>
      <c r="B152" s="9" t="s">
        <v>4483</v>
      </c>
      <c r="C152" s="9">
        <v>1</v>
      </c>
      <c r="D152" s="9">
        <v>40</v>
      </c>
      <c r="E152" s="9">
        <f t="shared" si="2"/>
        <v>73</v>
      </c>
      <c r="F152" s="9">
        <v>20</v>
      </c>
      <c r="G152" s="9">
        <v>2</v>
      </c>
      <c r="L152" s="9">
        <v>0</v>
      </c>
      <c r="M152" s="9">
        <v>113</v>
      </c>
      <c r="R152" s="9">
        <v>1</v>
      </c>
      <c r="T152" s="9">
        <v>2</v>
      </c>
      <c r="U152">
        <v>6</v>
      </c>
      <c r="V152">
        <v>1654</v>
      </c>
      <c r="W152">
        <v>12199</v>
      </c>
      <c r="X152">
        <v>0</v>
      </c>
      <c r="Z152">
        <v>1</v>
      </c>
      <c r="AA152">
        <v>113</v>
      </c>
      <c r="AB152" s="22">
        <v>6</v>
      </c>
      <c r="AC152" s="23">
        <v>12199</v>
      </c>
      <c r="AD152" s="22">
        <v>0</v>
      </c>
    </row>
    <row r="153" spans="1:31" x14ac:dyDescent="0.3">
      <c r="A153" s="9" t="s">
        <v>4482</v>
      </c>
      <c r="B153" s="9" t="s">
        <v>4483</v>
      </c>
      <c r="C153" s="9">
        <v>1</v>
      </c>
      <c r="D153" s="9">
        <v>40</v>
      </c>
      <c r="E153" s="9">
        <f t="shared" si="2"/>
        <v>73</v>
      </c>
      <c r="F153" s="9">
        <v>20</v>
      </c>
      <c r="G153" s="9">
        <v>2</v>
      </c>
      <c r="L153" s="9">
        <v>0</v>
      </c>
      <c r="M153" s="9">
        <v>113</v>
      </c>
      <c r="R153" s="9">
        <v>1</v>
      </c>
      <c r="T153" s="9">
        <v>2</v>
      </c>
      <c r="U153">
        <v>7</v>
      </c>
      <c r="V153">
        <v>1654</v>
      </c>
      <c r="W153">
        <v>14338</v>
      </c>
      <c r="X153">
        <v>0</v>
      </c>
      <c r="Z153">
        <v>1</v>
      </c>
      <c r="AA153">
        <v>113</v>
      </c>
      <c r="AB153" s="22">
        <v>7</v>
      </c>
      <c r="AC153" s="23">
        <v>14338</v>
      </c>
      <c r="AD153" s="22">
        <v>0</v>
      </c>
    </row>
    <row r="154" spans="1:31" x14ac:dyDescent="0.3">
      <c r="A154" s="9" t="s">
        <v>4482</v>
      </c>
      <c r="B154" s="9" t="s">
        <v>4483</v>
      </c>
      <c r="C154" s="9">
        <v>1</v>
      </c>
      <c r="D154" s="9">
        <v>40</v>
      </c>
      <c r="E154" s="9">
        <f t="shared" si="2"/>
        <v>73</v>
      </c>
      <c r="F154" s="9">
        <v>20</v>
      </c>
      <c r="G154" s="9">
        <v>2</v>
      </c>
      <c r="L154" s="9">
        <v>0</v>
      </c>
      <c r="M154" s="9">
        <v>113</v>
      </c>
      <c r="R154" s="9">
        <v>1</v>
      </c>
      <c r="T154" s="9">
        <v>2</v>
      </c>
      <c r="U154">
        <v>10</v>
      </c>
      <c r="V154">
        <v>1654</v>
      </c>
      <c r="W154">
        <v>20853</v>
      </c>
      <c r="X154">
        <v>0</v>
      </c>
      <c r="Z154">
        <v>1</v>
      </c>
      <c r="AA154">
        <v>113</v>
      </c>
      <c r="AB154" s="22">
        <v>10</v>
      </c>
      <c r="AC154" s="23">
        <v>20853</v>
      </c>
      <c r="AD154" s="22">
        <v>0</v>
      </c>
    </row>
    <row r="155" spans="1:31" x14ac:dyDescent="0.3">
      <c r="A155" s="9" t="s">
        <v>4482</v>
      </c>
      <c r="B155" s="9" t="s">
        <v>4483</v>
      </c>
      <c r="C155" s="9">
        <v>1</v>
      </c>
      <c r="D155" s="9">
        <v>40</v>
      </c>
      <c r="E155" s="9">
        <f t="shared" si="2"/>
        <v>73</v>
      </c>
      <c r="F155" s="9">
        <v>20</v>
      </c>
      <c r="G155" s="9">
        <v>2</v>
      </c>
      <c r="L155" s="9">
        <v>0</v>
      </c>
      <c r="M155" s="9">
        <v>113</v>
      </c>
      <c r="R155" s="9">
        <v>1</v>
      </c>
      <c r="T155" s="9">
        <v>2</v>
      </c>
      <c r="U155">
        <v>20</v>
      </c>
      <c r="V155">
        <v>1654</v>
      </c>
      <c r="W155">
        <v>45155</v>
      </c>
      <c r="X155">
        <v>25107</v>
      </c>
      <c r="Z155">
        <v>1</v>
      </c>
      <c r="AA155">
        <v>113</v>
      </c>
      <c r="AB155" s="22">
        <v>20</v>
      </c>
      <c r="AC155" s="23">
        <v>45155</v>
      </c>
      <c r="AD155" s="23">
        <v>25107</v>
      </c>
    </row>
    <row r="156" spans="1:31" x14ac:dyDescent="0.3">
      <c r="A156" s="9" t="s">
        <v>4482</v>
      </c>
      <c r="B156" s="9" t="s">
        <v>4483</v>
      </c>
      <c r="C156" s="9">
        <v>1</v>
      </c>
      <c r="D156" s="9">
        <v>40</v>
      </c>
      <c r="E156" s="9">
        <f t="shared" si="2"/>
        <v>73</v>
      </c>
      <c r="F156" s="9">
        <v>20</v>
      </c>
      <c r="G156" s="9">
        <v>2</v>
      </c>
      <c r="L156" s="9">
        <v>0</v>
      </c>
      <c r="M156" s="9">
        <v>113</v>
      </c>
      <c r="R156" s="9">
        <v>1</v>
      </c>
      <c r="T156" s="9">
        <v>2</v>
      </c>
      <c r="U156">
        <v>30</v>
      </c>
      <c r="V156">
        <v>1654</v>
      </c>
      <c r="W156">
        <v>57398</v>
      </c>
      <c r="X156">
        <v>30879</v>
      </c>
      <c r="Z156">
        <v>1</v>
      </c>
      <c r="AA156">
        <v>113</v>
      </c>
      <c r="AB156" s="22">
        <v>30</v>
      </c>
      <c r="AC156" s="23">
        <v>57398</v>
      </c>
      <c r="AD156" s="23">
        <v>30879</v>
      </c>
    </row>
    <row r="157" spans="1:31" x14ac:dyDescent="0.3">
      <c r="A157" s="9" t="s">
        <v>4482</v>
      </c>
      <c r="B157" s="9" t="s">
        <v>4483</v>
      </c>
      <c r="C157" s="9">
        <v>1</v>
      </c>
      <c r="D157" s="9">
        <v>40</v>
      </c>
      <c r="E157" s="9">
        <f t="shared" si="2"/>
        <v>73</v>
      </c>
      <c r="F157" s="9">
        <v>20</v>
      </c>
      <c r="G157" s="9">
        <v>2</v>
      </c>
      <c r="L157" s="9">
        <v>0</v>
      </c>
      <c r="M157" s="9">
        <v>113</v>
      </c>
      <c r="R157" s="9">
        <v>1</v>
      </c>
      <c r="T157" s="9">
        <v>2</v>
      </c>
      <c r="U157">
        <v>40</v>
      </c>
      <c r="V157">
        <v>1654</v>
      </c>
      <c r="W157">
        <v>71048</v>
      </c>
      <c r="X157">
        <v>37207</v>
      </c>
      <c r="Z157">
        <v>1</v>
      </c>
      <c r="AA157">
        <v>113</v>
      </c>
      <c r="AB157" s="22">
        <v>40</v>
      </c>
      <c r="AC157" s="23">
        <v>71048</v>
      </c>
      <c r="AD157" s="23">
        <v>37207</v>
      </c>
    </row>
    <row r="158" spans="1:31" x14ac:dyDescent="0.3">
      <c r="A158" s="9" t="s">
        <v>4482</v>
      </c>
      <c r="B158" s="9" t="s">
        <v>4483</v>
      </c>
      <c r="C158" s="9">
        <v>1</v>
      </c>
      <c r="D158" s="9">
        <v>40</v>
      </c>
      <c r="E158" s="9">
        <f t="shared" si="2"/>
        <v>73</v>
      </c>
      <c r="F158" s="9">
        <v>20</v>
      </c>
      <c r="G158" s="9">
        <v>2</v>
      </c>
      <c r="L158" s="9">
        <v>0</v>
      </c>
      <c r="M158" s="9">
        <v>113</v>
      </c>
      <c r="R158" s="9">
        <v>1</v>
      </c>
      <c r="T158" s="9">
        <v>2</v>
      </c>
      <c r="U158">
        <v>50</v>
      </c>
      <c r="V158">
        <v>1654</v>
      </c>
      <c r="W158">
        <v>83451</v>
      </c>
      <c r="X158">
        <v>42809</v>
      </c>
      <c r="Z158">
        <v>1</v>
      </c>
      <c r="AA158">
        <v>113</v>
      </c>
      <c r="AB158" s="22">
        <v>50</v>
      </c>
      <c r="AC158" s="23">
        <v>83451</v>
      </c>
      <c r="AD158" s="23">
        <v>42809</v>
      </c>
    </row>
    <row r="159" spans="1:31" x14ac:dyDescent="0.3">
      <c r="A159" s="9" t="s">
        <v>4482</v>
      </c>
      <c r="B159" s="9" t="s">
        <v>4483</v>
      </c>
      <c r="C159" s="9">
        <v>1</v>
      </c>
      <c r="D159" s="9">
        <v>40</v>
      </c>
      <c r="E159" s="9">
        <f t="shared" si="2"/>
        <v>73</v>
      </c>
      <c r="F159" s="9">
        <v>20</v>
      </c>
      <c r="G159" s="9">
        <v>2</v>
      </c>
      <c r="L159" s="9">
        <v>0</v>
      </c>
      <c r="M159" s="9">
        <v>113</v>
      </c>
      <c r="R159" s="9">
        <v>1</v>
      </c>
      <c r="T159" s="9">
        <v>2</v>
      </c>
      <c r="U159">
        <v>60</v>
      </c>
      <c r="V159">
        <v>1654</v>
      </c>
      <c r="W159">
        <v>91409</v>
      </c>
      <c r="X159">
        <v>46339</v>
      </c>
      <c r="Z159">
        <v>1</v>
      </c>
      <c r="AA159">
        <v>113</v>
      </c>
      <c r="AB159" s="22">
        <v>60</v>
      </c>
      <c r="AC159" s="23">
        <v>91409</v>
      </c>
      <c r="AD159" s="23">
        <v>46339</v>
      </c>
    </row>
    <row r="160" spans="1:31" x14ac:dyDescent="0.3">
      <c r="A160" s="9" t="s">
        <v>4482</v>
      </c>
      <c r="B160" s="9" t="s">
        <v>4483</v>
      </c>
      <c r="C160" s="9">
        <v>2</v>
      </c>
      <c r="D160" s="9">
        <v>40</v>
      </c>
      <c r="E160" s="9">
        <f t="shared" si="2"/>
        <v>73</v>
      </c>
      <c r="F160" s="9">
        <v>20</v>
      </c>
      <c r="G160" s="9">
        <v>2</v>
      </c>
      <c r="L160" s="9">
        <v>0</v>
      </c>
      <c r="M160" s="9">
        <v>113</v>
      </c>
      <c r="U160">
        <v>1</v>
      </c>
      <c r="V160">
        <v>1995</v>
      </c>
      <c r="W160">
        <v>1984</v>
      </c>
      <c r="X160">
        <v>0</v>
      </c>
      <c r="Z160">
        <v>2</v>
      </c>
      <c r="AA160">
        <v>113</v>
      </c>
      <c r="AB160" s="22">
        <v>1</v>
      </c>
      <c r="AC160" s="23">
        <v>1984</v>
      </c>
      <c r="AD160" s="22">
        <v>0</v>
      </c>
      <c r="AE160" s="23">
        <v>1995</v>
      </c>
    </row>
    <row r="161" spans="1:31" x14ac:dyDescent="0.3">
      <c r="A161" s="9" t="s">
        <v>4482</v>
      </c>
      <c r="B161" s="9" t="s">
        <v>4483</v>
      </c>
      <c r="C161" s="9">
        <v>2</v>
      </c>
      <c r="D161" s="9">
        <v>40</v>
      </c>
      <c r="E161" s="9">
        <f t="shared" si="2"/>
        <v>73</v>
      </c>
      <c r="F161" s="9">
        <v>20</v>
      </c>
      <c r="G161" s="9">
        <v>2</v>
      </c>
      <c r="L161" s="9">
        <v>0</v>
      </c>
      <c r="M161" s="9">
        <v>113</v>
      </c>
      <c r="U161">
        <v>2</v>
      </c>
      <c r="V161">
        <v>1995</v>
      </c>
      <c r="W161">
        <v>4017</v>
      </c>
      <c r="X161">
        <v>1923</v>
      </c>
      <c r="Z161">
        <v>2</v>
      </c>
      <c r="AA161">
        <v>113</v>
      </c>
      <c r="AB161" s="22">
        <v>2</v>
      </c>
      <c r="AC161" s="23">
        <v>4017</v>
      </c>
      <c r="AD161" s="23">
        <v>1923</v>
      </c>
    </row>
    <row r="162" spans="1:31" x14ac:dyDescent="0.3">
      <c r="A162" s="9" t="s">
        <v>4482</v>
      </c>
      <c r="B162" s="9" t="s">
        <v>4483</v>
      </c>
      <c r="C162" s="9">
        <v>2</v>
      </c>
      <c r="D162" s="9">
        <v>40</v>
      </c>
      <c r="E162" s="9">
        <f t="shared" si="2"/>
        <v>73</v>
      </c>
      <c r="F162" s="9">
        <v>20</v>
      </c>
      <c r="G162" s="9">
        <v>2</v>
      </c>
      <c r="L162" s="9">
        <v>0</v>
      </c>
      <c r="M162" s="9">
        <v>113</v>
      </c>
      <c r="U162">
        <v>3</v>
      </c>
      <c r="V162">
        <v>1995</v>
      </c>
      <c r="W162">
        <v>6100</v>
      </c>
      <c r="X162">
        <v>4425</v>
      </c>
      <c r="Z162">
        <v>2</v>
      </c>
      <c r="AA162">
        <v>113</v>
      </c>
      <c r="AB162" s="22">
        <v>3</v>
      </c>
      <c r="AC162" s="23">
        <v>6100</v>
      </c>
      <c r="AD162" s="23">
        <v>4425</v>
      </c>
    </row>
    <row r="163" spans="1:31" x14ac:dyDescent="0.3">
      <c r="A163" s="9" t="s">
        <v>4482</v>
      </c>
      <c r="B163" s="9" t="s">
        <v>4483</v>
      </c>
      <c r="C163" s="9">
        <v>2</v>
      </c>
      <c r="D163" s="9">
        <v>40</v>
      </c>
      <c r="E163" s="9">
        <f t="shared" si="2"/>
        <v>73</v>
      </c>
      <c r="F163" s="9">
        <v>20</v>
      </c>
      <c r="G163" s="9">
        <v>2</v>
      </c>
      <c r="L163" s="9">
        <v>0</v>
      </c>
      <c r="M163" s="9">
        <v>113</v>
      </c>
      <c r="U163">
        <v>4</v>
      </c>
      <c r="V163">
        <v>1995</v>
      </c>
      <c r="W163">
        <v>8232</v>
      </c>
      <c r="X163">
        <v>6976</v>
      </c>
      <c r="Z163">
        <v>2</v>
      </c>
      <c r="AA163">
        <v>113</v>
      </c>
      <c r="AB163" s="22">
        <v>4</v>
      </c>
      <c r="AC163" s="23">
        <v>8232</v>
      </c>
      <c r="AD163" s="23">
        <v>6976</v>
      </c>
    </row>
    <row r="164" spans="1:31" x14ac:dyDescent="0.3">
      <c r="A164" s="9" t="s">
        <v>4482</v>
      </c>
      <c r="B164" s="9" t="s">
        <v>4483</v>
      </c>
      <c r="C164" s="9">
        <v>2</v>
      </c>
      <c r="D164" s="9">
        <v>40</v>
      </c>
      <c r="E164" s="9">
        <f t="shared" si="2"/>
        <v>73</v>
      </c>
      <c r="F164" s="9">
        <v>20</v>
      </c>
      <c r="G164" s="9">
        <v>2</v>
      </c>
      <c r="L164" s="9">
        <v>0</v>
      </c>
      <c r="M164" s="9">
        <v>113</v>
      </c>
      <c r="U164">
        <v>5</v>
      </c>
      <c r="V164">
        <v>1995</v>
      </c>
      <c r="W164">
        <v>10416</v>
      </c>
      <c r="X164">
        <v>9579</v>
      </c>
      <c r="Z164">
        <v>2</v>
      </c>
      <c r="AA164">
        <v>113</v>
      </c>
      <c r="AB164" s="22">
        <v>5</v>
      </c>
      <c r="AC164" s="23">
        <v>10416</v>
      </c>
      <c r="AD164" s="23">
        <v>9579</v>
      </c>
    </row>
    <row r="165" spans="1:31" x14ac:dyDescent="0.3">
      <c r="A165" s="9" t="s">
        <v>4482</v>
      </c>
      <c r="B165" s="9" t="s">
        <v>4483</v>
      </c>
      <c r="C165" s="9">
        <v>2</v>
      </c>
      <c r="D165" s="9">
        <v>40</v>
      </c>
      <c r="E165" s="9">
        <f t="shared" si="2"/>
        <v>73</v>
      </c>
      <c r="F165" s="9">
        <v>20</v>
      </c>
      <c r="G165" s="9">
        <v>2</v>
      </c>
      <c r="L165" s="9">
        <v>0</v>
      </c>
      <c r="M165" s="9">
        <v>113</v>
      </c>
      <c r="U165">
        <v>6</v>
      </c>
      <c r="V165">
        <v>1995</v>
      </c>
      <c r="W165">
        <v>12651</v>
      </c>
      <c r="X165">
        <v>12232</v>
      </c>
      <c r="Z165">
        <v>2</v>
      </c>
      <c r="AA165">
        <v>113</v>
      </c>
      <c r="AB165" s="22">
        <v>6</v>
      </c>
      <c r="AC165" s="23">
        <v>12651</v>
      </c>
      <c r="AD165" s="23">
        <v>12232</v>
      </c>
    </row>
    <row r="166" spans="1:31" x14ac:dyDescent="0.3">
      <c r="A166" s="9" t="s">
        <v>4482</v>
      </c>
      <c r="B166" s="9" t="s">
        <v>4483</v>
      </c>
      <c r="C166" s="9">
        <v>2</v>
      </c>
      <c r="D166" s="9">
        <v>40</v>
      </c>
      <c r="E166" s="9">
        <f t="shared" si="2"/>
        <v>73</v>
      </c>
      <c r="F166" s="9">
        <v>20</v>
      </c>
      <c r="G166" s="9">
        <v>2</v>
      </c>
      <c r="L166" s="9">
        <v>0</v>
      </c>
      <c r="M166" s="9">
        <v>113</v>
      </c>
      <c r="U166">
        <v>7</v>
      </c>
      <c r="V166">
        <v>1995</v>
      </c>
      <c r="W166">
        <v>14941</v>
      </c>
      <c r="X166">
        <v>14941</v>
      </c>
      <c r="Z166">
        <v>2</v>
      </c>
      <c r="AA166">
        <v>113</v>
      </c>
      <c r="AB166" s="22">
        <v>7</v>
      </c>
      <c r="AC166" s="23">
        <v>14941</v>
      </c>
      <c r="AD166" s="23">
        <v>14941</v>
      </c>
    </row>
    <row r="167" spans="1:31" x14ac:dyDescent="0.3">
      <c r="A167" s="9" t="s">
        <v>4482</v>
      </c>
      <c r="B167" s="9" t="s">
        <v>4483</v>
      </c>
      <c r="C167" s="9">
        <v>2</v>
      </c>
      <c r="D167" s="9">
        <v>40</v>
      </c>
      <c r="E167" s="9">
        <f t="shared" si="2"/>
        <v>73</v>
      </c>
      <c r="F167" s="9">
        <v>20</v>
      </c>
      <c r="G167" s="9">
        <v>2</v>
      </c>
      <c r="L167" s="9">
        <v>0</v>
      </c>
      <c r="M167" s="9">
        <v>113</v>
      </c>
      <c r="U167">
        <v>10</v>
      </c>
      <c r="V167">
        <v>1995</v>
      </c>
      <c r="W167">
        <v>22142</v>
      </c>
      <c r="X167">
        <v>22142</v>
      </c>
      <c r="Z167">
        <v>2</v>
      </c>
      <c r="AA167">
        <v>113</v>
      </c>
      <c r="AB167" s="22">
        <v>10</v>
      </c>
      <c r="AC167" s="23">
        <v>22142</v>
      </c>
      <c r="AD167" s="23">
        <v>22142</v>
      </c>
    </row>
    <row r="168" spans="1:31" x14ac:dyDescent="0.3">
      <c r="A168" s="9" t="s">
        <v>4482</v>
      </c>
      <c r="B168" s="9" t="s">
        <v>4483</v>
      </c>
      <c r="C168" s="9">
        <v>2</v>
      </c>
      <c r="D168" s="9">
        <v>40</v>
      </c>
      <c r="E168" s="9">
        <f t="shared" si="2"/>
        <v>73</v>
      </c>
      <c r="F168" s="9">
        <v>20</v>
      </c>
      <c r="G168" s="9">
        <v>2</v>
      </c>
      <c r="L168" s="9">
        <v>0</v>
      </c>
      <c r="M168" s="9">
        <v>113</v>
      </c>
      <c r="U168">
        <v>20</v>
      </c>
      <c r="V168">
        <v>1995</v>
      </c>
      <c r="W168">
        <v>50214</v>
      </c>
      <c r="X168">
        <v>50214</v>
      </c>
      <c r="Z168">
        <v>2</v>
      </c>
      <c r="AA168">
        <v>113</v>
      </c>
      <c r="AB168" s="22">
        <v>20</v>
      </c>
      <c r="AC168" s="23">
        <v>50214</v>
      </c>
      <c r="AD168" s="23">
        <v>50214</v>
      </c>
    </row>
    <row r="169" spans="1:31" x14ac:dyDescent="0.3">
      <c r="A169" s="9" t="s">
        <v>4482</v>
      </c>
      <c r="B169" s="9" t="s">
        <v>4483</v>
      </c>
      <c r="C169" s="9">
        <v>2</v>
      </c>
      <c r="D169" s="9">
        <v>40</v>
      </c>
      <c r="E169" s="9">
        <f t="shared" si="2"/>
        <v>73</v>
      </c>
      <c r="F169" s="9">
        <v>20</v>
      </c>
      <c r="G169" s="9">
        <v>2</v>
      </c>
      <c r="L169" s="9">
        <v>0</v>
      </c>
      <c r="M169" s="9">
        <v>113</v>
      </c>
      <c r="U169">
        <v>30</v>
      </c>
      <c r="V169">
        <v>1995</v>
      </c>
      <c r="W169">
        <v>61757</v>
      </c>
      <c r="X169">
        <v>61757</v>
      </c>
      <c r="Z169">
        <v>2</v>
      </c>
      <c r="AA169">
        <v>113</v>
      </c>
      <c r="AB169" s="22">
        <v>30</v>
      </c>
      <c r="AC169" s="23">
        <v>61757</v>
      </c>
      <c r="AD169" s="23">
        <v>61757</v>
      </c>
    </row>
    <row r="170" spans="1:31" x14ac:dyDescent="0.3">
      <c r="A170" s="9" t="s">
        <v>4482</v>
      </c>
      <c r="B170" s="9" t="s">
        <v>4483</v>
      </c>
      <c r="C170" s="9">
        <v>2</v>
      </c>
      <c r="D170" s="9">
        <v>40</v>
      </c>
      <c r="E170" s="9">
        <f t="shared" si="2"/>
        <v>73</v>
      </c>
      <c r="F170" s="9">
        <v>20</v>
      </c>
      <c r="G170" s="9">
        <v>2</v>
      </c>
      <c r="L170" s="9">
        <v>0</v>
      </c>
      <c r="M170" s="9">
        <v>113</v>
      </c>
      <c r="U170">
        <v>40</v>
      </c>
      <c r="V170">
        <v>1995</v>
      </c>
      <c r="W170">
        <v>74413</v>
      </c>
      <c r="X170">
        <v>74413</v>
      </c>
      <c r="Z170">
        <v>2</v>
      </c>
      <c r="AA170">
        <v>113</v>
      </c>
      <c r="AB170" s="22">
        <v>40</v>
      </c>
      <c r="AC170" s="23">
        <v>74413</v>
      </c>
      <c r="AD170" s="23">
        <v>74413</v>
      </c>
    </row>
    <row r="171" spans="1:31" x14ac:dyDescent="0.3">
      <c r="A171" s="9" t="s">
        <v>4482</v>
      </c>
      <c r="B171" s="9" t="s">
        <v>4483</v>
      </c>
      <c r="C171" s="9">
        <v>2</v>
      </c>
      <c r="D171" s="9">
        <v>40</v>
      </c>
      <c r="E171" s="9">
        <f t="shared" si="2"/>
        <v>73</v>
      </c>
      <c r="F171" s="9">
        <v>20</v>
      </c>
      <c r="G171" s="9">
        <v>2</v>
      </c>
      <c r="L171" s="9">
        <v>0</v>
      </c>
      <c r="M171" s="9">
        <v>113</v>
      </c>
      <c r="U171">
        <v>50</v>
      </c>
      <c r="V171">
        <v>1995</v>
      </c>
      <c r="W171">
        <v>85618</v>
      </c>
      <c r="X171">
        <v>85618</v>
      </c>
      <c r="Z171">
        <v>2</v>
      </c>
      <c r="AA171">
        <v>113</v>
      </c>
      <c r="AB171" s="22">
        <v>50</v>
      </c>
      <c r="AC171" s="23">
        <v>85618</v>
      </c>
      <c r="AD171" s="23">
        <v>85618</v>
      </c>
    </row>
    <row r="172" spans="1:31" x14ac:dyDescent="0.3">
      <c r="A172" s="9" t="s">
        <v>4482</v>
      </c>
      <c r="B172" s="9" t="s">
        <v>4483</v>
      </c>
      <c r="C172" s="9">
        <v>2</v>
      </c>
      <c r="D172" s="9">
        <v>40</v>
      </c>
      <c r="E172" s="9">
        <f t="shared" si="2"/>
        <v>73</v>
      </c>
      <c r="F172" s="9">
        <v>20</v>
      </c>
      <c r="G172" s="9">
        <v>2</v>
      </c>
      <c r="L172" s="9">
        <v>0</v>
      </c>
      <c r="M172" s="9">
        <v>113</v>
      </c>
      <c r="U172">
        <v>60</v>
      </c>
      <c r="V172">
        <v>1995</v>
      </c>
      <c r="W172">
        <v>92678</v>
      </c>
      <c r="X172">
        <v>92678</v>
      </c>
      <c r="Z172">
        <v>2</v>
      </c>
      <c r="AA172">
        <v>113</v>
      </c>
      <c r="AB172" s="22">
        <v>60</v>
      </c>
      <c r="AC172" s="23">
        <v>92678</v>
      </c>
      <c r="AD172" s="23">
        <v>92678</v>
      </c>
    </row>
    <row r="173" spans="1:31" x14ac:dyDescent="0.3">
      <c r="A173" s="9" t="s">
        <v>4482</v>
      </c>
      <c r="B173" s="9" t="s">
        <v>4483</v>
      </c>
      <c r="C173" s="9">
        <v>1</v>
      </c>
      <c r="D173" s="9">
        <v>40</v>
      </c>
      <c r="E173" s="9">
        <f t="shared" si="2"/>
        <v>40</v>
      </c>
      <c r="F173" s="9">
        <v>20</v>
      </c>
      <c r="G173" s="9">
        <v>2</v>
      </c>
      <c r="L173" s="9">
        <v>0</v>
      </c>
      <c r="M173" s="9">
        <v>80</v>
      </c>
      <c r="R173" s="9">
        <v>1</v>
      </c>
      <c r="T173" s="9">
        <v>2</v>
      </c>
      <c r="U173">
        <v>1</v>
      </c>
      <c r="V173">
        <v>455</v>
      </c>
      <c r="W173">
        <v>448</v>
      </c>
      <c r="X173">
        <v>0</v>
      </c>
      <c r="Z173">
        <v>1</v>
      </c>
      <c r="AA173">
        <v>80</v>
      </c>
      <c r="AB173" s="22">
        <v>1</v>
      </c>
      <c r="AC173" s="22">
        <v>448</v>
      </c>
      <c r="AD173" s="22">
        <v>0</v>
      </c>
      <c r="AE173" s="22">
        <v>455</v>
      </c>
    </row>
    <row r="174" spans="1:31" x14ac:dyDescent="0.3">
      <c r="A174" s="9" t="s">
        <v>4482</v>
      </c>
      <c r="B174" s="9" t="s">
        <v>4483</v>
      </c>
      <c r="C174" s="9">
        <v>1</v>
      </c>
      <c r="D174" s="9">
        <v>40</v>
      </c>
      <c r="E174" s="9">
        <f t="shared" si="2"/>
        <v>40</v>
      </c>
      <c r="F174" s="9">
        <v>20</v>
      </c>
      <c r="G174" s="9">
        <v>2</v>
      </c>
      <c r="L174" s="9">
        <v>0</v>
      </c>
      <c r="M174" s="9">
        <v>80</v>
      </c>
      <c r="R174" s="9">
        <v>1</v>
      </c>
      <c r="T174" s="9">
        <v>2</v>
      </c>
      <c r="U174">
        <v>2</v>
      </c>
      <c r="V174">
        <v>455</v>
      </c>
      <c r="W174">
        <v>938</v>
      </c>
      <c r="X174">
        <v>0</v>
      </c>
      <c r="Z174">
        <v>1</v>
      </c>
      <c r="AA174">
        <v>80</v>
      </c>
      <c r="AB174" s="22">
        <v>2</v>
      </c>
      <c r="AC174" s="22">
        <v>938</v>
      </c>
      <c r="AD174" s="22">
        <v>0</v>
      </c>
    </row>
    <row r="175" spans="1:31" x14ac:dyDescent="0.3">
      <c r="A175" s="9" t="s">
        <v>4482</v>
      </c>
      <c r="B175" s="9" t="s">
        <v>4483</v>
      </c>
      <c r="C175" s="9">
        <v>1</v>
      </c>
      <c r="D175" s="9">
        <v>40</v>
      </c>
      <c r="E175" s="9">
        <f t="shared" si="2"/>
        <v>40</v>
      </c>
      <c r="F175" s="9">
        <v>20</v>
      </c>
      <c r="G175" s="9">
        <v>2</v>
      </c>
      <c r="L175" s="9">
        <v>0</v>
      </c>
      <c r="M175" s="9">
        <v>80</v>
      </c>
      <c r="R175" s="9">
        <v>1</v>
      </c>
      <c r="T175" s="9">
        <v>2</v>
      </c>
      <c r="U175">
        <v>3</v>
      </c>
      <c r="V175">
        <v>455</v>
      </c>
      <c r="W175">
        <v>1448</v>
      </c>
      <c r="X175">
        <v>0</v>
      </c>
      <c r="Z175">
        <v>1</v>
      </c>
      <c r="AA175">
        <v>80</v>
      </c>
      <c r="AB175" s="22">
        <v>3</v>
      </c>
      <c r="AC175" s="23">
        <v>1448</v>
      </c>
      <c r="AD175" s="22">
        <v>0</v>
      </c>
    </row>
    <row r="176" spans="1:31" x14ac:dyDescent="0.3">
      <c r="A176" s="9" t="s">
        <v>4482</v>
      </c>
      <c r="B176" s="9" t="s">
        <v>4483</v>
      </c>
      <c r="C176" s="9">
        <v>1</v>
      </c>
      <c r="D176" s="9">
        <v>40</v>
      </c>
      <c r="E176" s="9">
        <f t="shared" si="2"/>
        <v>40</v>
      </c>
      <c r="F176" s="9">
        <v>20</v>
      </c>
      <c r="G176" s="9">
        <v>2</v>
      </c>
      <c r="L176" s="9">
        <v>0</v>
      </c>
      <c r="M176" s="9">
        <v>80</v>
      </c>
      <c r="R176" s="9">
        <v>1</v>
      </c>
      <c r="T176" s="9">
        <v>2</v>
      </c>
      <c r="U176">
        <v>4</v>
      </c>
      <c r="V176">
        <v>455</v>
      </c>
      <c r="W176">
        <v>1962</v>
      </c>
      <c r="X176">
        <v>0</v>
      </c>
      <c r="Z176">
        <v>1</v>
      </c>
      <c r="AA176">
        <v>80</v>
      </c>
      <c r="AB176" s="22">
        <v>4</v>
      </c>
      <c r="AC176" s="23">
        <v>1962</v>
      </c>
      <c r="AD176" s="22">
        <v>0</v>
      </c>
    </row>
    <row r="177" spans="1:31" x14ac:dyDescent="0.3">
      <c r="A177" s="9" t="s">
        <v>4482</v>
      </c>
      <c r="B177" s="9" t="s">
        <v>4483</v>
      </c>
      <c r="C177" s="9">
        <v>1</v>
      </c>
      <c r="D177" s="9">
        <v>40</v>
      </c>
      <c r="E177" s="9">
        <f t="shared" si="2"/>
        <v>40</v>
      </c>
      <c r="F177" s="9">
        <v>20</v>
      </c>
      <c r="G177" s="9">
        <v>2</v>
      </c>
      <c r="L177" s="9">
        <v>0</v>
      </c>
      <c r="M177" s="9">
        <v>80</v>
      </c>
      <c r="R177" s="9">
        <v>1</v>
      </c>
      <c r="T177" s="9">
        <v>2</v>
      </c>
      <c r="U177">
        <v>5</v>
      </c>
      <c r="V177">
        <v>455</v>
      </c>
      <c r="W177">
        <v>2477</v>
      </c>
      <c r="X177">
        <v>0</v>
      </c>
      <c r="Z177">
        <v>1</v>
      </c>
      <c r="AA177">
        <v>80</v>
      </c>
      <c r="AB177" s="22">
        <v>5</v>
      </c>
      <c r="AC177" s="23">
        <v>2477</v>
      </c>
      <c r="AD177" s="22">
        <v>0</v>
      </c>
    </row>
    <row r="178" spans="1:31" x14ac:dyDescent="0.3">
      <c r="A178" s="9" t="s">
        <v>4482</v>
      </c>
      <c r="B178" s="9" t="s">
        <v>4483</v>
      </c>
      <c r="C178" s="9">
        <v>1</v>
      </c>
      <c r="D178" s="9">
        <v>40</v>
      </c>
      <c r="E178" s="9">
        <f t="shared" si="2"/>
        <v>40</v>
      </c>
      <c r="F178" s="9">
        <v>20</v>
      </c>
      <c r="G178" s="9">
        <v>2</v>
      </c>
      <c r="L178" s="9">
        <v>0</v>
      </c>
      <c r="M178" s="9">
        <v>80</v>
      </c>
      <c r="R178" s="9">
        <v>1</v>
      </c>
      <c r="T178" s="9">
        <v>2</v>
      </c>
      <c r="U178">
        <v>6</v>
      </c>
      <c r="V178">
        <v>455</v>
      </c>
      <c r="W178">
        <v>2990</v>
      </c>
      <c r="X178">
        <v>0</v>
      </c>
      <c r="Z178">
        <v>1</v>
      </c>
      <c r="AA178">
        <v>80</v>
      </c>
      <c r="AB178" s="22">
        <v>6</v>
      </c>
      <c r="AC178" s="23">
        <v>2990</v>
      </c>
      <c r="AD178" s="22">
        <v>0</v>
      </c>
    </row>
    <row r="179" spans="1:31" x14ac:dyDescent="0.3">
      <c r="A179" s="9" t="s">
        <v>4482</v>
      </c>
      <c r="B179" s="9" t="s">
        <v>4483</v>
      </c>
      <c r="C179" s="9">
        <v>1</v>
      </c>
      <c r="D179" s="9">
        <v>40</v>
      </c>
      <c r="E179" s="9">
        <f t="shared" si="2"/>
        <v>40</v>
      </c>
      <c r="F179" s="9">
        <v>20</v>
      </c>
      <c r="G179" s="9">
        <v>2</v>
      </c>
      <c r="L179" s="9">
        <v>0</v>
      </c>
      <c r="M179" s="9">
        <v>80</v>
      </c>
      <c r="R179" s="9">
        <v>1</v>
      </c>
      <c r="T179" s="9">
        <v>2</v>
      </c>
      <c r="U179">
        <v>7</v>
      </c>
      <c r="V179">
        <v>455</v>
      </c>
      <c r="W179">
        <v>3501</v>
      </c>
      <c r="X179">
        <v>0</v>
      </c>
      <c r="Z179">
        <v>1</v>
      </c>
      <c r="AA179">
        <v>80</v>
      </c>
      <c r="AB179" s="22">
        <v>7</v>
      </c>
      <c r="AC179" s="23">
        <v>3501</v>
      </c>
      <c r="AD179" s="22">
        <v>0</v>
      </c>
    </row>
    <row r="180" spans="1:31" x14ac:dyDescent="0.3">
      <c r="A180" s="9" t="s">
        <v>4482</v>
      </c>
      <c r="B180" s="9" t="s">
        <v>4483</v>
      </c>
      <c r="C180" s="9">
        <v>1</v>
      </c>
      <c r="D180" s="9">
        <v>40</v>
      </c>
      <c r="E180" s="9">
        <f t="shared" si="2"/>
        <v>40</v>
      </c>
      <c r="F180" s="9">
        <v>20</v>
      </c>
      <c r="G180" s="9">
        <v>2</v>
      </c>
      <c r="L180" s="9">
        <v>0</v>
      </c>
      <c r="M180" s="9">
        <v>80</v>
      </c>
      <c r="R180" s="9">
        <v>1</v>
      </c>
      <c r="T180" s="9">
        <v>2</v>
      </c>
      <c r="U180">
        <v>10</v>
      </c>
      <c r="V180">
        <v>455</v>
      </c>
      <c r="W180">
        <v>5032</v>
      </c>
      <c r="X180">
        <v>0</v>
      </c>
      <c r="Z180">
        <v>1</v>
      </c>
      <c r="AA180">
        <v>80</v>
      </c>
      <c r="AB180" s="22">
        <v>10</v>
      </c>
      <c r="AC180" s="23">
        <v>5032</v>
      </c>
      <c r="AD180" s="22">
        <v>0</v>
      </c>
    </row>
    <row r="181" spans="1:31" x14ac:dyDescent="0.3">
      <c r="A181" s="9" t="s">
        <v>4482</v>
      </c>
      <c r="B181" s="9" t="s">
        <v>4483</v>
      </c>
      <c r="C181" s="9">
        <v>1</v>
      </c>
      <c r="D181" s="9">
        <v>40</v>
      </c>
      <c r="E181" s="9">
        <f t="shared" si="2"/>
        <v>40</v>
      </c>
      <c r="F181" s="9">
        <v>20</v>
      </c>
      <c r="G181" s="9">
        <v>2</v>
      </c>
      <c r="L181" s="9">
        <v>0</v>
      </c>
      <c r="M181" s="9">
        <v>80</v>
      </c>
      <c r="R181" s="9">
        <v>1</v>
      </c>
      <c r="T181" s="9">
        <v>2</v>
      </c>
      <c r="U181">
        <v>20</v>
      </c>
      <c r="V181">
        <v>455</v>
      </c>
      <c r="W181">
        <v>10292</v>
      </c>
      <c r="X181">
        <v>5413</v>
      </c>
      <c r="Z181">
        <v>1</v>
      </c>
      <c r="AA181">
        <v>80</v>
      </c>
      <c r="AB181" s="22">
        <v>20</v>
      </c>
      <c r="AC181" s="23">
        <v>10292</v>
      </c>
      <c r="AD181" s="23">
        <v>5413</v>
      </c>
    </row>
    <row r="182" spans="1:31" x14ac:dyDescent="0.3">
      <c r="A182" s="9" t="s">
        <v>4482</v>
      </c>
      <c r="B182" s="9" t="s">
        <v>4483</v>
      </c>
      <c r="C182" s="9">
        <v>1</v>
      </c>
      <c r="D182" s="9">
        <v>40</v>
      </c>
      <c r="E182" s="9">
        <f t="shared" si="2"/>
        <v>40</v>
      </c>
      <c r="F182" s="9">
        <v>20</v>
      </c>
      <c r="G182" s="9">
        <v>2</v>
      </c>
      <c r="L182" s="9">
        <v>0</v>
      </c>
      <c r="M182" s="9">
        <v>80</v>
      </c>
      <c r="R182" s="9">
        <v>1</v>
      </c>
      <c r="T182" s="9">
        <v>2</v>
      </c>
      <c r="U182">
        <v>30</v>
      </c>
      <c r="V182">
        <v>455</v>
      </c>
      <c r="W182">
        <v>9432</v>
      </c>
      <c r="X182">
        <v>4820</v>
      </c>
      <c r="Z182">
        <v>1</v>
      </c>
      <c r="AA182">
        <v>80</v>
      </c>
      <c r="AB182" s="22">
        <v>30</v>
      </c>
      <c r="AC182" s="23">
        <v>9432</v>
      </c>
      <c r="AD182" s="23">
        <v>4820</v>
      </c>
    </row>
    <row r="183" spans="1:31" x14ac:dyDescent="0.3">
      <c r="A183" s="9" t="s">
        <v>4482</v>
      </c>
      <c r="B183" s="9" t="s">
        <v>4483</v>
      </c>
      <c r="C183" s="9">
        <v>1</v>
      </c>
      <c r="D183" s="9">
        <v>40</v>
      </c>
      <c r="E183" s="9">
        <f t="shared" si="2"/>
        <v>40</v>
      </c>
      <c r="F183" s="9">
        <v>20</v>
      </c>
      <c r="G183" s="9">
        <v>2</v>
      </c>
      <c r="L183" s="9">
        <v>0</v>
      </c>
      <c r="M183" s="9">
        <v>80</v>
      </c>
      <c r="R183" s="9">
        <v>1</v>
      </c>
      <c r="T183" s="9">
        <v>2</v>
      </c>
      <c r="U183">
        <v>40</v>
      </c>
      <c r="V183">
        <v>455</v>
      </c>
      <c r="W183">
        <v>0</v>
      </c>
      <c r="X183">
        <v>0</v>
      </c>
      <c r="Z183">
        <v>1</v>
      </c>
      <c r="AA183">
        <v>80</v>
      </c>
      <c r="AB183" s="22">
        <v>40</v>
      </c>
      <c r="AC183" s="22">
        <v>0</v>
      </c>
      <c r="AD183" s="22">
        <v>0</v>
      </c>
    </row>
    <row r="184" spans="1:31" x14ac:dyDescent="0.3">
      <c r="A184" s="9" t="s">
        <v>4482</v>
      </c>
      <c r="B184" s="9" t="s">
        <v>4483</v>
      </c>
      <c r="C184" s="9">
        <v>2</v>
      </c>
      <c r="D184" s="9">
        <v>40</v>
      </c>
      <c r="E184" s="9">
        <f t="shared" si="2"/>
        <v>40</v>
      </c>
      <c r="F184" s="9">
        <v>20</v>
      </c>
      <c r="G184" s="9">
        <v>2</v>
      </c>
      <c r="L184" s="9">
        <v>0</v>
      </c>
      <c r="M184" s="9">
        <v>80</v>
      </c>
      <c r="U184">
        <v>1</v>
      </c>
      <c r="V184">
        <v>512</v>
      </c>
      <c r="W184">
        <v>463</v>
      </c>
      <c r="X184">
        <v>0</v>
      </c>
      <c r="Z184">
        <v>2</v>
      </c>
      <c r="AA184">
        <v>80</v>
      </c>
      <c r="AB184" s="22">
        <v>1</v>
      </c>
      <c r="AC184" s="22">
        <v>463</v>
      </c>
      <c r="AD184" s="22">
        <v>0</v>
      </c>
      <c r="AE184" s="22">
        <v>512</v>
      </c>
    </row>
    <row r="185" spans="1:31" x14ac:dyDescent="0.3">
      <c r="A185" s="9" t="s">
        <v>4482</v>
      </c>
      <c r="B185" s="9" t="s">
        <v>4483</v>
      </c>
      <c r="C185" s="9">
        <v>2</v>
      </c>
      <c r="D185" s="9">
        <v>40</v>
      </c>
      <c r="E185" s="9">
        <f t="shared" si="2"/>
        <v>40</v>
      </c>
      <c r="F185" s="9">
        <v>20</v>
      </c>
      <c r="G185" s="9">
        <v>2</v>
      </c>
      <c r="L185" s="9">
        <v>0</v>
      </c>
      <c r="M185" s="9">
        <v>80</v>
      </c>
      <c r="U185">
        <v>2</v>
      </c>
      <c r="V185">
        <v>512</v>
      </c>
      <c r="W185">
        <v>936</v>
      </c>
      <c r="X185">
        <v>0</v>
      </c>
      <c r="Z185">
        <v>2</v>
      </c>
      <c r="AA185">
        <v>80</v>
      </c>
      <c r="AB185" s="22">
        <v>2</v>
      </c>
      <c r="AC185" s="22">
        <v>936</v>
      </c>
      <c r="AD185" s="22">
        <v>0</v>
      </c>
    </row>
    <row r="186" spans="1:31" x14ac:dyDescent="0.3">
      <c r="A186" s="9" t="s">
        <v>4482</v>
      </c>
      <c r="B186" s="9" t="s">
        <v>4483</v>
      </c>
      <c r="C186" s="9">
        <v>2</v>
      </c>
      <c r="D186" s="9">
        <v>40</v>
      </c>
      <c r="E186" s="9">
        <f t="shared" si="2"/>
        <v>40</v>
      </c>
      <c r="F186" s="9">
        <v>20</v>
      </c>
      <c r="G186" s="9">
        <v>2</v>
      </c>
      <c r="L186" s="9">
        <v>0</v>
      </c>
      <c r="M186" s="9">
        <v>80</v>
      </c>
      <c r="U186">
        <v>3</v>
      </c>
      <c r="V186">
        <v>512</v>
      </c>
      <c r="W186">
        <v>1419</v>
      </c>
      <c r="X186">
        <v>581</v>
      </c>
      <c r="Z186">
        <v>2</v>
      </c>
      <c r="AA186">
        <v>80</v>
      </c>
      <c r="AB186" s="22">
        <v>3</v>
      </c>
      <c r="AC186" s="23">
        <v>1419</v>
      </c>
      <c r="AD186" s="22">
        <v>581</v>
      </c>
    </row>
    <row r="187" spans="1:31" x14ac:dyDescent="0.3">
      <c r="A187" s="9" t="s">
        <v>4482</v>
      </c>
      <c r="B187" s="9" t="s">
        <v>4483</v>
      </c>
      <c r="C187" s="9">
        <v>2</v>
      </c>
      <c r="D187" s="9">
        <v>40</v>
      </c>
      <c r="E187" s="9">
        <f t="shared" si="2"/>
        <v>40</v>
      </c>
      <c r="F187" s="9">
        <v>20</v>
      </c>
      <c r="G187" s="9">
        <v>2</v>
      </c>
      <c r="L187" s="9">
        <v>0</v>
      </c>
      <c r="M187" s="9">
        <v>80</v>
      </c>
      <c r="U187">
        <v>4</v>
      </c>
      <c r="V187">
        <v>512</v>
      </c>
      <c r="W187">
        <v>1910</v>
      </c>
      <c r="X187">
        <v>1282</v>
      </c>
      <c r="Z187">
        <v>2</v>
      </c>
      <c r="AA187">
        <v>80</v>
      </c>
      <c r="AB187" s="22">
        <v>4</v>
      </c>
      <c r="AC187" s="23">
        <v>1910</v>
      </c>
      <c r="AD187" s="23">
        <v>1282</v>
      </c>
    </row>
    <row r="188" spans="1:31" x14ac:dyDescent="0.3">
      <c r="A188" s="9" t="s">
        <v>4482</v>
      </c>
      <c r="B188" s="9" t="s">
        <v>4483</v>
      </c>
      <c r="C188" s="9">
        <v>2</v>
      </c>
      <c r="D188" s="9">
        <v>40</v>
      </c>
      <c r="E188" s="9">
        <f t="shared" si="2"/>
        <v>40</v>
      </c>
      <c r="F188" s="9">
        <v>20</v>
      </c>
      <c r="G188" s="9">
        <v>2</v>
      </c>
      <c r="L188" s="9">
        <v>0</v>
      </c>
      <c r="M188" s="9">
        <v>80</v>
      </c>
      <c r="U188">
        <v>5</v>
      </c>
      <c r="V188">
        <v>512</v>
      </c>
      <c r="W188">
        <v>2410</v>
      </c>
      <c r="X188">
        <v>1991</v>
      </c>
      <c r="Z188">
        <v>2</v>
      </c>
      <c r="AA188">
        <v>80</v>
      </c>
      <c r="AB188" s="22">
        <v>5</v>
      </c>
      <c r="AC188" s="23">
        <v>2410</v>
      </c>
      <c r="AD188" s="23">
        <v>1991</v>
      </c>
    </row>
    <row r="189" spans="1:31" x14ac:dyDescent="0.3">
      <c r="A189" s="9" t="s">
        <v>4482</v>
      </c>
      <c r="B189" s="9" t="s">
        <v>4483</v>
      </c>
      <c r="C189" s="9">
        <v>2</v>
      </c>
      <c r="D189" s="9">
        <v>40</v>
      </c>
      <c r="E189" s="9">
        <f t="shared" si="2"/>
        <v>40</v>
      </c>
      <c r="F189" s="9">
        <v>20</v>
      </c>
      <c r="G189" s="9">
        <v>2</v>
      </c>
      <c r="L189" s="9">
        <v>0</v>
      </c>
      <c r="M189" s="9">
        <v>80</v>
      </c>
      <c r="U189">
        <v>6</v>
      </c>
      <c r="V189">
        <v>512</v>
      </c>
      <c r="W189">
        <v>2917</v>
      </c>
      <c r="X189">
        <v>2708</v>
      </c>
      <c r="Z189">
        <v>2</v>
      </c>
      <c r="AA189">
        <v>80</v>
      </c>
      <c r="AB189" s="22">
        <v>6</v>
      </c>
      <c r="AC189" s="23">
        <v>2917</v>
      </c>
      <c r="AD189" s="23">
        <v>2708</v>
      </c>
    </row>
    <row r="190" spans="1:31" x14ac:dyDescent="0.3">
      <c r="A190" s="9" t="s">
        <v>4482</v>
      </c>
      <c r="B190" s="9" t="s">
        <v>4483</v>
      </c>
      <c r="C190" s="9">
        <v>2</v>
      </c>
      <c r="D190" s="9">
        <v>40</v>
      </c>
      <c r="E190" s="9">
        <f t="shared" si="2"/>
        <v>40</v>
      </c>
      <c r="F190" s="9">
        <v>20</v>
      </c>
      <c r="G190" s="9">
        <v>2</v>
      </c>
      <c r="L190" s="9">
        <v>0</v>
      </c>
      <c r="M190" s="9">
        <v>80</v>
      </c>
      <c r="U190">
        <v>7</v>
      </c>
      <c r="V190">
        <v>512</v>
      </c>
      <c r="W190">
        <v>3434</v>
      </c>
      <c r="X190">
        <v>3434</v>
      </c>
      <c r="Z190">
        <v>2</v>
      </c>
      <c r="AA190">
        <v>80</v>
      </c>
      <c r="AB190" s="22">
        <v>7</v>
      </c>
      <c r="AC190" s="23">
        <v>3434</v>
      </c>
      <c r="AD190" s="23">
        <v>3434</v>
      </c>
    </row>
    <row r="191" spans="1:31" x14ac:dyDescent="0.3">
      <c r="A191" s="9" t="s">
        <v>4482</v>
      </c>
      <c r="B191" s="9" t="s">
        <v>4483</v>
      </c>
      <c r="C191" s="9">
        <v>2</v>
      </c>
      <c r="D191" s="9">
        <v>40</v>
      </c>
      <c r="E191" s="9">
        <f t="shared" si="2"/>
        <v>40</v>
      </c>
      <c r="F191" s="9">
        <v>20</v>
      </c>
      <c r="G191" s="9">
        <v>2</v>
      </c>
      <c r="L191" s="9">
        <v>0</v>
      </c>
      <c r="M191" s="9">
        <v>80</v>
      </c>
      <c r="U191">
        <v>10</v>
      </c>
      <c r="V191">
        <v>512</v>
      </c>
      <c r="W191">
        <v>5033</v>
      </c>
      <c r="X191">
        <v>5033</v>
      </c>
      <c r="Z191">
        <v>2</v>
      </c>
      <c r="AA191">
        <v>80</v>
      </c>
      <c r="AB191" s="22">
        <v>10</v>
      </c>
      <c r="AC191" s="23">
        <v>5033</v>
      </c>
      <c r="AD191" s="23">
        <v>5033</v>
      </c>
    </row>
    <row r="192" spans="1:31" x14ac:dyDescent="0.3">
      <c r="A192" s="9" t="s">
        <v>4482</v>
      </c>
      <c r="B192" s="9" t="s">
        <v>4483</v>
      </c>
      <c r="C192" s="9">
        <v>2</v>
      </c>
      <c r="D192" s="9">
        <v>40</v>
      </c>
      <c r="E192" s="9">
        <f t="shared" si="2"/>
        <v>40</v>
      </c>
      <c r="F192" s="9">
        <v>20</v>
      </c>
      <c r="G192" s="9">
        <v>2</v>
      </c>
      <c r="L192" s="9">
        <v>0</v>
      </c>
      <c r="M192" s="9">
        <v>80</v>
      </c>
      <c r="U192">
        <v>20</v>
      </c>
      <c r="V192">
        <v>512</v>
      </c>
      <c r="W192">
        <v>10826</v>
      </c>
      <c r="X192">
        <v>10826</v>
      </c>
      <c r="Z192">
        <v>2</v>
      </c>
      <c r="AA192">
        <v>80</v>
      </c>
      <c r="AB192" s="22">
        <v>20</v>
      </c>
      <c r="AC192" s="23">
        <v>10826</v>
      </c>
      <c r="AD192" s="23">
        <v>10826</v>
      </c>
    </row>
    <row r="193" spans="1:30" x14ac:dyDescent="0.3">
      <c r="A193" s="9" t="s">
        <v>4482</v>
      </c>
      <c r="B193" s="9" t="s">
        <v>4483</v>
      </c>
      <c r="C193" s="9">
        <v>2</v>
      </c>
      <c r="D193" s="9">
        <v>40</v>
      </c>
      <c r="E193" s="9">
        <f t="shared" si="2"/>
        <v>40</v>
      </c>
      <c r="F193" s="9">
        <v>20</v>
      </c>
      <c r="G193" s="9">
        <v>2</v>
      </c>
      <c r="L193" s="9">
        <v>0</v>
      </c>
      <c r="M193" s="9">
        <v>80</v>
      </c>
      <c r="U193">
        <v>30</v>
      </c>
      <c r="V193">
        <v>512</v>
      </c>
      <c r="W193">
        <v>9640</v>
      </c>
      <c r="X193">
        <v>9640</v>
      </c>
      <c r="Z193">
        <v>2</v>
      </c>
      <c r="AA193">
        <v>80</v>
      </c>
      <c r="AB193" s="22">
        <v>30</v>
      </c>
      <c r="AC193" s="23">
        <v>9640</v>
      </c>
      <c r="AD193" s="23">
        <v>9640</v>
      </c>
    </row>
    <row r="194" spans="1:30" x14ac:dyDescent="0.3">
      <c r="A194" s="9" t="s">
        <v>4482</v>
      </c>
      <c r="B194" s="9" t="s">
        <v>4483</v>
      </c>
      <c r="C194" s="9">
        <v>2</v>
      </c>
      <c r="D194" s="9">
        <v>40</v>
      </c>
      <c r="E194" s="9">
        <f t="shared" si="2"/>
        <v>40</v>
      </c>
      <c r="F194" s="9">
        <v>20</v>
      </c>
      <c r="G194" s="9">
        <v>2</v>
      </c>
      <c r="L194" s="9">
        <v>0</v>
      </c>
      <c r="M194" s="9">
        <v>80</v>
      </c>
      <c r="U194">
        <v>40</v>
      </c>
      <c r="V194">
        <v>512</v>
      </c>
      <c r="W194">
        <v>0</v>
      </c>
      <c r="X194">
        <v>0</v>
      </c>
      <c r="Z194">
        <v>2</v>
      </c>
      <c r="AA194">
        <v>80</v>
      </c>
      <c r="AB194" s="22">
        <v>40</v>
      </c>
      <c r="AC194" s="22">
        <v>0</v>
      </c>
      <c r="AD194" s="22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Buttons</vt:lpstr>
      <vt:lpstr>RiderA</vt:lpstr>
      <vt:lpstr>RiderB</vt:lpstr>
      <vt:lpstr>SInfoA</vt:lpstr>
      <vt:lpstr>SInfoB</vt:lpstr>
      <vt:lpstr>PTable</vt:lpstr>
      <vt:lpstr>VTable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김정관</dc:creator>
  <cp:lastModifiedBy>정관 김</cp:lastModifiedBy>
  <dcterms:created xsi:type="dcterms:W3CDTF">2015-06-05T18:19:34Z</dcterms:created>
  <dcterms:modified xsi:type="dcterms:W3CDTF">2025-05-12T07:52:40Z</dcterms:modified>
</cp:coreProperties>
</file>